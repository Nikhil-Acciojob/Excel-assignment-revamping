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NANYA SAXENA\Downloads\"/>
    </mc:Choice>
  </mc:AlternateContent>
  <xr:revisionPtr revIDLastSave="0" documentId="8_{7C0A3864-B4F7-4FFB-9FEE-147FA1FA7604}" xr6:coauthVersionLast="47" xr6:coauthVersionMax="47" xr10:uidLastSave="{00000000-0000-0000-0000-000000000000}"/>
  <bookViews>
    <workbookView xWindow="-108" yWindow="-108" windowWidth="23256" windowHeight="12456" xr2:uid="{CE3B3D7E-0BE9-4D5A-A54B-1240C4612186}"/>
  </bookViews>
  <sheets>
    <sheet name="Dataset" sheetId="1" r:id="rId1"/>
    <sheet name="QUESTIONS" sheetId="6" r:id="rId2"/>
    <sheet name="EASY" sheetId="7" r:id="rId3"/>
    <sheet name="MEDIUM" sheetId="8" r:id="rId4"/>
    <sheet name="HARD" sheetId="9" r:id="rId5"/>
  </sheets>
  <definedNames>
    <definedName name="_xlnm._FilterDatabase" localSheetId="0" hidden="1">Dataset!$A$1:$O$350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4" i="9" l="1"/>
  <c r="M33" i="9"/>
  <c r="G30" i="9"/>
  <c r="G29" i="9"/>
  <c r="G28" i="9"/>
  <c r="G27" i="9"/>
  <c r="M24" i="9" a="1"/>
  <c r="M24" i="9" s="1"/>
  <c r="I23" i="9"/>
  <c r="R20" i="9" a="1"/>
  <c r="R20" i="9" s="1"/>
  <c r="P17" i="9"/>
  <c r="P16" i="9"/>
  <c r="P15" i="9"/>
  <c r="N11" i="9"/>
  <c r="N10" i="9"/>
  <c r="N9" i="9"/>
  <c r="N8" i="9"/>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28" i="7"/>
  <c r="O15" i="8" a="1"/>
  <c r="O15" i="8" s="1"/>
  <c r="J29" i="7" l="1"/>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28"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1" i="7"/>
  <c r="I29" i="7"/>
  <c r="I30" i="7"/>
  <c r="I28"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29" i="7"/>
  <c r="H30" i="7"/>
  <c r="H31" i="7"/>
  <c r="H28"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29" i="7"/>
  <c r="G30" i="7"/>
  <c r="G31" i="7"/>
  <c r="G32" i="7"/>
  <c r="G33" i="7"/>
  <c r="G34" i="7"/>
  <c r="G35" i="7"/>
  <c r="G36" i="7"/>
  <c r="G28"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29" i="7"/>
  <c r="F30" i="7"/>
  <c r="F31" i="7"/>
  <c r="F32" i="7"/>
  <c r="F33" i="7"/>
  <c r="F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28" i="7"/>
  <c r="I17" i="7" l="1"/>
  <c r="I16" i="7"/>
  <c r="I15" i="7"/>
  <c r="I12" i="7"/>
  <c r="I11" i="7"/>
  <c r="H24" i="7" a="1"/>
  <c r="H24" i="7" s="1"/>
  <c r="N4" i="9"/>
  <c r="M11" i="8" l="1" a="1"/>
  <c r="M11" i="8" s="1"/>
  <c r="U3" i="9"/>
  <c r="K23" i="8"/>
  <c r="K22" i="8"/>
  <c r="L19" i="8"/>
  <c r="L18" i="8" a="1"/>
  <c r="L18" i="8" s="1"/>
  <c r="M7" i="8"/>
  <c r="M8" i="8"/>
  <c r="M4" i="8" a="1"/>
  <c r="M4" i="8" s="1"/>
  <c r="M3" i="8"/>
  <c r="F21" i="7"/>
  <c r="F8" i="7"/>
  <c r="F4" i="7"/>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05"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8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<sst xmlns="http://schemas.openxmlformats.org/spreadsheetml/2006/main" count="2953" uniqueCount="397">
  <si>
    <t>Customer ID</t>
  </si>
  <si>
    <t>First Name</t>
  </si>
  <si>
    <t>Last Name</t>
  </si>
  <si>
    <t>Age</t>
  </si>
  <si>
    <t>Gender</t>
  </si>
  <si>
    <t>Account Type</t>
  </si>
  <si>
    <t>Loan Status</t>
  </si>
  <si>
    <t>Loan Amount</t>
  </si>
  <si>
    <t>Credit Score</t>
  </si>
  <si>
    <t>Investment Type</t>
  </si>
  <si>
    <t>Online Banking Status</t>
  </si>
  <si>
    <t>John</t>
  </si>
  <si>
    <t>Doe</t>
  </si>
  <si>
    <t>M</t>
  </si>
  <si>
    <t>Checking</t>
  </si>
  <si>
    <t>No</t>
  </si>
  <si>
    <t>Stocks</t>
  </si>
  <si>
    <t>Active</t>
  </si>
  <si>
    <t>Jane</t>
  </si>
  <si>
    <t>Smith</t>
  </si>
  <si>
    <t>F</t>
  </si>
  <si>
    <t>Savings</t>
  </si>
  <si>
    <t>Yes</t>
  </si>
  <si>
    <t>Bonds</t>
  </si>
  <si>
    <t>Inactive</t>
  </si>
  <si>
    <t>Emily</t>
  </si>
  <si>
    <t>Johnson</t>
  </si>
  <si>
    <t>Mutual Funds</t>
  </si>
  <si>
    <t>Michael</t>
  </si>
  <si>
    <t>Brown</t>
  </si>
  <si>
    <t>Real Estate</t>
  </si>
  <si>
    <t>Sarah</t>
  </si>
  <si>
    <t>Davis</t>
  </si>
  <si>
    <t>William</t>
  </si>
  <si>
    <t>Martinez</t>
  </si>
  <si>
    <t>Olivia</t>
  </si>
  <si>
    <t>Lee</t>
  </si>
  <si>
    <t>James</t>
  </si>
  <si>
    <t>Wilson</t>
  </si>
  <si>
    <t>Ava</t>
  </si>
  <si>
    <t>Anderson</t>
  </si>
  <si>
    <t>Ethan</t>
  </si>
  <si>
    <t>Thomas</t>
  </si>
  <si>
    <t>Isabella</t>
  </si>
  <si>
    <t>White</t>
  </si>
  <si>
    <t>Benjamin</t>
  </si>
  <si>
    <t>Harris</t>
  </si>
  <si>
    <t>Mia</t>
  </si>
  <si>
    <t>Clark</t>
  </si>
  <si>
    <t>Jacob</t>
  </si>
  <si>
    <t>Lewis</t>
  </si>
  <si>
    <t>Charlotte</t>
  </si>
  <si>
    <t>Walker</t>
  </si>
  <si>
    <t>Daniel</t>
  </si>
  <si>
    <t>Hall</t>
  </si>
  <si>
    <t>Amelia</t>
  </si>
  <si>
    <t>Allen</t>
  </si>
  <si>
    <t>Lucas</t>
  </si>
  <si>
    <t>Young</t>
  </si>
  <si>
    <t>Harper</t>
  </si>
  <si>
    <t>King</t>
  </si>
  <si>
    <t>Alexander</t>
  </si>
  <si>
    <t>Scott</t>
  </si>
  <si>
    <t>Sophia</t>
  </si>
  <si>
    <t>Green</t>
  </si>
  <si>
    <t>Henry</t>
  </si>
  <si>
    <t>Adams</t>
  </si>
  <si>
    <t>Ella</t>
  </si>
  <si>
    <t>Baker</t>
  </si>
  <si>
    <t>Jack</t>
  </si>
  <si>
    <t>Nelson</t>
  </si>
  <si>
    <t>Grace</t>
  </si>
  <si>
    <t>Carter</t>
  </si>
  <si>
    <t>Mitchell</t>
  </si>
  <si>
    <t>Lily</t>
  </si>
  <si>
    <t>Roberts</t>
  </si>
  <si>
    <t>Natalie</t>
  </si>
  <si>
    <t>Thompson</t>
  </si>
  <si>
    <t>Oliver</t>
  </si>
  <si>
    <t xml:space="preserve">Premium </t>
  </si>
  <si>
    <t xml:space="preserve">standard </t>
  </si>
  <si>
    <t xml:space="preserve">none </t>
  </si>
  <si>
    <t>Q1</t>
  </si>
  <si>
    <t>Q2</t>
  </si>
  <si>
    <t>Q3</t>
  </si>
  <si>
    <t>Q4</t>
  </si>
  <si>
    <t>Q5</t>
  </si>
  <si>
    <t>Q6</t>
  </si>
  <si>
    <t>Q7</t>
  </si>
  <si>
    <t>Account Balance$</t>
  </si>
  <si>
    <t>Annual Income$</t>
  </si>
  <si>
    <t>HARD</t>
  </si>
  <si>
    <t>Mary</t>
  </si>
  <si>
    <t>Patricia</t>
  </si>
  <si>
    <t>Williams</t>
  </si>
  <si>
    <t>Robert</t>
  </si>
  <si>
    <t>Jones</t>
  </si>
  <si>
    <t>Jennifer</t>
  </si>
  <si>
    <t>Miller</t>
  </si>
  <si>
    <t>Linda</t>
  </si>
  <si>
    <t>Garcia</t>
  </si>
  <si>
    <t>Rodriguez</t>
  </si>
  <si>
    <t>Elizabeth</t>
  </si>
  <si>
    <t>David</t>
  </si>
  <si>
    <t>Barbara</t>
  </si>
  <si>
    <t>Richard</t>
  </si>
  <si>
    <t>Taylor</t>
  </si>
  <si>
    <t>Susan</t>
  </si>
  <si>
    <t>Joseph</t>
  </si>
  <si>
    <t>Hernandez</t>
  </si>
  <si>
    <t>Jessica</t>
  </si>
  <si>
    <t>Moore</t>
  </si>
  <si>
    <t>Martin</t>
  </si>
  <si>
    <t>Jackson</t>
  </si>
  <si>
    <t>Charles</t>
  </si>
  <si>
    <t>Karen</t>
  </si>
  <si>
    <t>Christopher</t>
  </si>
  <si>
    <t>Nancy</t>
  </si>
  <si>
    <t>Lisa</t>
  </si>
  <si>
    <t>Matthew</t>
  </si>
  <si>
    <t>Robinson</t>
  </si>
  <si>
    <t>Margaret</t>
  </si>
  <si>
    <t>Anthony</t>
  </si>
  <si>
    <t>Perez</t>
  </si>
  <si>
    <t>Sandra</t>
  </si>
  <si>
    <t>Mark</t>
  </si>
  <si>
    <t>Donna</t>
  </si>
  <si>
    <t>Paul</t>
  </si>
  <si>
    <t>Carol</t>
  </si>
  <si>
    <t>Wright</t>
  </si>
  <si>
    <t>Steven</t>
  </si>
  <si>
    <t>Kimberly</t>
  </si>
  <si>
    <t>Andrew</t>
  </si>
  <si>
    <t>Michelle</t>
  </si>
  <si>
    <t>Joshua</t>
  </si>
  <si>
    <t>Gonzalez</t>
  </si>
  <si>
    <t>Deborah</t>
  </si>
  <si>
    <t>Kevin</t>
  </si>
  <si>
    <t>Brian</t>
  </si>
  <si>
    <t>Amanda</t>
  </si>
  <si>
    <t>George</t>
  </si>
  <si>
    <t>Turner</t>
  </si>
  <si>
    <t>Laura</t>
  </si>
  <si>
    <t>Phillips</t>
  </si>
  <si>
    <t>Edward</t>
  </si>
  <si>
    <t>Campbell</t>
  </si>
  <si>
    <t>Melissa</t>
  </si>
  <si>
    <t>Parker</t>
  </si>
  <si>
    <t>Donald</t>
  </si>
  <si>
    <t>Evans</t>
  </si>
  <si>
    <t>Rebecca</t>
  </si>
  <si>
    <t>Edwards</t>
  </si>
  <si>
    <t>Kenneth</t>
  </si>
  <si>
    <t>Collins</t>
  </si>
  <si>
    <t>Stephanie</t>
  </si>
  <si>
    <t>Stewart</t>
  </si>
  <si>
    <t>Ronald</t>
  </si>
  <si>
    <t>Morris</t>
  </si>
  <si>
    <t>Amy</t>
  </si>
  <si>
    <t>Rogers</t>
  </si>
  <si>
    <t>Timothy</t>
  </si>
  <si>
    <t>Reed</t>
  </si>
  <si>
    <t>Angela</t>
  </si>
  <si>
    <t>Cook</t>
  </si>
  <si>
    <t>Jason</t>
  </si>
  <si>
    <t>Morgan</t>
  </si>
  <si>
    <t>Sharon</t>
  </si>
  <si>
    <t>Bell</t>
  </si>
  <si>
    <t>Jeffery</t>
  </si>
  <si>
    <t>Murphy</t>
  </si>
  <si>
    <t>Anna</t>
  </si>
  <si>
    <t>Bailey</t>
  </si>
  <si>
    <t>Ryan</t>
  </si>
  <si>
    <t>Rivera</t>
  </si>
  <si>
    <t>Rachel</t>
  </si>
  <si>
    <t>Cooper</t>
  </si>
  <si>
    <t>Gary</t>
  </si>
  <si>
    <t>Richardson</t>
  </si>
  <si>
    <t>Samantha</t>
  </si>
  <si>
    <t>Cox</t>
  </si>
  <si>
    <t>Howard</t>
  </si>
  <si>
    <t>Heather</t>
  </si>
  <si>
    <t>Ward</t>
  </si>
  <si>
    <t>Nicholas</t>
  </si>
  <si>
    <t>Torres</t>
  </si>
  <si>
    <t>Megan</t>
  </si>
  <si>
    <t>Peterson</t>
  </si>
  <si>
    <t>Eric</t>
  </si>
  <si>
    <t>Gray</t>
  </si>
  <si>
    <t>Shirley</t>
  </si>
  <si>
    <t>Ramirez</t>
  </si>
  <si>
    <t>Jonathan</t>
  </si>
  <si>
    <t>Christine</t>
  </si>
  <si>
    <t>Watson</t>
  </si>
  <si>
    <t>Larry</t>
  </si>
  <si>
    <t>Brooks</t>
  </si>
  <si>
    <t>Sanders</t>
  </si>
  <si>
    <t>Justin</t>
  </si>
  <si>
    <t>Price</t>
  </si>
  <si>
    <t>Betty</t>
  </si>
  <si>
    <t>Bennett</t>
  </si>
  <si>
    <t>Raymond</t>
  </si>
  <si>
    <t>Wood</t>
  </si>
  <si>
    <t>Dorothy</t>
  </si>
  <si>
    <t>Barnes</t>
  </si>
  <si>
    <t>Ross</t>
  </si>
  <si>
    <t>Henderson</t>
  </si>
  <si>
    <t>Adam</t>
  </si>
  <si>
    <t>Coleman</t>
  </si>
  <si>
    <t>Julie</t>
  </si>
  <si>
    <t>Jenkins</t>
  </si>
  <si>
    <t>Harold</t>
  </si>
  <si>
    <t>Perry</t>
  </si>
  <si>
    <t>Evelyn</t>
  </si>
  <si>
    <t>Powell</t>
  </si>
  <si>
    <t>Long</t>
  </si>
  <si>
    <t>Lauren</t>
  </si>
  <si>
    <t>Patterson</t>
  </si>
  <si>
    <t>Frank</t>
  </si>
  <si>
    <t>Hughes</t>
  </si>
  <si>
    <t>Kathryn</t>
  </si>
  <si>
    <t>Flores</t>
  </si>
  <si>
    <t>Patrick</t>
  </si>
  <si>
    <t>Washington</t>
  </si>
  <si>
    <t>Nicole</t>
  </si>
  <si>
    <t>Butler</t>
  </si>
  <si>
    <t>Dennis</t>
  </si>
  <si>
    <t>Simmons</t>
  </si>
  <si>
    <t>Kathy</t>
  </si>
  <si>
    <t>Foster</t>
  </si>
  <si>
    <t>Jerry</t>
  </si>
  <si>
    <t>Gonzales</t>
  </si>
  <si>
    <t>Brenda</t>
  </si>
  <si>
    <t>Bryant</t>
  </si>
  <si>
    <t>Ruth</t>
  </si>
  <si>
    <t>Russell</t>
  </si>
  <si>
    <t>Carl</t>
  </si>
  <si>
    <t>Griffin</t>
  </si>
  <si>
    <t>Maria</t>
  </si>
  <si>
    <t>Diaz</t>
  </si>
  <si>
    <t>Wayne</t>
  </si>
  <si>
    <t>Hayes</t>
  </si>
  <si>
    <t>Marilyn</t>
  </si>
  <si>
    <t>Myers</t>
  </si>
  <si>
    <t>Nathan</t>
  </si>
  <si>
    <t>Ford</t>
  </si>
  <si>
    <t>Judith</t>
  </si>
  <si>
    <t>Hamilton</t>
  </si>
  <si>
    <t>Melanie</t>
  </si>
  <si>
    <t>Shane</t>
  </si>
  <si>
    <t>Sophie</t>
  </si>
  <si>
    <t>Cole</t>
  </si>
  <si>
    <t>Hannah</t>
  </si>
  <si>
    <t>Derek</t>
  </si>
  <si>
    <t>Kelly</t>
  </si>
  <si>
    <t>Teresa</t>
  </si>
  <si>
    <t>Jeremy</t>
  </si>
  <si>
    <t>Wendy</t>
  </si>
  <si>
    <t>Keith</t>
  </si>
  <si>
    <t>Stone</t>
  </si>
  <si>
    <t>Alice</t>
  </si>
  <si>
    <t>Craig</t>
  </si>
  <si>
    <t>Anita</t>
  </si>
  <si>
    <t>Julia</t>
  </si>
  <si>
    <t>Brad</t>
  </si>
  <si>
    <t>Walter</t>
  </si>
  <si>
    <t>Gina</t>
  </si>
  <si>
    <t>Carrie</t>
  </si>
  <si>
    <t>Joel</t>
  </si>
  <si>
    <t>Gilbert</t>
  </si>
  <si>
    <t>Austin</t>
  </si>
  <si>
    <t>Sylvia</t>
  </si>
  <si>
    <t>Zachary</t>
  </si>
  <si>
    <t>Bruce</t>
  </si>
  <si>
    <t>Claire</t>
  </si>
  <si>
    <t>Philip</t>
  </si>
  <si>
    <t>Bradley</t>
  </si>
  <si>
    <t>Emma</t>
  </si>
  <si>
    <t>Douglas</t>
  </si>
  <si>
    <t>Vicki</t>
  </si>
  <si>
    <t>Kurt</t>
  </si>
  <si>
    <t>Shawn</t>
  </si>
  <si>
    <t>Erin</t>
  </si>
  <si>
    <t>Monica</t>
  </si>
  <si>
    <t>Danielle</t>
  </si>
  <si>
    <t>Denise</t>
  </si>
  <si>
    <t>Theresa</t>
  </si>
  <si>
    <t>Debra</t>
  </si>
  <si>
    <t>Greg</t>
  </si>
  <si>
    <t>Janet</t>
  </si>
  <si>
    <t>West</t>
  </si>
  <si>
    <t>Alex</t>
  </si>
  <si>
    <t>Jacqueline</t>
  </si>
  <si>
    <t xml:space="preserve">Interest rate </t>
  </si>
  <si>
    <t>No loan</t>
  </si>
  <si>
    <t>Easy Level Story Problems</t>
  </si>
  <si>
    <r>
      <t>Average Income:</t>
    </r>
    <r>
      <rPr>
        <sz val="11"/>
        <color theme="1"/>
        <rFont val="Calibri"/>
        <family val="2"/>
        <scheme val="minor"/>
      </rPr>
      <t xml:space="preserve"> As a junior manager at SwiftBank, you've been asked to help the bank understand the financial profile of its customers. Your first task is to calculate the average annual income of all account holders. Can you help SwiftBank get this important insight?</t>
    </r>
  </si>
  <si>
    <r>
      <t>Median Bank Balance:</t>
    </r>
    <r>
      <rPr>
        <sz val="11"/>
        <color theme="1"/>
        <rFont val="Calibri"/>
        <family val="2"/>
        <scheme val="minor"/>
      </rPr>
      <t xml:space="preserve"> The finance team at SwiftBank is trying to understand the typical financial standing of its clients. They’ve asked you to find the median bank balance, which represents the middle value in the data. Can you calculate this to provide a better picture of the average customer’s savings?</t>
    </r>
  </si>
  <si>
    <r>
      <t>Most Frequent Credit Score:</t>
    </r>
    <r>
      <rPr>
        <sz val="11"/>
        <color theme="1"/>
        <rFont val="Calibri"/>
        <family val="2"/>
        <scheme val="minor"/>
      </rPr>
      <t xml:space="preserve"> SwiftBank is trying to identify credit score patterns among its customers before issuing new loans. To assist, you’ve been asked to find the credit score that appears most frequently in the dataset. Can you determine which score is most common?</t>
    </r>
  </si>
  <si>
    <r>
      <t>Lowest Account Balance (Premium Credit Card):</t>
    </r>
    <r>
      <rPr>
        <sz val="11"/>
        <color theme="1"/>
        <rFont val="Calibri"/>
        <family val="2"/>
        <scheme val="minor"/>
      </rPr>
      <t xml:space="preserve"> As part of their rewards program, SwiftBank needs to identify the customer with the lowest account balance who holds a premium credit card. Can you determine who this is?</t>
    </r>
  </si>
  <si>
    <r>
      <t>Total Annual Income and Max Values:</t>
    </r>
    <r>
      <rPr>
        <sz val="11"/>
        <color theme="1"/>
        <rFont val="Calibri"/>
        <family val="2"/>
        <scheme val="minor"/>
      </rPr>
      <t xml:space="preserve"> The bank's board of directors has requested a report that includes the total annual income of all account holders, as well as the highest annual income and largest account balance in the bank’s portfolio. Can you gather this information for the upcoming meeting?</t>
    </r>
  </si>
  <si>
    <t>Medium Level Story Problems</t>
  </si>
  <si>
    <r>
      <t>Active Online Banking Users:</t>
    </r>
    <r>
      <rPr>
        <sz val="11"/>
        <color theme="1"/>
        <rFont val="Calibri"/>
        <family val="2"/>
        <scheme val="minor"/>
      </rPr>
      <t xml:space="preserve"> SwiftBank is preparing a new strategy for its digital banking services and wants to understand how many clients actively use online banking. Additionally, they need you to calculate the 50th percentile (median) income for these active users. Can you gather this information for the bank’s report?</t>
    </r>
  </si>
  <si>
    <r>
      <t>Highest Loan Amount:</t>
    </r>
    <r>
      <rPr>
        <sz val="11"/>
        <color theme="1"/>
        <rFont val="Calibri"/>
        <family val="2"/>
        <scheme val="minor"/>
      </rPr>
      <t xml:space="preserve"> The credit department at SwiftBank wants to know how many clients have taken out loans. Additionally, they need to identify the highest loan amount in the system. Can you find this information?</t>
    </r>
  </si>
  <si>
    <r>
      <t>Non-Borrowers’ Smallest Balance:</t>
    </r>
    <r>
      <rPr>
        <sz val="11"/>
        <color theme="1"/>
        <rFont val="Calibri"/>
        <family val="2"/>
        <scheme val="minor"/>
      </rPr>
      <t xml:space="preserve"> The bank’s savings team is conducting a study on customers who haven’t taken out any loans. As part of this, they need you to find the 3rd smallest account balance among these non-borrowers. Can you provide the data?</t>
    </r>
  </si>
  <si>
    <r>
      <t>Female Clients’ Income:</t>
    </r>
    <r>
      <rPr>
        <sz val="11"/>
        <color theme="1"/>
        <rFont val="Calibri"/>
        <family val="2"/>
        <scheme val="minor"/>
      </rPr>
      <t xml:space="preserve"> SwiftBank is analyzing the financial health of its female clients. Your task is to find the second-lowest annual income among all women with accounts at the bank. Can you find this information for the analysis?</t>
    </r>
  </si>
  <si>
    <r>
      <t>Most Common Account Balance:</t>
    </r>
    <r>
      <rPr>
        <sz val="11"/>
        <color theme="1"/>
        <rFont val="Calibri"/>
        <family val="2"/>
        <scheme val="minor"/>
      </rPr>
      <t xml:space="preserve"> The finance team wants to understand the common financial behaviors of clients. To assist, they’ve asked you to identify the most common account balance among all customers. Additionally, they need the average balance. Can you determine both?</t>
    </r>
  </si>
  <si>
    <r>
      <t>75th Percentile Income and Balance:</t>
    </r>
    <r>
      <rPr>
        <sz val="11"/>
        <color theme="1"/>
        <rFont val="Calibri"/>
        <family val="2"/>
        <scheme val="minor"/>
      </rPr>
      <t xml:space="preserve"> SwiftBank is working on offering high-end financial products and needs to identify the wealthier clients. Your task is to find the 75th percentile for both annual income and account balance. Can you provide this data?</t>
    </r>
  </si>
  <si>
    <t>Hard Level Story Problems</t>
  </si>
  <si>
    <r>
      <t>Female Mutual Fund Investors:</t>
    </r>
    <r>
      <rPr>
        <sz val="11"/>
        <color theme="1"/>
        <rFont val="Calibri"/>
        <family val="2"/>
        <scheme val="minor"/>
      </rPr>
      <t xml:space="preserve"> The investment team wants to focus on female clients who have invested in mutual funds and have a credit score above 500. Additionally, they want to know the highest account balance among these clients. Can you provide this report?</t>
    </r>
  </si>
  <si>
    <r>
      <t>20th Percentile for Mutual Fund Investors:</t>
    </r>
    <r>
      <rPr>
        <sz val="11"/>
        <color theme="1"/>
        <rFont val="Calibri"/>
        <family val="2"/>
        <scheme val="minor"/>
      </rPr>
      <t xml:space="preserve"> Mutual fund investments are becoming increasingly popular. SwiftBank wants to calculate the 20th percentile of annual income among clients who have invested in mutual funds. Can you provide this analysis?</t>
    </r>
  </si>
  <si>
    <r>
      <t>Highest Balance for Each Investment Type:</t>
    </r>
    <r>
      <rPr>
        <sz val="11"/>
        <color theme="1"/>
        <rFont val="Calibri"/>
        <family val="2"/>
        <scheme val="minor"/>
      </rPr>
      <t xml:space="preserve"> The investment team is studying current trends across various investment types. Your task is to find the highest account balance for each type of investment (stocks, bonds, real estate, and mutual funds). Can you gather these insights?</t>
    </r>
  </si>
  <si>
    <r>
      <t>Credit Card Offer Income Analysis:</t>
    </r>
    <r>
      <rPr>
        <sz val="11"/>
        <color theme="1"/>
        <rFont val="Calibri"/>
        <family val="2"/>
        <scheme val="minor"/>
      </rPr>
      <t xml:space="preserve"> SwiftBank wants to analyze its credit card offers based on annual income. Your task is to find the highest annual income for clients using each type of credit card (premium, standard, or none). Also, how many clients haven’t accepted any credit card offers? Can you provide this breakdown?</t>
    </r>
  </si>
  <si>
    <r>
      <t>Second Smallest Income for Female Clients:</t>
    </r>
    <r>
      <rPr>
        <sz val="11"/>
        <color theme="1"/>
        <rFont val="Calibri"/>
        <family val="2"/>
        <scheme val="minor"/>
      </rPr>
      <t xml:space="preserve"> The finance department wants to dive deeper into the income levels of female account holders. They need you to identify the second smallest annual income among female clients. Can you find this value?</t>
    </r>
  </si>
  <si>
    <r>
      <t>Savings Accounts Above the Median:</t>
    </r>
    <r>
      <rPr>
        <sz val="11"/>
        <color theme="1"/>
        <rFont val="Calibri"/>
        <family val="2"/>
        <scheme val="minor"/>
      </rPr>
      <t xml:space="preserve"> SwiftBank is analyzing savings account holders and wants to know how many clients have an annual income above the median. Additionally, they want to know the highest annual income among these clients. Can you complete this analysis?</t>
    </r>
  </si>
  <si>
    <r>
      <t>Total Income and Largest Balance for Savings Account Holders:</t>
    </r>
    <r>
      <rPr>
        <sz val="11"/>
        <color theme="1"/>
        <rFont val="Calibri"/>
        <family val="2"/>
        <scheme val="minor"/>
      </rPr>
      <t xml:space="preserve"> The bank is preparing a report on savings account holders. Your task is to calculate the total annual income for these clients and identify the largest account balance in this category. Can you help?</t>
    </r>
  </si>
  <si>
    <t>Average Income: As a junior manager at SwiftBank, you've been asked to help the bank understand the financial profile of its customers. Your first task is to calculate the average annual income of all account holders. Can you help SwiftBank get this important insight?</t>
  </si>
  <si>
    <t>EASY</t>
  </si>
  <si>
    <t>ANS-1</t>
  </si>
  <si>
    <t>Median Bank Balance: The finance team at SwiftBank is trying to understand the typical financial standing of its clients. They’ve asked you to find the median bank balance, which represents the middle value in the data. Can you calculate this to provide a better picture of the average customer’s savings?</t>
  </si>
  <si>
    <t>ANS-2</t>
  </si>
  <si>
    <t>ANS-3</t>
  </si>
  <si>
    <t>ANS-4</t>
  </si>
  <si>
    <t>Most Frequent Credit Score: SwiftBank is trying to identify credit score patterns among its customers before issuing new loans. To assist, you’ve been asked to find the credit score that appears most frequently in the dataset. Can you determine which score is most common?</t>
  </si>
  <si>
    <t>ANS-5</t>
  </si>
  <si>
    <t>ANS-6</t>
  </si>
  <si>
    <t>ANS-7</t>
  </si>
  <si>
    <t>Lowest Account Balance (Premium Credit Card): As part of their rewards program, SwiftBank needs to identify the customer with the lowest account balance who holds a premium credit card. Can you determine who this is?</t>
  </si>
  <si>
    <t>Total Accounts and Smallest Balance: SwiftBank’s leadership team wants to know how many active accounts they have. Additionally, they need to find out which customer has the smallest account balance. Can you provide the total number of accounts and identify the customer with the lowest balance?</t>
  </si>
  <si>
    <t>Total number of accounts in the bank=COUNT(Dataset!G2:G350)</t>
  </si>
  <si>
    <t>Total Annual Income and Max Values: The bank's board of directors has requested a report that includes the total annual income of all account holders, as well as the highest annual income and largest account balance in the bank’s portfolio. Can you gather this information for the upcoming meeting?</t>
  </si>
  <si>
    <t>TOTAL ANNUAL INCOME=SUM(Dataset!H2:H350)</t>
  </si>
  <si>
    <t>Active Online Banking Users: SwiftBank is preparing a new strategy for its digital banking services and wants to understand how many clients actively use online banking. Additionally, they need you to calculate the 50th percentile (median) income for these active users. Can you gather this information for the bank’s report?</t>
  </si>
  <si>
    <t xml:space="preserve">MEDIUM </t>
  </si>
  <si>
    <t>Clients actively use online banking=COUNTIF(Dataset!N2:N350,Dataset!N335)</t>
  </si>
  <si>
    <t>smallest account balance=SMALL(Dataset!G2:G350,1)</t>
  </si>
  <si>
    <t>HIGHEST ANNUAL INCOME=MAX(Dataset!H2:H350)</t>
  </si>
  <si>
    <t>LARGEST ACCOUNT BALANCE=LARGE(Dataset!G2:G350,1)</t>
  </si>
  <si>
    <t>Mode=MODE.SNGL(Dataset!K2:K350)</t>
  </si>
  <si>
    <t>median=MEDIAN(Dataset!G2:G350)</t>
  </si>
  <si>
    <t>Highest Loan Amount: The credit department at SwiftBank wants to know how many clients have taken out loans. Additionally, they need to identify the highest loan amount in the system. Can you find this information?</t>
  </si>
  <si>
    <t>clients who have taken loan=COUNTIF(Dataset!I2:I350,Dataset!I335)</t>
  </si>
  <si>
    <t>the highest loan amount in the system=MAX(Dataset!J2:J350)</t>
  </si>
  <si>
    <t>Non-Borrowers’ Smallest Balance: The bank’s savings team is conducting a study on customers who haven’t taken out any loans. As part of this, they need you to find the 3rd smallest account balance among these non-borrowers. Can you provide the data?</t>
  </si>
  <si>
    <t>Female Clients’ Income: SwiftBank is analyzing the financial health of its female clients. Your task is to find the second-lowest annual income among all women with accounts at the bank. Can you find this information for the analysis?</t>
  </si>
  <si>
    <t>the second-lowest annual income among all women with accounts at the banK=SMALL(IF(Dataset!E2:E350="F",Dataset!H2:H350),2)</t>
  </si>
  <si>
    <t>Most Common Account Balance: The finance team wants to understand the common financial behaviors of clients. To assist, they’ve asked you to identify the most common account balance among all customers. Additionally, they need the average balance. Can you determine both?</t>
  </si>
  <si>
    <t>ANS=6</t>
  </si>
  <si>
    <t>the most common account balance among all customers=MODE.MULT(Dataset!G2:G350)</t>
  </si>
  <si>
    <t>75th Percentile Income and Balance: SwiftBank is working on offering high-end financial products and needs to identify the wealthier clients. Your task is to find the 75th percentile for both annual income and account balance. Can you provide this data?</t>
  </si>
  <si>
    <t>ANS=7</t>
  </si>
  <si>
    <t xml:space="preserve"> the 75th percentile for annual income =PERCENTILE.INC(Dataset!H2:H350,0.75)</t>
  </si>
  <si>
    <t xml:space="preserve"> the 75th percentile for Account balance  =PERCENTILE.INC(G2:G350,0.75)</t>
  </si>
  <si>
    <t>Female Mutual Fund Investors: The investment team wants to focus on female clients who have invested in mutual funds and have a credit score above 500. Additionally, they want to know the highest account balance among these clients. Can you provide this report?</t>
  </si>
  <si>
    <t xml:space="preserve"> female clients who have invested in mutual funds and have a credit score above 500  =MAXIFS(Dataset!G2:G350,Dataset!E2:E350,Dataset!E330,Dataset!L2:L350,Dataset!L334,Dataset!K2:K350,"&gt;500")</t>
  </si>
  <si>
    <t>20th Percentile for Mutual Fund Investors: Mutual fund investments are becoming increasingly popular. SwiftBank wants to calculate the 20th percentile of annual income among clients who have invested in mutual funds. Can you provide this analysis?</t>
  </si>
  <si>
    <t xml:space="preserve"> the 20th percentile of annual income among clients who have invested in mutual funds.=PERCENTILE.INC(IF(Dataset!L2:L350="Mutual Funds",Dataset!G2:G350),0.2)</t>
  </si>
  <si>
    <t>Credit Card Offer Income Analysis: SwiftBank wants to analyze its credit card offers based on annual income. Your task is to find the highest annual income for clients using each type of credit card (premium, standard, or none). Also, how many clients haven’t accepted any credit card offers? Can you provide this breakdown?</t>
  </si>
  <si>
    <t>The highest annual income for clients using each type of credit card premium=MAXIFS(Dataset!H2:H350,Dataset!M2:M350,Dataset!M2)</t>
  </si>
  <si>
    <t>The highest annual income for clients using each type of credit card standard=MAXIFS(Dataset!H2:H350,Dataset!M2:M350,Dataset!M3)</t>
  </si>
  <si>
    <t>The highest annual income for clients using each type of credit card none=MAXIFS(Dataset!H2:H350,Dataset!M2:M350,Dataset!M4)</t>
  </si>
  <si>
    <t>Second Smallest Income for Female Clients: The finance department wants to dive deeper into the income levels of female account holders. They need you to identify the second smallest annual income among female clients. Can you find this value?</t>
  </si>
  <si>
    <t>the second smallest annual income among female clients. =SMALL(IF(Dataset!E2:E350="F",Dataset!H2:H350),2)</t>
  </si>
  <si>
    <t>Savings Accounts Above the Median: SwiftBank is analyzing savings account holders and wants to know how many clients have an annual income above the median. Additionally, they want to know the highest annual income among these clients. Can you complete this analysis?</t>
  </si>
  <si>
    <t>Total Income and Largest Balance for Savings Account Holders: The bank is preparing a report on savings account holders. Your task is to calculate the total annual income for these clients and identify the largest account balance in this category. Can you help?</t>
  </si>
  <si>
    <t>total annual income for the savings account holders=SUMIF(Dataset!F2:F350,Dataset!F330,Dataset!H2:H350)</t>
  </si>
  <si>
    <t>the largest account balance for the savings account=MAXIFS(Dataset!H2:H350,Dataset!F2:F350,Dataset!F340)</t>
  </si>
  <si>
    <t>To calculate the average annual income of all the account holders, we can use the function average.</t>
  </si>
  <si>
    <t>average=AVERAGE(Dataset!H2:H350)</t>
  </si>
  <si>
    <t>50th percentile=PERCENTILE.INC(IF(Dataset!N2:N350="Active",Dataset!H2:H350),0.5)</t>
  </si>
  <si>
    <t xml:space="preserve"> average balance =AVERAGE(Dataset!G2:G350)</t>
  </si>
  <si>
    <t>the 3rd smallest account balance among non-borrowers=SMALL(UNIQUE(IF(Dataset!I2:I350="no",Dataset!G2:G350)),3)</t>
  </si>
  <si>
    <t>COUNTIFS(Dataset!E2:E350, "F", Dataset!L2:L350, "Mutual Funds", Dataset!K2:K350, "&gt;500")</t>
  </si>
  <si>
    <t>SMALL(IF(Dataset!M2:M350=Dataset!M6,Dataset!G2:G350),1)</t>
  </si>
  <si>
    <t>isodd</t>
  </si>
  <si>
    <t>iferror</t>
  </si>
  <si>
    <t>Income</t>
  </si>
  <si>
    <t xml:space="preserve">loan </t>
  </si>
  <si>
    <t>Column p</t>
  </si>
  <si>
    <t>Iserror</t>
  </si>
  <si>
    <t>iseven</t>
  </si>
  <si>
    <t>isnumber</t>
  </si>
  <si>
    <t>ANS=4</t>
  </si>
  <si>
    <t>You are working on analyzing the income-to-loan ratio for SwiftBank’s customers. Your task is to create a new column, Column P, to calculate the income-to-loan ratio. After that, you need to apply the following functions to that column: ISERROR, IFERROR, ISODD, ISEVEN, and ISNUMBER, ISTEXT</t>
  </si>
  <si>
    <t>istext</t>
  </si>
  <si>
    <t xml:space="preserve">Credit Card </t>
  </si>
  <si>
    <t>Highest Balance for Each Investment Type: The investment team is studying current trends across various investment types. Your task is to find the highest annual income for each type of investment (stocks, bonds, real estate, and mutual funds). Can you gather these insights?</t>
  </si>
  <si>
    <t xml:space="preserve"> the highest annual income for each type of investment stocks=MAXIFS(Dataset!H2:H350,Dataset!L2:L350,Dataset!L2)</t>
  </si>
  <si>
    <t xml:space="preserve"> the highest annual income for each type of investment BONDS=MAXIFS(Dataset!H2:H350,Dataset!L2:L350,Dataset!L3)</t>
  </si>
  <si>
    <t xml:space="preserve"> the highest annual income for each type of investment real estate=MAXIFS(Dataset!H2:H350,Dataset!L2:L350,Dataset!L5)</t>
  </si>
  <si>
    <t xml:space="preserve"> the highest annual income for each type of investment mutual funds=MAXIFS(Dataset!H2:H350,Dataset!L2:L350,Dataset!L4)</t>
  </si>
  <si>
    <t>Female account holders=COUNTIF(Dataset!E2:E350, "F")</t>
  </si>
  <si>
    <t>COUNTIF(Dataset!F2:F350,"Savings")</t>
  </si>
  <si>
    <t>MEDIAN(Dataset!H2:H350)</t>
  </si>
  <si>
    <t>COUNTIFS(Dataset!F2:F350,"Savings",Dataset!H2:H350,"&gt;60000")</t>
  </si>
  <si>
    <t>MAXIFS(Dataset!H2:H350,Dataset!F2:F350,"Savings",Dataset!H2:H350,"&gt;60000")</t>
  </si>
  <si>
    <r>
      <t>Total Accounts and Smallest Balance:</t>
    </r>
    <r>
      <rPr>
        <sz val="11"/>
        <color theme="1"/>
        <rFont val="Calibri"/>
        <family val="2"/>
        <scheme val="minor"/>
      </rPr>
      <t xml:space="preserve"> SwiftBank’s leadership team wants to know how many active accounts they have. Additionally, they need to find out which customer has the smallest account balance. Can you provide the total number of accounts and identify the customer with the lowest balance?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</si>
</sst>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3.5"/>
      <color theme="1"/>
      <name val="Calibri"/>
      <family val="2"/>
      <scheme val="minor"/>
    </font>
    <font>
      <b/>
      <sz val="14"/>
      <color theme="1"/>
      <name val="Calibri"/>
      <family val="2"/>
      <scheme val="minor"/>
    </font>
    <font>
      <sz val="11"/>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xf numFmtId="0" fontId="2" fillId="0" borderId="0" xfId="0" applyFont="1" applyAlignment="1">
      <alignment vertical="center"/>
    </xf>
    <xf numFmtId="0" fontId="3" fillId="0" borderId="0" xfId="0" applyFont="1"/>
    <xf numFmtId="0" fontId="0" fillId="2" borderId="0" xfId="0" applyFill="1"/>
    <xf numFmtId="0" fontId="5" fillId="0" borderId="0" xfId="0" quotePrefix="1" applyFont="1"/>
    <xf numFmtId="0" fontId="0" fillId="3" borderId="0" xfId="0" applyFill="1"/>
    <xf numFmtId="0" fontId="0" fillId="0" borderId="0" xfId="0" applyFont="1"/>
    <xf numFmtId="0" fontId="1" fillId="3" borderId="0" xfId="0" applyFont="1" applyFill="1"/>
    <xf numFmtId="0" fontId="0"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5A48-2E15-4298-B56E-AE87CA2BDF5E}">
  <sheetPr filterMode="1"/>
  <dimension ref="A1:O351"/>
  <sheetViews>
    <sheetView tabSelected="1" zoomScale="121" workbookViewId="0">
      <selection activeCell="T18" sqref="T18"/>
    </sheetView>
  </sheetViews>
  <sheetFormatPr defaultRowHeight="14.4" x14ac:dyDescent="0.3"/>
  <cols>
    <col min="1" max="1" width="12.6640625" customWidth="1"/>
    <col min="2" max="2" width="11.33203125" customWidth="1"/>
    <col min="3" max="3" width="12.6640625" customWidth="1"/>
    <col min="4" max="4" width="7" customWidth="1"/>
    <col min="5" max="5" width="10.109375" customWidth="1"/>
    <col min="6" max="6" width="12.6640625" customWidth="1"/>
    <col min="7" max="7" width="16" customWidth="1"/>
    <col min="8" max="8" width="14.88671875" customWidth="1"/>
    <col min="9" max="9" width="15.44140625" customWidth="1"/>
    <col min="10" max="10" width="13.5546875" customWidth="1"/>
    <col min="11" max="11" width="13.6640625" customWidth="1"/>
    <col min="12" max="12" width="17.6640625" customWidth="1"/>
    <col min="13" max="13" width="16.6640625" customWidth="1"/>
    <col min="14" max="14" width="21" customWidth="1"/>
    <col min="15" max="15" width="5.44140625" customWidth="1"/>
  </cols>
  <sheetData>
    <row r="1" spans="1:15" x14ac:dyDescent="0.3">
      <c r="A1" s="1" t="s">
        <v>0</v>
      </c>
      <c r="B1" s="1" t="s">
        <v>1</v>
      </c>
      <c r="C1" s="1" t="s">
        <v>2</v>
      </c>
      <c r="D1" s="1" t="s">
        <v>3</v>
      </c>
      <c r="E1" s="1" t="s">
        <v>4</v>
      </c>
      <c r="F1" s="1" t="s">
        <v>5</v>
      </c>
      <c r="G1" s="1" t="s">
        <v>89</v>
      </c>
      <c r="H1" s="1" t="s">
        <v>90</v>
      </c>
      <c r="I1" s="1" t="s">
        <v>6</v>
      </c>
      <c r="J1" s="1" t="s">
        <v>7</v>
      </c>
      <c r="K1" s="1" t="s">
        <v>8</v>
      </c>
      <c r="L1" s="1" t="s">
        <v>9</v>
      </c>
      <c r="M1" s="1" t="s">
        <v>385</v>
      </c>
      <c r="N1" s="1" t="s">
        <v>10</v>
      </c>
      <c r="O1" s="1" t="s">
        <v>293</v>
      </c>
    </row>
    <row r="2" spans="1:15" x14ac:dyDescent="0.3">
      <c r="A2" s="2">
        <v>1</v>
      </c>
      <c r="B2" s="2" t="s">
        <v>11</v>
      </c>
      <c r="C2" s="2" t="s">
        <v>12</v>
      </c>
      <c r="D2" s="2">
        <v>24</v>
      </c>
      <c r="E2" s="2" t="s">
        <v>13</v>
      </c>
      <c r="F2" s="2" t="s">
        <v>14</v>
      </c>
      <c r="G2" s="2">
        <v>2500</v>
      </c>
      <c r="H2" s="2">
        <v>55000</v>
      </c>
      <c r="I2" s="2" t="s">
        <v>15</v>
      </c>
      <c r="J2" s="2">
        <v>0</v>
      </c>
      <c r="K2" s="2">
        <v>720</v>
      </c>
      <c r="L2" s="2" t="s">
        <v>16</v>
      </c>
      <c r="M2" s="2" t="s">
        <v>79</v>
      </c>
      <c r="N2" s="2" t="s">
        <v>17</v>
      </c>
      <c r="O2">
        <v>7</v>
      </c>
    </row>
    <row r="3" spans="1:15" hidden="1" x14ac:dyDescent="0.3">
      <c r="A3" s="2">
        <v>2</v>
      </c>
      <c r="B3" s="2" t="s">
        <v>18</v>
      </c>
      <c r="C3" s="2" t="s">
        <v>19</v>
      </c>
      <c r="D3" s="2">
        <v>29</v>
      </c>
      <c r="E3" s="2" t="s">
        <v>20</v>
      </c>
      <c r="F3" s="2" t="s">
        <v>21</v>
      </c>
      <c r="G3" s="2">
        <v>8000</v>
      </c>
      <c r="H3" s="2">
        <v>62000</v>
      </c>
      <c r="I3" s="2" t="s">
        <v>22</v>
      </c>
      <c r="J3" s="2">
        <v>15000</v>
      </c>
      <c r="K3" s="2">
        <v>680</v>
      </c>
      <c r="L3" s="2" t="s">
        <v>23</v>
      </c>
      <c r="M3" s="2" t="s">
        <v>80</v>
      </c>
      <c r="N3" s="2" t="s">
        <v>24</v>
      </c>
      <c r="O3">
        <v>5</v>
      </c>
    </row>
    <row r="4" spans="1:15" x14ac:dyDescent="0.3">
      <c r="A4" s="2">
        <v>3</v>
      </c>
      <c r="B4" s="2" t="s">
        <v>25</v>
      </c>
      <c r="C4" s="2" t="s">
        <v>26</v>
      </c>
      <c r="D4" s="2">
        <v>45</v>
      </c>
      <c r="E4" s="2" t="s">
        <v>20</v>
      </c>
      <c r="F4" s="2" t="s">
        <v>14</v>
      </c>
      <c r="G4" s="2">
        <v>12000</v>
      </c>
      <c r="H4" s="2">
        <v>75000</v>
      </c>
      <c r="I4" s="2" t="s">
        <v>15</v>
      </c>
      <c r="J4" s="2">
        <v>0</v>
      </c>
      <c r="K4" s="2">
        <v>750</v>
      </c>
      <c r="L4" s="2" t="s">
        <v>27</v>
      </c>
      <c r="M4" s="2" t="s">
        <v>81</v>
      </c>
      <c r="N4" s="2" t="s">
        <v>17</v>
      </c>
      <c r="O4">
        <v>3</v>
      </c>
    </row>
    <row r="5" spans="1:15" hidden="1" x14ac:dyDescent="0.3">
      <c r="A5" s="2">
        <v>4</v>
      </c>
      <c r="B5" s="2" t="s">
        <v>28</v>
      </c>
      <c r="C5" s="2" t="s">
        <v>29</v>
      </c>
      <c r="D5" s="2">
        <v>52</v>
      </c>
      <c r="E5" s="2" t="s">
        <v>13</v>
      </c>
      <c r="F5" s="2" t="s">
        <v>21</v>
      </c>
      <c r="G5" s="2">
        <v>3000</v>
      </c>
      <c r="H5" s="2">
        <v>48000</v>
      </c>
      <c r="I5" s="2" t="s">
        <v>22</v>
      </c>
      <c r="J5" s="2">
        <v>5000</v>
      </c>
      <c r="K5" s="2">
        <v>690</v>
      </c>
      <c r="L5" s="2" t="s">
        <v>30</v>
      </c>
      <c r="M5" s="2" t="s">
        <v>79</v>
      </c>
      <c r="N5" s="2" t="s">
        <v>17</v>
      </c>
      <c r="O5">
        <v>3</v>
      </c>
    </row>
    <row r="6" spans="1:15" x14ac:dyDescent="0.3">
      <c r="A6" s="2">
        <v>5</v>
      </c>
      <c r="B6" s="2" t="s">
        <v>31</v>
      </c>
      <c r="C6" s="2" t="s">
        <v>32</v>
      </c>
      <c r="D6" s="2">
        <v>37</v>
      </c>
      <c r="E6" s="2" t="s">
        <v>20</v>
      </c>
      <c r="F6" s="2" t="s">
        <v>14</v>
      </c>
      <c r="G6" s="2">
        <v>5000</v>
      </c>
      <c r="H6" s="2">
        <v>58000</v>
      </c>
      <c r="I6" s="2" t="s">
        <v>15</v>
      </c>
      <c r="J6" s="2">
        <v>0</v>
      </c>
      <c r="K6" s="2">
        <v>710</v>
      </c>
      <c r="L6" s="2" t="s">
        <v>16</v>
      </c>
      <c r="M6" s="2" t="s">
        <v>79</v>
      </c>
      <c r="N6" s="2" t="s">
        <v>24</v>
      </c>
      <c r="O6">
        <v>4</v>
      </c>
    </row>
    <row r="7" spans="1:15" hidden="1" x14ac:dyDescent="0.3">
      <c r="A7" s="2">
        <v>6</v>
      </c>
      <c r="B7" s="2" t="s">
        <v>33</v>
      </c>
      <c r="C7" s="2" t="s">
        <v>34</v>
      </c>
      <c r="D7" s="2">
        <v>30</v>
      </c>
      <c r="E7" s="2" t="s">
        <v>13</v>
      </c>
      <c r="F7" s="2" t="s">
        <v>21</v>
      </c>
      <c r="G7" s="2">
        <v>6000</v>
      </c>
      <c r="H7" s="2">
        <v>70000</v>
      </c>
      <c r="I7" s="2" t="s">
        <v>22</v>
      </c>
      <c r="J7" s="2">
        <v>20000</v>
      </c>
      <c r="K7" s="2">
        <v>700</v>
      </c>
      <c r="L7" s="2" t="s">
        <v>23</v>
      </c>
      <c r="M7" s="2" t="s">
        <v>79</v>
      </c>
      <c r="N7" s="2" t="s">
        <v>17</v>
      </c>
      <c r="O7">
        <v>3</v>
      </c>
    </row>
    <row r="8" spans="1:15" x14ac:dyDescent="0.3">
      <c r="A8" s="2">
        <v>7</v>
      </c>
      <c r="B8" s="2" t="s">
        <v>35</v>
      </c>
      <c r="C8" s="2" t="s">
        <v>36</v>
      </c>
      <c r="D8" s="2">
        <v>40</v>
      </c>
      <c r="E8" s="2" t="s">
        <v>20</v>
      </c>
      <c r="F8" s="2" t="s">
        <v>14</v>
      </c>
      <c r="G8" s="2">
        <v>15000</v>
      </c>
      <c r="H8" s="2">
        <v>82000</v>
      </c>
      <c r="I8" s="2" t="s">
        <v>15</v>
      </c>
      <c r="J8" s="2">
        <v>0</v>
      </c>
      <c r="K8" s="2">
        <v>730</v>
      </c>
      <c r="L8" s="2" t="s">
        <v>27</v>
      </c>
      <c r="M8" s="2" t="s">
        <v>79</v>
      </c>
      <c r="N8" s="2" t="s">
        <v>24</v>
      </c>
      <c r="O8">
        <v>7</v>
      </c>
    </row>
    <row r="9" spans="1:15" x14ac:dyDescent="0.3">
      <c r="A9" s="2">
        <v>8</v>
      </c>
      <c r="B9" s="2" t="s">
        <v>37</v>
      </c>
      <c r="C9" s="2" t="s">
        <v>38</v>
      </c>
      <c r="D9" s="2">
        <v>25</v>
      </c>
      <c r="E9" s="2" t="s">
        <v>13</v>
      </c>
      <c r="F9" s="2" t="s">
        <v>21</v>
      </c>
      <c r="G9" s="2">
        <v>2000</v>
      </c>
      <c r="H9" s="2">
        <v>43000</v>
      </c>
      <c r="I9" s="2" t="s">
        <v>15</v>
      </c>
      <c r="J9" s="2">
        <v>0</v>
      </c>
      <c r="K9" s="2">
        <v>670</v>
      </c>
      <c r="L9" s="2" t="s">
        <v>30</v>
      </c>
      <c r="M9" s="2" t="s">
        <v>80</v>
      </c>
      <c r="N9" s="2" t="s">
        <v>17</v>
      </c>
      <c r="O9">
        <v>12</v>
      </c>
    </row>
    <row r="10" spans="1:15" hidden="1" x14ac:dyDescent="0.3">
      <c r="A10" s="2">
        <v>9</v>
      </c>
      <c r="B10" s="2" t="s">
        <v>39</v>
      </c>
      <c r="C10" s="2" t="s">
        <v>40</v>
      </c>
      <c r="D10" s="2">
        <v>31</v>
      </c>
      <c r="E10" s="2" t="s">
        <v>20</v>
      </c>
      <c r="F10" s="2" t="s">
        <v>14</v>
      </c>
      <c r="G10" s="2">
        <v>7000</v>
      </c>
      <c r="H10" s="2">
        <v>55000</v>
      </c>
      <c r="I10" s="2" t="s">
        <v>22</v>
      </c>
      <c r="J10" s="2">
        <v>10000</v>
      </c>
      <c r="K10" s="2">
        <v>720</v>
      </c>
      <c r="L10" s="2" t="s">
        <v>16</v>
      </c>
      <c r="M10" s="2" t="s">
        <v>80</v>
      </c>
      <c r="N10" s="2" t="s">
        <v>17</v>
      </c>
      <c r="O10">
        <v>11</v>
      </c>
    </row>
    <row r="11" spans="1:15" x14ac:dyDescent="0.3">
      <c r="A11" s="2">
        <v>10</v>
      </c>
      <c r="B11" s="2" t="s">
        <v>41</v>
      </c>
      <c r="C11" s="2" t="s">
        <v>42</v>
      </c>
      <c r="D11" s="2">
        <v>44</v>
      </c>
      <c r="E11" s="2" t="s">
        <v>13</v>
      </c>
      <c r="F11" s="2" t="s">
        <v>21</v>
      </c>
      <c r="G11" s="2">
        <v>11000</v>
      </c>
      <c r="H11" s="2">
        <v>65000</v>
      </c>
      <c r="I11" s="2" t="s">
        <v>15</v>
      </c>
      <c r="J11" s="2">
        <v>0</v>
      </c>
      <c r="K11" s="2">
        <v>740</v>
      </c>
      <c r="L11" s="2" t="s">
        <v>23</v>
      </c>
      <c r="M11" s="2" t="s">
        <v>81</v>
      </c>
      <c r="N11" s="2" t="s">
        <v>24</v>
      </c>
      <c r="O11">
        <v>3</v>
      </c>
    </row>
    <row r="12" spans="1:15" x14ac:dyDescent="0.3">
      <c r="A12" s="2">
        <v>11</v>
      </c>
      <c r="B12" s="2" t="s">
        <v>43</v>
      </c>
      <c r="C12" s="2" t="s">
        <v>44</v>
      </c>
      <c r="D12" s="2">
        <v>28</v>
      </c>
      <c r="E12" s="2" t="s">
        <v>20</v>
      </c>
      <c r="F12" s="2" t="s">
        <v>14</v>
      </c>
      <c r="G12" s="2">
        <v>4500</v>
      </c>
      <c r="H12" s="2">
        <v>47000</v>
      </c>
      <c r="I12" s="2" t="s">
        <v>15</v>
      </c>
      <c r="J12" s="2">
        <v>0</v>
      </c>
      <c r="K12" s="2">
        <v>690</v>
      </c>
      <c r="L12" s="2" t="s">
        <v>27</v>
      </c>
      <c r="M12" s="2" t="s">
        <v>79</v>
      </c>
      <c r="N12" s="2" t="s">
        <v>17</v>
      </c>
      <c r="O12">
        <v>3</v>
      </c>
    </row>
    <row r="13" spans="1:15" hidden="1" x14ac:dyDescent="0.3">
      <c r="A13" s="2">
        <v>12</v>
      </c>
      <c r="B13" s="2" t="s">
        <v>45</v>
      </c>
      <c r="C13" s="2" t="s">
        <v>46</v>
      </c>
      <c r="D13" s="2">
        <v>39</v>
      </c>
      <c r="E13" s="2" t="s">
        <v>13</v>
      </c>
      <c r="F13" s="2" t="s">
        <v>21</v>
      </c>
      <c r="G13" s="2">
        <v>10000</v>
      </c>
      <c r="H13" s="2">
        <v>72000</v>
      </c>
      <c r="I13" s="2" t="s">
        <v>22</v>
      </c>
      <c r="J13" s="2">
        <v>12000</v>
      </c>
      <c r="K13" s="2">
        <v>700</v>
      </c>
      <c r="L13" s="2" t="s">
        <v>30</v>
      </c>
      <c r="M13" s="2" t="s">
        <v>81</v>
      </c>
      <c r="N13" s="2" t="s">
        <v>17</v>
      </c>
      <c r="O13" t="s">
        <v>294</v>
      </c>
    </row>
    <row r="14" spans="1:15" x14ac:dyDescent="0.3">
      <c r="A14" s="2">
        <v>13</v>
      </c>
      <c r="B14" s="2" t="s">
        <v>47</v>
      </c>
      <c r="C14" s="2" t="s">
        <v>48</v>
      </c>
      <c r="D14" s="2">
        <v>26</v>
      </c>
      <c r="E14" s="2" t="s">
        <v>20</v>
      </c>
      <c r="F14" s="2" t="s">
        <v>14</v>
      </c>
      <c r="G14" s="2">
        <v>3500</v>
      </c>
      <c r="H14" s="2">
        <v>53000</v>
      </c>
      <c r="I14" s="2" t="s">
        <v>15</v>
      </c>
      <c r="J14" s="2">
        <v>0</v>
      </c>
      <c r="K14" s="2">
        <v>680</v>
      </c>
      <c r="L14" s="2" t="s">
        <v>16</v>
      </c>
      <c r="M14" s="2" t="s">
        <v>80</v>
      </c>
      <c r="N14" s="2" t="s">
        <v>24</v>
      </c>
      <c r="O14">
        <v>11</v>
      </c>
    </row>
    <row r="15" spans="1:15" hidden="1" x14ac:dyDescent="0.3">
      <c r="A15" s="2">
        <v>14</v>
      </c>
      <c r="B15" s="2" t="s">
        <v>49</v>
      </c>
      <c r="C15" s="2" t="s">
        <v>50</v>
      </c>
      <c r="D15" s="2">
        <v>33</v>
      </c>
      <c r="E15" s="2" t="s">
        <v>13</v>
      </c>
      <c r="F15" s="2" t="s">
        <v>21</v>
      </c>
      <c r="G15" s="2">
        <v>8000</v>
      </c>
      <c r="H15" s="2">
        <v>60000</v>
      </c>
      <c r="I15" s="2" t="s">
        <v>22</v>
      </c>
      <c r="J15" s="2">
        <v>8000</v>
      </c>
      <c r="K15" s="2">
        <v>710</v>
      </c>
      <c r="L15" s="2" t="s">
        <v>23</v>
      </c>
      <c r="M15" s="2" t="s">
        <v>79</v>
      </c>
      <c r="N15" s="2" t="s">
        <v>17</v>
      </c>
      <c r="O15">
        <v>11</v>
      </c>
    </row>
    <row r="16" spans="1:15" x14ac:dyDescent="0.3">
      <c r="A16" s="2">
        <v>15</v>
      </c>
      <c r="B16" s="2" t="s">
        <v>51</v>
      </c>
      <c r="C16" s="2" t="s">
        <v>52</v>
      </c>
      <c r="D16" s="2">
        <v>46</v>
      </c>
      <c r="E16" s="2" t="s">
        <v>20</v>
      </c>
      <c r="F16" s="2" t="s">
        <v>14</v>
      </c>
      <c r="G16" s="2">
        <v>13000</v>
      </c>
      <c r="H16" s="2">
        <v>85000</v>
      </c>
      <c r="I16" s="2" t="s">
        <v>15</v>
      </c>
      <c r="J16" s="2">
        <v>0</v>
      </c>
      <c r="K16" s="2">
        <v>740</v>
      </c>
      <c r="L16" s="2" t="s">
        <v>27</v>
      </c>
      <c r="M16" s="2" t="s">
        <v>81</v>
      </c>
      <c r="N16" s="2" t="s">
        <v>24</v>
      </c>
      <c r="O16">
        <v>6</v>
      </c>
    </row>
    <row r="17" spans="1:15" hidden="1" x14ac:dyDescent="0.3">
      <c r="A17" s="2">
        <v>16</v>
      </c>
      <c r="B17" s="2" t="s">
        <v>53</v>
      </c>
      <c r="C17" s="2" t="s">
        <v>54</v>
      </c>
      <c r="D17" s="2">
        <v>52</v>
      </c>
      <c r="E17" s="2" t="s">
        <v>13</v>
      </c>
      <c r="F17" s="2" t="s">
        <v>21</v>
      </c>
      <c r="G17" s="2">
        <v>4000</v>
      </c>
      <c r="H17" s="2">
        <v>49000</v>
      </c>
      <c r="I17" s="2" t="s">
        <v>22</v>
      </c>
      <c r="J17" s="2">
        <v>7000</v>
      </c>
      <c r="K17" s="2">
        <v>690</v>
      </c>
      <c r="L17" s="2" t="s">
        <v>30</v>
      </c>
      <c r="M17" s="2" t="s">
        <v>79</v>
      </c>
      <c r="N17" s="2" t="s">
        <v>17</v>
      </c>
      <c r="O17">
        <v>6</v>
      </c>
    </row>
    <row r="18" spans="1:15" x14ac:dyDescent="0.3">
      <c r="A18" s="2">
        <v>17</v>
      </c>
      <c r="B18" s="2" t="s">
        <v>55</v>
      </c>
      <c r="C18" s="2" t="s">
        <v>56</v>
      </c>
      <c r="D18" s="2">
        <v>24</v>
      </c>
      <c r="E18" s="2" t="s">
        <v>13</v>
      </c>
      <c r="F18" s="2" t="s">
        <v>14</v>
      </c>
      <c r="G18" s="2">
        <v>2200</v>
      </c>
      <c r="H18" s="2">
        <v>45000</v>
      </c>
      <c r="I18" s="2" t="s">
        <v>15</v>
      </c>
      <c r="J18" s="2">
        <v>0</v>
      </c>
      <c r="K18" s="2">
        <v>670</v>
      </c>
      <c r="L18" s="2" t="s">
        <v>16</v>
      </c>
      <c r="M18" s="2" t="s">
        <v>80</v>
      </c>
      <c r="N18" s="2" t="s">
        <v>24</v>
      </c>
      <c r="O18">
        <v>5</v>
      </c>
    </row>
    <row r="19" spans="1:15" hidden="1" x14ac:dyDescent="0.3">
      <c r="A19" s="2">
        <v>18</v>
      </c>
      <c r="B19" s="2" t="s">
        <v>57</v>
      </c>
      <c r="C19" s="2" t="s">
        <v>58</v>
      </c>
      <c r="D19" s="2">
        <v>38</v>
      </c>
      <c r="E19" s="2" t="s">
        <v>13</v>
      </c>
      <c r="F19" s="2" t="s">
        <v>21</v>
      </c>
      <c r="G19" s="2">
        <v>15000</v>
      </c>
      <c r="H19" s="2">
        <v>77000</v>
      </c>
      <c r="I19" s="2" t="s">
        <v>22</v>
      </c>
      <c r="J19" s="2">
        <v>15000</v>
      </c>
      <c r="K19" s="2">
        <v>720</v>
      </c>
      <c r="L19" s="2" t="s">
        <v>23</v>
      </c>
      <c r="M19" s="2" t="s">
        <v>81</v>
      </c>
      <c r="N19" s="2" t="s">
        <v>17</v>
      </c>
      <c r="O19" t="s">
        <v>294</v>
      </c>
    </row>
    <row r="20" spans="1:15" x14ac:dyDescent="0.3">
      <c r="A20" s="2">
        <v>19</v>
      </c>
      <c r="B20" s="2" t="s">
        <v>59</v>
      </c>
      <c r="C20" s="2" t="s">
        <v>60</v>
      </c>
      <c r="D20" s="2">
        <v>27</v>
      </c>
      <c r="E20" s="2" t="s">
        <v>20</v>
      </c>
      <c r="F20" s="2" t="s">
        <v>14</v>
      </c>
      <c r="G20" s="2">
        <v>4000</v>
      </c>
      <c r="H20" s="2">
        <v>50000</v>
      </c>
      <c r="I20" s="2" t="s">
        <v>15</v>
      </c>
      <c r="J20" s="2">
        <v>0</v>
      </c>
      <c r="K20" s="2">
        <v>680</v>
      </c>
      <c r="L20" s="2" t="s">
        <v>27</v>
      </c>
      <c r="M20" s="2" t="s">
        <v>79</v>
      </c>
      <c r="N20" s="2" t="s">
        <v>24</v>
      </c>
      <c r="O20">
        <v>6</v>
      </c>
    </row>
    <row r="21" spans="1:15" hidden="1" x14ac:dyDescent="0.3">
      <c r="A21" s="2">
        <v>20</v>
      </c>
      <c r="B21" s="2" t="s">
        <v>61</v>
      </c>
      <c r="C21" s="2" t="s">
        <v>62</v>
      </c>
      <c r="D21" s="2">
        <v>41</v>
      </c>
      <c r="E21" s="2" t="s">
        <v>13</v>
      </c>
      <c r="F21" s="2" t="s">
        <v>21</v>
      </c>
      <c r="G21" s="2">
        <v>9000</v>
      </c>
      <c r="H21" s="2">
        <v>69000</v>
      </c>
      <c r="I21" s="2" t="s">
        <v>22</v>
      </c>
      <c r="J21" s="2">
        <v>12000</v>
      </c>
      <c r="K21" s="2">
        <v>700</v>
      </c>
      <c r="L21" s="2" t="s">
        <v>30</v>
      </c>
      <c r="M21" s="2" t="s">
        <v>81</v>
      </c>
      <c r="N21" s="2" t="s">
        <v>17</v>
      </c>
      <c r="O21">
        <v>5</v>
      </c>
    </row>
    <row r="22" spans="1:15" x14ac:dyDescent="0.3">
      <c r="A22" s="2">
        <v>21</v>
      </c>
      <c r="B22" s="2" t="s">
        <v>63</v>
      </c>
      <c r="C22" s="2" t="s">
        <v>64</v>
      </c>
      <c r="D22" s="2">
        <v>32</v>
      </c>
      <c r="E22" s="2" t="s">
        <v>20</v>
      </c>
      <c r="F22" s="2" t="s">
        <v>14</v>
      </c>
      <c r="G22" s="2">
        <v>5500</v>
      </c>
      <c r="H22" s="2">
        <v>54000</v>
      </c>
      <c r="I22" s="2" t="s">
        <v>15</v>
      </c>
      <c r="J22" s="2">
        <v>0</v>
      </c>
      <c r="K22" s="2">
        <v>710</v>
      </c>
      <c r="L22" s="2" t="s">
        <v>16</v>
      </c>
      <c r="M22" s="2" t="s">
        <v>79</v>
      </c>
      <c r="N22" s="2" t="s">
        <v>24</v>
      </c>
      <c r="O22">
        <v>14</v>
      </c>
    </row>
    <row r="23" spans="1:15" hidden="1" x14ac:dyDescent="0.3">
      <c r="A23" s="2">
        <v>22</v>
      </c>
      <c r="B23" s="2" t="s">
        <v>65</v>
      </c>
      <c r="C23" s="2" t="s">
        <v>66</v>
      </c>
      <c r="D23" s="2">
        <v>47</v>
      </c>
      <c r="E23" s="2" t="s">
        <v>13</v>
      </c>
      <c r="F23" s="2" t="s">
        <v>21</v>
      </c>
      <c r="G23" s="2">
        <v>7000</v>
      </c>
      <c r="H23" s="2">
        <v>74000</v>
      </c>
      <c r="I23" s="2" t="s">
        <v>22</v>
      </c>
      <c r="J23" s="2">
        <v>10000</v>
      </c>
      <c r="K23" s="2">
        <v>690</v>
      </c>
      <c r="L23" s="2" t="s">
        <v>23</v>
      </c>
      <c r="M23" s="2" t="s">
        <v>80</v>
      </c>
      <c r="N23" s="2" t="s">
        <v>17</v>
      </c>
      <c r="O23">
        <v>12</v>
      </c>
    </row>
    <row r="24" spans="1:15" x14ac:dyDescent="0.3">
      <c r="A24" s="2">
        <v>23</v>
      </c>
      <c r="B24" s="2" t="s">
        <v>67</v>
      </c>
      <c r="C24" s="2" t="s">
        <v>68</v>
      </c>
      <c r="D24" s="2">
        <v>35</v>
      </c>
      <c r="E24" s="2" t="s">
        <v>20</v>
      </c>
      <c r="F24" s="2" t="s">
        <v>14</v>
      </c>
      <c r="G24" s="2">
        <v>6000</v>
      </c>
      <c r="H24" s="2">
        <v>68000</v>
      </c>
      <c r="I24" s="2" t="s">
        <v>15</v>
      </c>
      <c r="J24" s="2">
        <v>0</v>
      </c>
      <c r="K24" s="2">
        <v>720</v>
      </c>
      <c r="L24" s="2" t="s">
        <v>27</v>
      </c>
      <c r="M24" s="2" t="s">
        <v>80</v>
      </c>
      <c r="N24" s="2" t="s">
        <v>24</v>
      </c>
      <c r="O24">
        <v>11</v>
      </c>
    </row>
    <row r="25" spans="1:15" hidden="1" x14ac:dyDescent="0.3">
      <c r="A25" s="2">
        <v>24</v>
      </c>
      <c r="B25" s="2" t="s">
        <v>69</v>
      </c>
      <c r="C25" s="2" t="s">
        <v>70</v>
      </c>
      <c r="D25" s="2">
        <v>29</v>
      </c>
      <c r="E25" s="2" t="s">
        <v>13</v>
      </c>
      <c r="F25" s="2" t="s">
        <v>21</v>
      </c>
      <c r="G25" s="2">
        <v>2500</v>
      </c>
      <c r="H25" s="2">
        <v>45000</v>
      </c>
      <c r="I25" s="2" t="s">
        <v>22</v>
      </c>
      <c r="J25" s="2">
        <v>5000</v>
      </c>
      <c r="K25" s="2">
        <v>670</v>
      </c>
      <c r="L25" s="2" t="s">
        <v>30</v>
      </c>
      <c r="M25" s="2" t="s">
        <v>80</v>
      </c>
      <c r="N25" s="2" t="s">
        <v>17</v>
      </c>
      <c r="O25">
        <v>8</v>
      </c>
    </row>
    <row r="26" spans="1:15" x14ac:dyDescent="0.3">
      <c r="A26" s="2">
        <v>25</v>
      </c>
      <c r="B26" s="2" t="s">
        <v>71</v>
      </c>
      <c r="C26" s="2" t="s">
        <v>72</v>
      </c>
      <c r="D26" s="2">
        <v>42</v>
      </c>
      <c r="E26" s="2" t="s">
        <v>20</v>
      </c>
      <c r="F26" s="2" t="s">
        <v>14</v>
      </c>
      <c r="G26" s="2">
        <v>11000</v>
      </c>
      <c r="H26" s="2">
        <v>80000</v>
      </c>
      <c r="I26" s="2" t="s">
        <v>15</v>
      </c>
      <c r="J26" s="2">
        <v>0</v>
      </c>
      <c r="K26" s="2">
        <v>740</v>
      </c>
      <c r="L26" s="2" t="s">
        <v>16</v>
      </c>
      <c r="M26" s="2" t="s">
        <v>81</v>
      </c>
      <c r="N26" s="2" t="s">
        <v>24</v>
      </c>
      <c r="O26">
        <v>4</v>
      </c>
    </row>
    <row r="27" spans="1:15" hidden="1" x14ac:dyDescent="0.3">
      <c r="A27" s="2">
        <v>26</v>
      </c>
      <c r="B27" s="2" t="s">
        <v>28</v>
      </c>
      <c r="C27" s="2" t="s">
        <v>73</v>
      </c>
      <c r="D27" s="2">
        <v>50</v>
      </c>
      <c r="E27" s="2" t="s">
        <v>13</v>
      </c>
      <c r="F27" s="2" t="s">
        <v>21</v>
      </c>
      <c r="G27" s="2">
        <v>3000</v>
      </c>
      <c r="H27" s="2">
        <v>47000</v>
      </c>
      <c r="I27" s="2" t="s">
        <v>22</v>
      </c>
      <c r="J27" s="2">
        <v>8000</v>
      </c>
      <c r="K27" s="2">
        <v>680</v>
      </c>
      <c r="L27" s="2" t="s">
        <v>23</v>
      </c>
      <c r="M27" s="2" t="s">
        <v>81</v>
      </c>
      <c r="N27" s="2" t="s">
        <v>17</v>
      </c>
      <c r="O27">
        <v>13</v>
      </c>
    </row>
    <row r="28" spans="1:15" x14ac:dyDescent="0.3">
      <c r="A28" s="2">
        <v>27</v>
      </c>
      <c r="B28" s="2" t="s">
        <v>74</v>
      </c>
      <c r="C28" s="2" t="s">
        <v>75</v>
      </c>
      <c r="D28" s="2">
        <v>28</v>
      </c>
      <c r="E28" s="2" t="s">
        <v>20</v>
      </c>
      <c r="F28" s="2" t="s">
        <v>14</v>
      </c>
      <c r="G28" s="2">
        <v>4000</v>
      </c>
      <c r="H28" s="2">
        <v>53000</v>
      </c>
      <c r="I28" s="2" t="s">
        <v>15</v>
      </c>
      <c r="J28" s="2">
        <v>0</v>
      </c>
      <c r="K28" s="2">
        <v>690</v>
      </c>
      <c r="L28" s="2" t="s">
        <v>27</v>
      </c>
      <c r="M28" s="2" t="s">
        <v>79</v>
      </c>
      <c r="N28" s="2" t="s">
        <v>24</v>
      </c>
      <c r="O28">
        <v>7</v>
      </c>
    </row>
    <row r="29" spans="1:15" hidden="1" x14ac:dyDescent="0.3">
      <c r="A29" s="2">
        <v>28</v>
      </c>
      <c r="B29" s="2" t="s">
        <v>37</v>
      </c>
      <c r="C29" s="2" t="s">
        <v>34</v>
      </c>
      <c r="D29" s="2">
        <v>36</v>
      </c>
      <c r="E29" s="2" t="s">
        <v>13</v>
      </c>
      <c r="F29" s="2" t="s">
        <v>21</v>
      </c>
      <c r="G29" s="2">
        <v>9000</v>
      </c>
      <c r="H29" s="2">
        <v>71000</v>
      </c>
      <c r="I29" s="2" t="s">
        <v>22</v>
      </c>
      <c r="J29" s="2">
        <v>13000</v>
      </c>
      <c r="K29" s="2">
        <v>700</v>
      </c>
      <c r="L29" s="2" t="s">
        <v>30</v>
      </c>
      <c r="M29" s="2" t="s">
        <v>80</v>
      </c>
      <c r="N29" s="2" t="s">
        <v>17</v>
      </c>
      <c r="O29">
        <v>4</v>
      </c>
    </row>
    <row r="30" spans="1:15" x14ac:dyDescent="0.3">
      <c r="A30" s="2">
        <v>29</v>
      </c>
      <c r="B30" s="2" t="s">
        <v>76</v>
      </c>
      <c r="C30" s="2" t="s">
        <v>77</v>
      </c>
      <c r="D30" s="2">
        <v>41</v>
      </c>
      <c r="E30" s="2" t="s">
        <v>20</v>
      </c>
      <c r="F30" s="2" t="s">
        <v>14</v>
      </c>
      <c r="G30" s="2">
        <v>8000</v>
      </c>
      <c r="H30" s="2">
        <v>67000</v>
      </c>
      <c r="I30" s="2" t="s">
        <v>15</v>
      </c>
      <c r="J30" s="2">
        <v>0</v>
      </c>
      <c r="K30" s="2">
        <v>710</v>
      </c>
      <c r="L30" s="2" t="s">
        <v>16</v>
      </c>
      <c r="M30" s="2" t="s">
        <v>81</v>
      </c>
      <c r="N30" s="2" t="s">
        <v>24</v>
      </c>
      <c r="O30">
        <v>14</v>
      </c>
    </row>
    <row r="31" spans="1:15" hidden="1" x14ac:dyDescent="0.3">
      <c r="A31" s="2">
        <v>30</v>
      </c>
      <c r="B31" s="2" t="s">
        <v>78</v>
      </c>
      <c r="C31" s="2" t="s">
        <v>52</v>
      </c>
      <c r="D31" s="2">
        <v>30</v>
      </c>
      <c r="E31" s="2" t="s">
        <v>13</v>
      </c>
      <c r="F31" s="2" t="s">
        <v>21</v>
      </c>
      <c r="G31" s="2">
        <v>5000</v>
      </c>
      <c r="H31" s="2">
        <v>55000</v>
      </c>
      <c r="I31" s="2" t="s">
        <v>22</v>
      </c>
      <c r="J31" s="2">
        <v>7000</v>
      </c>
      <c r="K31" s="2">
        <v>690</v>
      </c>
      <c r="L31" s="2" t="s">
        <v>23</v>
      </c>
      <c r="M31" s="2" t="s">
        <v>81</v>
      </c>
      <c r="N31" s="2" t="s">
        <v>17</v>
      </c>
      <c r="O31">
        <v>5</v>
      </c>
    </row>
    <row r="32" spans="1:15" x14ac:dyDescent="0.3">
      <c r="A32" s="2">
        <v>31</v>
      </c>
      <c r="B32" s="2" t="s">
        <v>39</v>
      </c>
      <c r="C32" s="2" t="s">
        <v>72</v>
      </c>
      <c r="D32" s="2">
        <v>29</v>
      </c>
      <c r="E32" s="2" t="s">
        <v>20</v>
      </c>
      <c r="F32" s="2" t="s">
        <v>14</v>
      </c>
      <c r="G32" s="2">
        <v>3000</v>
      </c>
      <c r="H32" s="2">
        <v>48000</v>
      </c>
      <c r="I32" s="2" t="s">
        <v>15</v>
      </c>
      <c r="J32" s="2">
        <v>0</v>
      </c>
      <c r="K32" s="2">
        <v>670</v>
      </c>
      <c r="L32" s="2" t="s">
        <v>27</v>
      </c>
      <c r="M32" s="2" t="s">
        <v>79</v>
      </c>
      <c r="N32" s="2" t="s">
        <v>24</v>
      </c>
      <c r="O32">
        <v>10</v>
      </c>
    </row>
    <row r="33" spans="1:15" hidden="1" x14ac:dyDescent="0.3">
      <c r="A33" s="2">
        <v>32</v>
      </c>
      <c r="B33" s="2" t="s">
        <v>41</v>
      </c>
      <c r="C33" s="2" t="s">
        <v>40</v>
      </c>
      <c r="D33" s="2">
        <v>34</v>
      </c>
      <c r="E33" s="2" t="s">
        <v>13</v>
      </c>
      <c r="F33" s="2" t="s">
        <v>21</v>
      </c>
      <c r="G33" s="2">
        <v>11000</v>
      </c>
      <c r="H33" s="2">
        <v>62000</v>
      </c>
      <c r="I33" s="2" t="s">
        <v>22</v>
      </c>
      <c r="J33" s="2">
        <v>12000</v>
      </c>
      <c r="K33" s="2">
        <v>720</v>
      </c>
      <c r="L33" s="2" t="s">
        <v>30</v>
      </c>
      <c r="M33" s="2" t="s">
        <v>79</v>
      </c>
      <c r="N33" s="2" t="s">
        <v>17</v>
      </c>
      <c r="O33">
        <v>10</v>
      </c>
    </row>
    <row r="34" spans="1:15" x14ac:dyDescent="0.3">
      <c r="A34" s="2">
        <v>33</v>
      </c>
      <c r="B34" s="2" t="s">
        <v>47</v>
      </c>
      <c r="C34" s="2" t="s">
        <v>70</v>
      </c>
      <c r="D34" s="2">
        <v>37</v>
      </c>
      <c r="E34" s="2" t="s">
        <v>20</v>
      </c>
      <c r="F34" s="2" t="s">
        <v>14</v>
      </c>
      <c r="G34" s="2">
        <v>5500</v>
      </c>
      <c r="H34" s="2">
        <v>69000</v>
      </c>
      <c r="I34" s="2" t="s">
        <v>15</v>
      </c>
      <c r="J34" s="2">
        <v>0</v>
      </c>
      <c r="K34" s="2">
        <v>710</v>
      </c>
      <c r="L34" s="2" t="s">
        <v>16</v>
      </c>
      <c r="M34" s="2" t="s">
        <v>79</v>
      </c>
      <c r="N34" s="2" t="s">
        <v>24</v>
      </c>
      <c r="O34">
        <v>7</v>
      </c>
    </row>
    <row r="35" spans="1:15" hidden="1" x14ac:dyDescent="0.3">
      <c r="A35" s="2">
        <v>34</v>
      </c>
      <c r="B35" s="2" t="s">
        <v>53</v>
      </c>
      <c r="C35" s="2" t="s">
        <v>19</v>
      </c>
      <c r="D35" s="2">
        <v>45</v>
      </c>
      <c r="E35" s="2" t="s">
        <v>13</v>
      </c>
      <c r="F35" s="2" t="s">
        <v>14</v>
      </c>
      <c r="G35" s="2">
        <v>7000</v>
      </c>
      <c r="H35" s="2">
        <v>74000</v>
      </c>
      <c r="I35" s="2" t="s">
        <v>22</v>
      </c>
      <c r="J35" s="2">
        <v>15000</v>
      </c>
      <c r="K35" s="2">
        <v>680</v>
      </c>
      <c r="L35" s="2" t="s">
        <v>23</v>
      </c>
      <c r="M35" s="2" t="s">
        <v>79</v>
      </c>
      <c r="N35" s="2" t="s">
        <v>17</v>
      </c>
      <c r="O35">
        <v>5</v>
      </c>
    </row>
    <row r="36" spans="1:15" x14ac:dyDescent="0.3">
      <c r="A36" s="2">
        <v>35</v>
      </c>
      <c r="B36" s="2" t="s">
        <v>63</v>
      </c>
      <c r="C36" s="2" t="s">
        <v>26</v>
      </c>
      <c r="D36" s="2">
        <v>40</v>
      </c>
      <c r="E36" s="2" t="s">
        <v>20</v>
      </c>
      <c r="F36" s="2" t="s">
        <v>14</v>
      </c>
      <c r="G36" s="2">
        <v>2000</v>
      </c>
      <c r="H36" s="2">
        <v>50000</v>
      </c>
      <c r="I36" s="2" t="s">
        <v>15</v>
      </c>
      <c r="J36" s="2">
        <v>0</v>
      </c>
      <c r="K36" s="2">
        <v>720</v>
      </c>
      <c r="L36" s="2" t="s">
        <v>27</v>
      </c>
      <c r="M36" s="2" t="s">
        <v>79</v>
      </c>
      <c r="N36" s="2" t="s">
        <v>24</v>
      </c>
      <c r="O36">
        <v>15</v>
      </c>
    </row>
    <row r="37" spans="1:15" hidden="1" x14ac:dyDescent="0.3">
      <c r="A37" s="2">
        <v>36</v>
      </c>
      <c r="B37" s="2" t="s">
        <v>33</v>
      </c>
      <c r="C37" s="2" t="s">
        <v>44</v>
      </c>
      <c r="D37" s="2">
        <v>27</v>
      </c>
      <c r="E37" s="2" t="s">
        <v>13</v>
      </c>
      <c r="F37" s="2" t="s">
        <v>21</v>
      </c>
      <c r="G37" s="2">
        <v>6000</v>
      </c>
      <c r="H37" s="2">
        <v>55000</v>
      </c>
      <c r="I37" s="2" t="s">
        <v>22</v>
      </c>
      <c r="J37" s="2">
        <v>10000</v>
      </c>
      <c r="K37" s="2">
        <v>690</v>
      </c>
      <c r="L37" s="2" t="s">
        <v>30</v>
      </c>
      <c r="M37" s="2" t="s">
        <v>79</v>
      </c>
      <c r="N37" s="2" t="s">
        <v>17</v>
      </c>
      <c r="O37">
        <v>4</v>
      </c>
    </row>
    <row r="38" spans="1:15" x14ac:dyDescent="0.3">
      <c r="A38" s="2">
        <v>37</v>
      </c>
      <c r="B38" s="2" t="s">
        <v>43</v>
      </c>
      <c r="C38" s="2" t="s">
        <v>77</v>
      </c>
      <c r="D38" s="2">
        <v>31</v>
      </c>
      <c r="E38" s="2" t="s">
        <v>20</v>
      </c>
      <c r="F38" s="2" t="s">
        <v>14</v>
      </c>
      <c r="G38" s="2">
        <v>3500</v>
      </c>
      <c r="H38" s="2">
        <v>62000</v>
      </c>
      <c r="I38" s="2" t="s">
        <v>15</v>
      </c>
      <c r="J38" s="2">
        <v>0</v>
      </c>
      <c r="K38" s="2">
        <v>680</v>
      </c>
      <c r="L38" s="2" t="s">
        <v>16</v>
      </c>
      <c r="M38" s="2" t="s">
        <v>81</v>
      </c>
      <c r="N38" s="2" t="s">
        <v>24</v>
      </c>
      <c r="O38">
        <v>15</v>
      </c>
    </row>
    <row r="39" spans="1:15" hidden="1" x14ac:dyDescent="0.3">
      <c r="A39" s="2">
        <v>38</v>
      </c>
      <c r="B39" s="2" t="s">
        <v>49</v>
      </c>
      <c r="C39" s="2" t="s">
        <v>46</v>
      </c>
      <c r="D39" s="2">
        <v>53</v>
      </c>
      <c r="E39" s="2" t="s">
        <v>13</v>
      </c>
      <c r="F39" s="2" t="s">
        <v>21</v>
      </c>
      <c r="G39" s="2">
        <v>4000</v>
      </c>
      <c r="H39" s="2">
        <v>48000</v>
      </c>
      <c r="I39" s="2" t="s">
        <v>22</v>
      </c>
      <c r="J39" s="2">
        <v>5000</v>
      </c>
      <c r="K39" s="2">
        <v>710</v>
      </c>
      <c r="L39" s="2" t="s">
        <v>23</v>
      </c>
      <c r="M39" s="2" t="s">
        <v>81</v>
      </c>
      <c r="N39" s="2" t="s">
        <v>17</v>
      </c>
      <c r="O39" t="s">
        <v>294</v>
      </c>
    </row>
    <row r="40" spans="1:15" x14ac:dyDescent="0.3">
      <c r="A40" s="2">
        <v>39</v>
      </c>
      <c r="B40" s="2" t="s">
        <v>59</v>
      </c>
      <c r="C40" s="2" t="s">
        <v>66</v>
      </c>
      <c r="D40" s="2">
        <v>28</v>
      </c>
      <c r="E40" s="2" t="s">
        <v>20</v>
      </c>
      <c r="F40" s="2" t="s">
        <v>14</v>
      </c>
      <c r="G40" s="2">
        <v>5500</v>
      </c>
      <c r="H40" s="2">
        <v>59000</v>
      </c>
      <c r="I40" s="2" t="s">
        <v>15</v>
      </c>
      <c r="J40" s="2">
        <v>0</v>
      </c>
      <c r="K40" s="2">
        <v>700</v>
      </c>
      <c r="L40" s="2" t="s">
        <v>27</v>
      </c>
      <c r="M40" s="2" t="s">
        <v>81</v>
      </c>
      <c r="N40" s="2" t="s">
        <v>24</v>
      </c>
      <c r="O40">
        <v>14</v>
      </c>
    </row>
    <row r="41" spans="1:15" hidden="1" x14ac:dyDescent="0.3">
      <c r="A41" s="2">
        <v>40</v>
      </c>
      <c r="B41" s="2" t="s">
        <v>61</v>
      </c>
      <c r="C41" s="2" t="s">
        <v>32</v>
      </c>
      <c r="D41" s="2">
        <v>46</v>
      </c>
      <c r="E41" s="2" t="s">
        <v>13</v>
      </c>
      <c r="F41" s="2" t="s">
        <v>21</v>
      </c>
      <c r="G41" s="2">
        <v>9000</v>
      </c>
      <c r="H41" s="2">
        <v>73000</v>
      </c>
      <c r="I41" s="2" t="s">
        <v>22</v>
      </c>
      <c r="J41" s="2">
        <v>13000</v>
      </c>
      <c r="K41" s="2">
        <v>720</v>
      </c>
      <c r="L41" s="2" t="s">
        <v>30</v>
      </c>
      <c r="M41" s="2" t="s">
        <v>81</v>
      </c>
      <c r="N41" s="2" t="s">
        <v>17</v>
      </c>
      <c r="O41">
        <v>8</v>
      </c>
    </row>
    <row r="42" spans="1:15" x14ac:dyDescent="0.3">
      <c r="A42" s="2">
        <v>41</v>
      </c>
      <c r="B42" s="2" t="s">
        <v>67</v>
      </c>
      <c r="C42" s="2" t="s">
        <v>52</v>
      </c>
      <c r="D42" s="2">
        <v>39</v>
      </c>
      <c r="E42" s="2" t="s">
        <v>20</v>
      </c>
      <c r="F42" s="2" t="s">
        <v>14</v>
      </c>
      <c r="G42" s="2">
        <v>4000</v>
      </c>
      <c r="H42" s="2">
        <v>65000</v>
      </c>
      <c r="I42" s="2" t="s">
        <v>15</v>
      </c>
      <c r="J42" s="2">
        <v>0</v>
      </c>
      <c r="K42" s="2">
        <v>680</v>
      </c>
      <c r="L42" s="2" t="s">
        <v>16</v>
      </c>
      <c r="M42" s="2" t="s">
        <v>81</v>
      </c>
      <c r="N42" s="2" t="s">
        <v>24</v>
      </c>
      <c r="O42">
        <v>15</v>
      </c>
    </row>
    <row r="43" spans="1:15" hidden="1" x14ac:dyDescent="0.3">
      <c r="A43" s="2">
        <v>42</v>
      </c>
      <c r="B43" s="2" t="s">
        <v>57</v>
      </c>
      <c r="C43" s="2" t="s">
        <v>34</v>
      </c>
      <c r="D43" s="2">
        <v>27</v>
      </c>
      <c r="E43" s="2" t="s">
        <v>13</v>
      </c>
      <c r="F43" s="2" t="s">
        <v>21</v>
      </c>
      <c r="G43" s="2">
        <v>8000</v>
      </c>
      <c r="H43" s="2">
        <v>60000</v>
      </c>
      <c r="I43" s="2" t="s">
        <v>22</v>
      </c>
      <c r="J43" s="2">
        <v>8000</v>
      </c>
      <c r="K43" s="2">
        <v>710</v>
      </c>
      <c r="L43" s="2" t="s">
        <v>23</v>
      </c>
      <c r="M43" s="2" t="s">
        <v>81</v>
      </c>
      <c r="N43" s="2" t="s">
        <v>17</v>
      </c>
      <c r="O43">
        <v>9</v>
      </c>
    </row>
    <row r="44" spans="1:15" x14ac:dyDescent="0.3">
      <c r="A44" s="2">
        <v>43</v>
      </c>
      <c r="B44" s="2" t="s">
        <v>71</v>
      </c>
      <c r="C44" s="2" t="s">
        <v>72</v>
      </c>
      <c r="D44" s="2">
        <v>34</v>
      </c>
      <c r="E44" s="2" t="s">
        <v>20</v>
      </c>
      <c r="F44" s="2" t="s">
        <v>14</v>
      </c>
      <c r="G44" s="2">
        <v>2500</v>
      </c>
      <c r="H44" s="2">
        <v>53000</v>
      </c>
      <c r="I44" s="2" t="s">
        <v>15</v>
      </c>
      <c r="J44" s="2">
        <v>0</v>
      </c>
      <c r="K44" s="2">
        <v>690</v>
      </c>
      <c r="L44" s="2" t="s">
        <v>27</v>
      </c>
      <c r="M44" s="2" t="s">
        <v>80</v>
      </c>
      <c r="N44" s="2" t="s">
        <v>24</v>
      </c>
      <c r="O44">
        <v>4</v>
      </c>
    </row>
    <row r="45" spans="1:15" hidden="1" x14ac:dyDescent="0.3">
      <c r="A45" s="2">
        <v>44</v>
      </c>
      <c r="B45" s="2" t="s">
        <v>37</v>
      </c>
      <c r="C45" s="2" t="s">
        <v>75</v>
      </c>
      <c r="D45" s="2">
        <v>32</v>
      </c>
      <c r="E45" s="2" t="s">
        <v>13</v>
      </c>
      <c r="F45" s="2" t="s">
        <v>21</v>
      </c>
      <c r="G45" s="2">
        <v>12000</v>
      </c>
      <c r="H45" s="2">
        <v>68000</v>
      </c>
      <c r="I45" s="2" t="s">
        <v>22</v>
      </c>
      <c r="J45" s="2">
        <v>15000</v>
      </c>
      <c r="K45" s="2">
        <v>720</v>
      </c>
      <c r="L45" s="2" t="s">
        <v>30</v>
      </c>
      <c r="M45" s="2" t="s">
        <v>80</v>
      </c>
      <c r="N45" s="2" t="s">
        <v>17</v>
      </c>
      <c r="O45" t="s">
        <v>294</v>
      </c>
    </row>
    <row r="46" spans="1:15" x14ac:dyDescent="0.3">
      <c r="A46" s="2">
        <v>45</v>
      </c>
      <c r="B46" s="2" t="s">
        <v>76</v>
      </c>
      <c r="C46" s="2" t="s">
        <v>50</v>
      </c>
      <c r="D46" s="2">
        <v>49</v>
      </c>
      <c r="E46" s="2" t="s">
        <v>20</v>
      </c>
      <c r="F46" s="2" t="s">
        <v>14</v>
      </c>
      <c r="G46" s="2">
        <v>7000</v>
      </c>
      <c r="H46" s="2">
        <v>71000</v>
      </c>
      <c r="I46" s="2" t="s">
        <v>15</v>
      </c>
      <c r="J46" s="2">
        <v>0</v>
      </c>
      <c r="K46" s="2">
        <v>680</v>
      </c>
      <c r="L46" s="2" t="s">
        <v>16</v>
      </c>
      <c r="M46" s="2" t="s">
        <v>80</v>
      </c>
      <c r="N46" s="2" t="s">
        <v>24</v>
      </c>
      <c r="O46">
        <v>5</v>
      </c>
    </row>
    <row r="47" spans="1:15" hidden="1" x14ac:dyDescent="0.3">
      <c r="A47" s="2">
        <v>46</v>
      </c>
      <c r="B47" s="2" t="s">
        <v>78</v>
      </c>
      <c r="C47" s="2" t="s">
        <v>60</v>
      </c>
      <c r="D47" s="2">
        <v>24</v>
      </c>
      <c r="E47" s="2" t="s">
        <v>13</v>
      </c>
      <c r="F47" s="2" t="s">
        <v>21</v>
      </c>
      <c r="G47" s="2">
        <v>5000</v>
      </c>
      <c r="H47" s="2">
        <v>56000</v>
      </c>
      <c r="I47" s="2" t="s">
        <v>22</v>
      </c>
      <c r="J47" s="2">
        <v>10000</v>
      </c>
      <c r="K47" s="2">
        <v>700</v>
      </c>
      <c r="L47" s="2" t="s">
        <v>23</v>
      </c>
      <c r="M47" s="2" t="s">
        <v>80</v>
      </c>
      <c r="N47" s="2" t="s">
        <v>17</v>
      </c>
      <c r="O47">
        <v>11</v>
      </c>
    </row>
    <row r="48" spans="1:15" x14ac:dyDescent="0.3">
      <c r="A48" s="2">
        <v>47</v>
      </c>
      <c r="B48" s="2" t="s">
        <v>39</v>
      </c>
      <c r="C48" s="2" t="s">
        <v>77</v>
      </c>
      <c r="D48" s="2">
        <v>29</v>
      </c>
      <c r="E48" s="2" t="s">
        <v>20</v>
      </c>
      <c r="F48" s="2" t="s">
        <v>14</v>
      </c>
      <c r="G48" s="2">
        <v>1500</v>
      </c>
      <c r="H48" s="2">
        <v>45000</v>
      </c>
      <c r="I48" s="2" t="s">
        <v>15</v>
      </c>
      <c r="J48" s="2">
        <v>0</v>
      </c>
      <c r="K48" s="2">
        <v>670</v>
      </c>
      <c r="L48" s="2" t="s">
        <v>27</v>
      </c>
      <c r="M48" s="2" t="s">
        <v>80</v>
      </c>
      <c r="N48" s="2" t="s">
        <v>24</v>
      </c>
      <c r="O48">
        <v>4</v>
      </c>
    </row>
    <row r="49" spans="1:15" hidden="1" x14ac:dyDescent="0.3">
      <c r="A49" s="2">
        <v>48</v>
      </c>
      <c r="B49" s="2" t="s">
        <v>41</v>
      </c>
      <c r="C49" s="2" t="s">
        <v>44</v>
      </c>
      <c r="D49" s="2">
        <v>43</v>
      </c>
      <c r="E49" s="2" t="s">
        <v>13</v>
      </c>
      <c r="F49" s="2" t="s">
        <v>21</v>
      </c>
      <c r="G49" s="2">
        <v>11000</v>
      </c>
      <c r="H49" s="2">
        <v>74000</v>
      </c>
      <c r="I49" s="2" t="s">
        <v>22</v>
      </c>
      <c r="J49" s="2">
        <v>12000</v>
      </c>
      <c r="K49" s="2">
        <v>720</v>
      </c>
      <c r="L49" s="2" t="s">
        <v>30</v>
      </c>
      <c r="M49" s="2" t="s">
        <v>80</v>
      </c>
      <c r="N49" s="2" t="s">
        <v>17</v>
      </c>
      <c r="O49">
        <v>14</v>
      </c>
    </row>
    <row r="50" spans="1:15" x14ac:dyDescent="0.3">
      <c r="A50" s="2">
        <v>49</v>
      </c>
      <c r="B50" s="2" t="s">
        <v>63</v>
      </c>
      <c r="C50" s="2" t="s">
        <v>46</v>
      </c>
      <c r="D50" s="2">
        <v>36</v>
      </c>
      <c r="E50" s="2" t="s">
        <v>20</v>
      </c>
      <c r="F50" s="2" t="s">
        <v>14</v>
      </c>
      <c r="G50" s="2">
        <v>8000</v>
      </c>
      <c r="H50" s="2">
        <v>63000</v>
      </c>
      <c r="I50" s="2" t="s">
        <v>15</v>
      </c>
      <c r="J50" s="2">
        <v>0</v>
      </c>
      <c r="K50" s="2">
        <v>710</v>
      </c>
      <c r="L50" s="2" t="s">
        <v>16</v>
      </c>
      <c r="M50" s="2" t="s">
        <v>79</v>
      </c>
      <c r="N50" s="2" t="s">
        <v>24</v>
      </c>
      <c r="O50">
        <v>7</v>
      </c>
    </row>
    <row r="51" spans="1:15" hidden="1" x14ac:dyDescent="0.3">
      <c r="A51" s="2">
        <v>50</v>
      </c>
      <c r="B51" s="2" t="s">
        <v>33</v>
      </c>
      <c r="C51" s="2" t="s">
        <v>48</v>
      </c>
      <c r="D51" s="2">
        <v>28</v>
      </c>
      <c r="E51" s="2" t="s">
        <v>13</v>
      </c>
      <c r="F51" s="2" t="s">
        <v>21</v>
      </c>
      <c r="G51" s="2">
        <v>2000</v>
      </c>
      <c r="H51" s="2">
        <v>47000</v>
      </c>
      <c r="I51" s="2" t="s">
        <v>22</v>
      </c>
      <c r="J51" s="2">
        <v>5000</v>
      </c>
      <c r="K51" s="2">
        <v>680</v>
      </c>
      <c r="L51" s="2" t="s">
        <v>23</v>
      </c>
      <c r="M51" s="2" t="s">
        <v>79</v>
      </c>
      <c r="N51" s="2" t="s">
        <v>17</v>
      </c>
      <c r="O51">
        <v>6</v>
      </c>
    </row>
    <row r="52" spans="1:15" x14ac:dyDescent="0.3">
      <c r="A52" s="2">
        <v>51</v>
      </c>
      <c r="B52" s="2" t="s">
        <v>47</v>
      </c>
      <c r="C52" s="2" t="s">
        <v>60</v>
      </c>
      <c r="D52" s="2">
        <v>31</v>
      </c>
      <c r="E52" s="2" t="s">
        <v>20</v>
      </c>
      <c r="F52" s="2" t="s">
        <v>14</v>
      </c>
      <c r="G52" s="2">
        <v>4000</v>
      </c>
      <c r="H52" s="2">
        <v>55000</v>
      </c>
      <c r="I52" s="2" t="s">
        <v>15</v>
      </c>
      <c r="J52" s="2">
        <v>0</v>
      </c>
      <c r="K52" s="2">
        <v>690</v>
      </c>
      <c r="L52" s="2" t="s">
        <v>27</v>
      </c>
      <c r="M52" s="2" t="s">
        <v>80</v>
      </c>
      <c r="N52" s="2" t="s">
        <v>24</v>
      </c>
      <c r="O52">
        <v>4</v>
      </c>
    </row>
    <row r="53" spans="1:15" hidden="1" x14ac:dyDescent="0.3">
      <c r="A53" s="2">
        <v>52</v>
      </c>
      <c r="B53" s="2" t="s">
        <v>53</v>
      </c>
      <c r="C53" s="2" t="s">
        <v>52</v>
      </c>
      <c r="D53" s="2">
        <v>44</v>
      </c>
      <c r="E53" s="2" t="s">
        <v>13</v>
      </c>
      <c r="F53" s="2" t="s">
        <v>21</v>
      </c>
      <c r="G53" s="2">
        <v>6000</v>
      </c>
      <c r="H53" s="2">
        <v>62000</v>
      </c>
      <c r="I53" s="2" t="s">
        <v>22</v>
      </c>
      <c r="J53" s="2">
        <v>10000</v>
      </c>
      <c r="K53" s="2">
        <v>700</v>
      </c>
      <c r="L53" s="2" t="s">
        <v>30</v>
      </c>
      <c r="M53" s="2" t="s">
        <v>80</v>
      </c>
      <c r="N53" s="2" t="s">
        <v>17</v>
      </c>
      <c r="O53">
        <v>7</v>
      </c>
    </row>
    <row r="54" spans="1:15" x14ac:dyDescent="0.3">
      <c r="A54" s="2">
        <v>53</v>
      </c>
      <c r="B54" s="2" t="s">
        <v>59</v>
      </c>
      <c r="C54" s="2" t="s">
        <v>50</v>
      </c>
      <c r="D54" s="2">
        <v>39</v>
      </c>
      <c r="E54" s="2" t="s">
        <v>20</v>
      </c>
      <c r="F54" s="2" t="s">
        <v>14</v>
      </c>
      <c r="G54" s="2">
        <v>9000</v>
      </c>
      <c r="H54" s="2">
        <v>67000</v>
      </c>
      <c r="I54" s="2" t="s">
        <v>15</v>
      </c>
      <c r="J54" s="2">
        <v>0</v>
      </c>
      <c r="K54" s="2">
        <v>720</v>
      </c>
      <c r="L54" s="2" t="s">
        <v>16</v>
      </c>
      <c r="M54" s="2" t="s">
        <v>80</v>
      </c>
      <c r="N54" s="2" t="s">
        <v>24</v>
      </c>
      <c r="O54" t="s">
        <v>294</v>
      </c>
    </row>
    <row r="55" spans="1:15" hidden="1" x14ac:dyDescent="0.3">
      <c r="A55" s="2">
        <v>54</v>
      </c>
      <c r="B55" s="2" t="s">
        <v>61</v>
      </c>
      <c r="C55" s="2" t="s">
        <v>56</v>
      </c>
      <c r="D55" s="2">
        <v>27</v>
      </c>
      <c r="E55" s="2" t="s">
        <v>13</v>
      </c>
      <c r="F55" s="2" t="s">
        <v>21</v>
      </c>
      <c r="G55" s="2">
        <v>2500</v>
      </c>
      <c r="H55" s="2">
        <v>49000</v>
      </c>
      <c r="I55" s="2" t="s">
        <v>22</v>
      </c>
      <c r="J55" s="2">
        <v>7000</v>
      </c>
      <c r="K55" s="2">
        <v>680</v>
      </c>
      <c r="L55" s="2" t="s">
        <v>23</v>
      </c>
      <c r="M55" s="2" t="s">
        <v>81</v>
      </c>
      <c r="N55" s="2" t="s">
        <v>17</v>
      </c>
      <c r="O55">
        <v>4</v>
      </c>
    </row>
    <row r="56" spans="1:15" x14ac:dyDescent="0.3">
      <c r="A56" s="2">
        <v>55</v>
      </c>
      <c r="B56" s="2" t="s">
        <v>76</v>
      </c>
      <c r="C56" s="2" t="s">
        <v>29</v>
      </c>
      <c r="D56" s="2">
        <v>40</v>
      </c>
      <c r="E56" s="2" t="s">
        <v>20</v>
      </c>
      <c r="F56" s="2" t="s">
        <v>14</v>
      </c>
      <c r="G56" s="2">
        <v>7000</v>
      </c>
      <c r="H56" s="2">
        <v>71000</v>
      </c>
      <c r="I56" s="2" t="s">
        <v>15</v>
      </c>
      <c r="J56" s="2">
        <v>0</v>
      </c>
      <c r="K56" s="2">
        <v>710</v>
      </c>
      <c r="L56" s="2" t="s">
        <v>27</v>
      </c>
      <c r="M56" s="2" t="s">
        <v>81</v>
      </c>
      <c r="N56" s="2" t="s">
        <v>24</v>
      </c>
      <c r="O56">
        <v>15</v>
      </c>
    </row>
    <row r="57" spans="1:15" hidden="1" x14ac:dyDescent="0.3">
      <c r="A57" s="2">
        <v>56</v>
      </c>
      <c r="B57" s="2" t="s">
        <v>37</v>
      </c>
      <c r="C57" s="2" t="s">
        <v>66</v>
      </c>
      <c r="D57" s="2">
        <v>34</v>
      </c>
      <c r="E57" s="2" t="s">
        <v>13</v>
      </c>
      <c r="F57" s="2" t="s">
        <v>21</v>
      </c>
      <c r="G57" s="2">
        <v>15000</v>
      </c>
      <c r="H57" s="2">
        <v>73000</v>
      </c>
      <c r="I57" s="2" t="s">
        <v>22</v>
      </c>
      <c r="J57" s="2">
        <v>13000</v>
      </c>
      <c r="K57" s="2">
        <v>720</v>
      </c>
      <c r="L57" s="2" t="s">
        <v>30</v>
      </c>
      <c r="M57" s="2" t="s">
        <v>81</v>
      </c>
      <c r="N57" s="2" t="s">
        <v>17</v>
      </c>
      <c r="O57">
        <v>4</v>
      </c>
    </row>
    <row r="58" spans="1:15" x14ac:dyDescent="0.3">
      <c r="A58" s="2">
        <v>57</v>
      </c>
      <c r="B58" s="2" t="s">
        <v>63</v>
      </c>
      <c r="C58" s="2" t="s">
        <v>58</v>
      </c>
      <c r="D58" s="2">
        <v>29</v>
      </c>
      <c r="E58" s="2" t="s">
        <v>20</v>
      </c>
      <c r="F58" s="2" t="s">
        <v>14</v>
      </c>
      <c r="G58" s="2">
        <v>2500</v>
      </c>
      <c r="H58" s="2">
        <v>47000</v>
      </c>
      <c r="I58" s="2" t="s">
        <v>15</v>
      </c>
      <c r="J58" s="2">
        <v>0</v>
      </c>
      <c r="K58" s="2">
        <v>680</v>
      </c>
      <c r="L58" s="2" t="s">
        <v>16</v>
      </c>
      <c r="M58" s="2" t="s">
        <v>79</v>
      </c>
      <c r="N58" s="2" t="s">
        <v>24</v>
      </c>
      <c r="O58">
        <v>15</v>
      </c>
    </row>
    <row r="59" spans="1:15" hidden="1" x14ac:dyDescent="0.3">
      <c r="A59" s="2">
        <v>58</v>
      </c>
      <c r="B59" s="2" t="s">
        <v>41</v>
      </c>
      <c r="C59" s="2" t="s">
        <v>62</v>
      </c>
      <c r="D59" s="2">
        <v>31</v>
      </c>
      <c r="E59" s="2" t="s">
        <v>13</v>
      </c>
      <c r="F59" s="2" t="s">
        <v>21</v>
      </c>
      <c r="G59" s="2">
        <v>5000</v>
      </c>
      <c r="H59" s="2">
        <v>53000</v>
      </c>
      <c r="I59" s="2" t="s">
        <v>22</v>
      </c>
      <c r="J59" s="2">
        <v>8000</v>
      </c>
      <c r="K59" s="2">
        <v>690</v>
      </c>
      <c r="L59" s="2" t="s">
        <v>23</v>
      </c>
      <c r="M59" s="2" t="s">
        <v>79</v>
      </c>
      <c r="N59" s="2" t="s">
        <v>17</v>
      </c>
      <c r="O59">
        <v>14</v>
      </c>
    </row>
    <row r="60" spans="1:15" x14ac:dyDescent="0.3">
      <c r="A60" s="2">
        <v>59</v>
      </c>
      <c r="B60" s="2" t="s">
        <v>47</v>
      </c>
      <c r="C60" s="2" t="s">
        <v>26</v>
      </c>
      <c r="D60" s="2">
        <v>42</v>
      </c>
      <c r="E60" s="2" t="s">
        <v>20</v>
      </c>
      <c r="F60" s="2" t="s">
        <v>14</v>
      </c>
      <c r="G60" s="2">
        <v>6000</v>
      </c>
      <c r="H60" s="2">
        <v>69000</v>
      </c>
      <c r="I60" s="2" t="s">
        <v>15</v>
      </c>
      <c r="J60" s="2">
        <v>0</v>
      </c>
      <c r="K60" s="2">
        <v>720</v>
      </c>
      <c r="L60" s="2" t="s">
        <v>27</v>
      </c>
      <c r="M60" s="2" t="s">
        <v>79</v>
      </c>
      <c r="N60" s="2" t="s">
        <v>24</v>
      </c>
      <c r="O60">
        <v>10</v>
      </c>
    </row>
    <row r="61" spans="1:15" hidden="1" x14ac:dyDescent="0.3">
      <c r="A61" s="2">
        <v>60</v>
      </c>
      <c r="B61" s="2" t="s">
        <v>33</v>
      </c>
      <c r="C61" s="2" t="s">
        <v>36</v>
      </c>
      <c r="D61" s="2">
        <v>36</v>
      </c>
      <c r="E61" s="2" t="s">
        <v>13</v>
      </c>
      <c r="F61" s="2" t="s">
        <v>21</v>
      </c>
      <c r="G61" s="2">
        <v>2000</v>
      </c>
      <c r="H61" s="2">
        <v>45000</v>
      </c>
      <c r="I61" s="2" t="s">
        <v>22</v>
      </c>
      <c r="J61" s="2">
        <v>5000</v>
      </c>
      <c r="K61" s="2">
        <v>700</v>
      </c>
      <c r="L61" s="2" t="s">
        <v>30</v>
      </c>
      <c r="M61" s="2" t="s">
        <v>79</v>
      </c>
      <c r="N61" s="2" t="s">
        <v>17</v>
      </c>
      <c r="O61">
        <v>14</v>
      </c>
    </row>
    <row r="62" spans="1:15" x14ac:dyDescent="0.3">
      <c r="A62" s="2">
        <v>61</v>
      </c>
      <c r="B62" s="2" t="s">
        <v>35</v>
      </c>
      <c r="C62" s="2" t="s">
        <v>48</v>
      </c>
      <c r="D62" s="2">
        <v>48</v>
      </c>
      <c r="E62" s="2" t="s">
        <v>20</v>
      </c>
      <c r="F62" s="2" t="s">
        <v>14</v>
      </c>
      <c r="G62" s="2">
        <v>8000</v>
      </c>
      <c r="H62" s="2">
        <v>74000</v>
      </c>
      <c r="I62" s="2" t="s">
        <v>15</v>
      </c>
      <c r="J62" s="2">
        <v>0</v>
      </c>
      <c r="K62" s="2">
        <v>680</v>
      </c>
      <c r="L62" s="2" t="s">
        <v>16</v>
      </c>
      <c r="M62" s="2" t="s">
        <v>80</v>
      </c>
      <c r="N62" s="2" t="s">
        <v>24</v>
      </c>
      <c r="O62">
        <v>15</v>
      </c>
    </row>
    <row r="63" spans="1:15" hidden="1" x14ac:dyDescent="0.3">
      <c r="A63" s="2">
        <v>62</v>
      </c>
      <c r="B63" s="2" t="s">
        <v>61</v>
      </c>
      <c r="C63" s="2" t="s">
        <v>19</v>
      </c>
      <c r="D63" s="2">
        <v>33</v>
      </c>
      <c r="E63" s="2" t="s">
        <v>13</v>
      </c>
      <c r="F63" s="2" t="s">
        <v>21</v>
      </c>
      <c r="G63" s="2">
        <v>4000</v>
      </c>
      <c r="H63" s="2">
        <v>60000</v>
      </c>
      <c r="I63" s="2" t="s">
        <v>22</v>
      </c>
      <c r="J63" s="2">
        <v>8000</v>
      </c>
      <c r="K63" s="2">
        <v>720</v>
      </c>
      <c r="L63" s="2" t="s">
        <v>23</v>
      </c>
      <c r="M63" s="2" t="s">
        <v>80</v>
      </c>
      <c r="N63" s="2" t="s">
        <v>17</v>
      </c>
      <c r="O63">
        <v>13</v>
      </c>
    </row>
    <row r="64" spans="1:15" x14ac:dyDescent="0.3">
      <c r="A64" s="2">
        <v>63</v>
      </c>
      <c r="B64" s="2" t="s">
        <v>71</v>
      </c>
      <c r="C64" s="2" t="s">
        <v>32</v>
      </c>
      <c r="D64" s="2">
        <v>29</v>
      </c>
      <c r="E64" s="2" t="s">
        <v>20</v>
      </c>
      <c r="F64" s="2" t="s">
        <v>14</v>
      </c>
      <c r="G64" s="2">
        <v>3500</v>
      </c>
      <c r="H64" s="2">
        <v>55000</v>
      </c>
      <c r="I64" s="2" t="s">
        <v>15</v>
      </c>
      <c r="J64" s="2">
        <v>0</v>
      </c>
      <c r="K64" s="2">
        <v>690</v>
      </c>
      <c r="L64" s="2" t="s">
        <v>27</v>
      </c>
      <c r="M64" s="2" t="s">
        <v>80</v>
      </c>
      <c r="N64" s="2" t="s">
        <v>24</v>
      </c>
      <c r="O64">
        <v>7</v>
      </c>
    </row>
    <row r="65" spans="1:15" hidden="1" x14ac:dyDescent="0.3">
      <c r="A65" s="2">
        <v>64</v>
      </c>
      <c r="B65" s="2" t="s">
        <v>57</v>
      </c>
      <c r="C65" s="2" t="s">
        <v>40</v>
      </c>
      <c r="D65" s="2">
        <v>37</v>
      </c>
      <c r="E65" s="2" t="s">
        <v>13</v>
      </c>
      <c r="F65" s="2" t="s">
        <v>14</v>
      </c>
      <c r="G65" s="2">
        <v>10000</v>
      </c>
      <c r="H65" s="2">
        <v>67000</v>
      </c>
      <c r="I65" s="2" t="s">
        <v>22</v>
      </c>
      <c r="J65" s="2">
        <v>12000</v>
      </c>
      <c r="K65" s="2">
        <v>710</v>
      </c>
      <c r="L65" s="2" t="s">
        <v>30</v>
      </c>
      <c r="M65" s="2" t="s">
        <v>80</v>
      </c>
      <c r="N65" s="2" t="s">
        <v>17</v>
      </c>
      <c r="O65">
        <v>5</v>
      </c>
    </row>
    <row r="66" spans="1:15" x14ac:dyDescent="0.3">
      <c r="A66" s="2">
        <v>65</v>
      </c>
      <c r="B66" s="2" t="s">
        <v>47</v>
      </c>
      <c r="C66" s="2" t="s">
        <v>34</v>
      </c>
      <c r="D66" s="2">
        <v>34</v>
      </c>
      <c r="E66" s="2" t="s">
        <v>20</v>
      </c>
      <c r="F66" s="2" t="s">
        <v>14</v>
      </c>
      <c r="G66" s="2">
        <v>3000</v>
      </c>
      <c r="H66" s="2">
        <v>48000</v>
      </c>
      <c r="I66" s="2" t="s">
        <v>15</v>
      </c>
      <c r="J66" s="2">
        <v>0</v>
      </c>
      <c r="K66" s="2">
        <v>680</v>
      </c>
      <c r="L66" s="2" t="s">
        <v>16</v>
      </c>
      <c r="M66" s="2" t="s">
        <v>81</v>
      </c>
      <c r="N66" s="2" t="s">
        <v>24</v>
      </c>
      <c r="O66" t="s">
        <v>294</v>
      </c>
    </row>
    <row r="67" spans="1:15" hidden="1" x14ac:dyDescent="0.3">
      <c r="A67" s="2">
        <v>66</v>
      </c>
      <c r="B67" s="2" t="s">
        <v>33</v>
      </c>
      <c r="C67" s="2" t="s">
        <v>32</v>
      </c>
      <c r="D67" s="2">
        <v>45</v>
      </c>
      <c r="E67" s="2" t="s">
        <v>13</v>
      </c>
      <c r="F67" s="2" t="s">
        <v>14</v>
      </c>
      <c r="G67" s="2">
        <v>6000</v>
      </c>
      <c r="H67" s="2">
        <v>70000</v>
      </c>
      <c r="I67" s="2" t="s">
        <v>22</v>
      </c>
      <c r="J67" s="2">
        <v>15000</v>
      </c>
      <c r="K67" s="2">
        <v>690</v>
      </c>
      <c r="L67" s="2" t="s">
        <v>23</v>
      </c>
      <c r="M67" s="2" t="s">
        <v>81</v>
      </c>
      <c r="N67" s="2" t="s">
        <v>17</v>
      </c>
      <c r="O67">
        <v>8</v>
      </c>
    </row>
    <row r="68" spans="1:15" x14ac:dyDescent="0.3">
      <c r="A68" s="2">
        <v>67</v>
      </c>
      <c r="B68" s="2" t="s">
        <v>35</v>
      </c>
      <c r="C68" s="2" t="s">
        <v>36</v>
      </c>
      <c r="D68" s="2">
        <v>28</v>
      </c>
      <c r="E68" s="2" t="s">
        <v>20</v>
      </c>
      <c r="F68" s="2" t="s">
        <v>14</v>
      </c>
      <c r="G68" s="2">
        <v>5500</v>
      </c>
      <c r="H68" s="2">
        <v>62000</v>
      </c>
      <c r="I68" s="2" t="s">
        <v>15</v>
      </c>
      <c r="J68" s="2">
        <v>0</v>
      </c>
      <c r="K68" s="2">
        <v>700</v>
      </c>
      <c r="L68" s="2" t="s">
        <v>27</v>
      </c>
      <c r="M68" s="2" t="s">
        <v>81</v>
      </c>
      <c r="N68" s="2" t="s">
        <v>24</v>
      </c>
      <c r="O68">
        <v>4</v>
      </c>
    </row>
    <row r="69" spans="1:15" hidden="1" x14ac:dyDescent="0.3">
      <c r="A69" s="2">
        <v>68</v>
      </c>
      <c r="B69" s="2" t="s">
        <v>61</v>
      </c>
      <c r="C69" s="2" t="s">
        <v>60</v>
      </c>
      <c r="D69" s="2">
        <v>42</v>
      </c>
      <c r="E69" s="2" t="s">
        <v>13</v>
      </c>
      <c r="F69" s="2" t="s">
        <v>21</v>
      </c>
      <c r="G69" s="2">
        <v>8000</v>
      </c>
      <c r="H69" s="2">
        <v>73000</v>
      </c>
      <c r="I69" s="2" t="s">
        <v>22</v>
      </c>
      <c r="J69" s="2">
        <v>10000</v>
      </c>
      <c r="K69" s="2">
        <v>720</v>
      </c>
      <c r="L69" s="2" t="s">
        <v>30</v>
      </c>
      <c r="M69" s="2" t="s">
        <v>81</v>
      </c>
      <c r="N69" s="2" t="s">
        <v>17</v>
      </c>
      <c r="O69">
        <v>3</v>
      </c>
    </row>
    <row r="70" spans="1:15" x14ac:dyDescent="0.3">
      <c r="A70" s="2">
        <v>69</v>
      </c>
      <c r="B70" s="2" t="s">
        <v>25</v>
      </c>
      <c r="C70" s="2" t="s">
        <v>46</v>
      </c>
      <c r="D70" s="2">
        <v>31</v>
      </c>
      <c r="E70" s="2" t="s">
        <v>20</v>
      </c>
      <c r="F70" s="2" t="s">
        <v>14</v>
      </c>
      <c r="G70" s="2">
        <v>1500</v>
      </c>
      <c r="H70" s="2">
        <v>51000</v>
      </c>
      <c r="I70" s="2" t="s">
        <v>15</v>
      </c>
      <c r="J70" s="2">
        <v>0</v>
      </c>
      <c r="K70" s="2">
        <v>680</v>
      </c>
      <c r="L70" s="2" t="s">
        <v>16</v>
      </c>
      <c r="M70" s="2" t="s">
        <v>79</v>
      </c>
      <c r="N70" s="2" t="s">
        <v>24</v>
      </c>
      <c r="O70">
        <v>7</v>
      </c>
    </row>
    <row r="71" spans="1:15" hidden="1" x14ac:dyDescent="0.3">
      <c r="A71" s="2">
        <v>70</v>
      </c>
      <c r="B71" s="2" t="s">
        <v>37</v>
      </c>
      <c r="C71" s="2" t="s">
        <v>48</v>
      </c>
      <c r="D71" s="2">
        <v>29</v>
      </c>
      <c r="E71" s="2" t="s">
        <v>13</v>
      </c>
      <c r="F71" s="2" t="s">
        <v>21</v>
      </c>
      <c r="G71" s="2">
        <v>5000</v>
      </c>
      <c r="H71" s="2">
        <v>53000</v>
      </c>
      <c r="I71" s="2" t="s">
        <v>22</v>
      </c>
      <c r="J71" s="2">
        <v>7000</v>
      </c>
      <c r="K71" s="2">
        <v>690</v>
      </c>
      <c r="L71" s="2" t="s">
        <v>23</v>
      </c>
      <c r="M71" s="2" t="s">
        <v>79</v>
      </c>
      <c r="N71" s="2" t="s">
        <v>17</v>
      </c>
      <c r="O71">
        <v>12</v>
      </c>
    </row>
    <row r="72" spans="1:15" x14ac:dyDescent="0.3">
      <c r="A72" s="2">
        <v>71</v>
      </c>
      <c r="B72" s="2" t="s">
        <v>47</v>
      </c>
      <c r="C72" s="2" t="s">
        <v>29</v>
      </c>
      <c r="D72" s="2">
        <v>36</v>
      </c>
      <c r="E72" s="2" t="s">
        <v>20</v>
      </c>
      <c r="F72" s="2" t="s">
        <v>14</v>
      </c>
      <c r="G72" s="2">
        <v>6000</v>
      </c>
      <c r="H72" s="2">
        <v>67000</v>
      </c>
      <c r="I72" s="2" t="s">
        <v>15</v>
      </c>
      <c r="J72" s="2">
        <v>0</v>
      </c>
      <c r="K72" s="2">
        <v>710</v>
      </c>
      <c r="L72" s="2" t="s">
        <v>27</v>
      </c>
      <c r="M72" s="2" t="s">
        <v>79</v>
      </c>
      <c r="N72" s="2" t="s">
        <v>24</v>
      </c>
      <c r="O72">
        <v>11</v>
      </c>
    </row>
    <row r="73" spans="1:15" hidden="1" x14ac:dyDescent="0.3">
      <c r="A73" s="2">
        <v>72</v>
      </c>
      <c r="B73" s="2" t="s">
        <v>33</v>
      </c>
      <c r="C73" s="2" t="s">
        <v>26</v>
      </c>
      <c r="D73" s="2">
        <v>43</v>
      </c>
      <c r="E73" s="2" t="s">
        <v>13</v>
      </c>
      <c r="F73" s="2" t="s">
        <v>14</v>
      </c>
      <c r="G73" s="2">
        <v>4000</v>
      </c>
      <c r="H73" s="2">
        <v>46000</v>
      </c>
      <c r="I73" s="2" t="s">
        <v>22</v>
      </c>
      <c r="J73" s="2">
        <v>6000</v>
      </c>
      <c r="K73" s="2">
        <v>720</v>
      </c>
      <c r="L73" s="2" t="s">
        <v>30</v>
      </c>
      <c r="M73" s="2" t="s">
        <v>80</v>
      </c>
      <c r="N73" s="2" t="s">
        <v>17</v>
      </c>
      <c r="O73" t="s">
        <v>294</v>
      </c>
    </row>
    <row r="74" spans="1:15" x14ac:dyDescent="0.3">
      <c r="A74" s="2">
        <v>73</v>
      </c>
      <c r="B74" s="2" t="s">
        <v>35</v>
      </c>
      <c r="C74" s="2" t="s">
        <v>52</v>
      </c>
      <c r="D74" s="2">
        <v>27</v>
      </c>
      <c r="E74" s="2" t="s">
        <v>20</v>
      </c>
      <c r="F74" s="2" t="s">
        <v>14</v>
      </c>
      <c r="G74" s="2">
        <v>2500</v>
      </c>
      <c r="H74" s="2">
        <v>47000</v>
      </c>
      <c r="I74" s="2" t="s">
        <v>15</v>
      </c>
      <c r="J74" s="2">
        <v>0</v>
      </c>
      <c r="K74" s="2">
        <v>670</v>
      </c>
      <c r="L74" s="2" t="s">
        <v>16</v>
      </c>
      <c r="M74" s="2" t="s">
        <v>80</v>
      </c>
      <c r="N74" s="2" t="s">
        <v>24</v>
      </c>
      <c r="O74">
        <v>5</v>
      </c>
    </row>
    <row r="75" spans="1:15" hidden="1" x14ac:dyDescent="0.3">
      <c r="A75" s="2">
        <v>74</v>
      </c>
      <c r="B75" s="2" t="s">
        <v>61</v>
      </c>
      <c r="C75" s="2" t="s">
        <v>66</v>
      </c>
      <c r="D75" s="2">
        <v>39</v>
      </c>
      <c r="E75" s="2" t="s">
        <v>13</v>
      </c>
      <c r="F75" s="2" t="s">
        <v>21</v>
      </c>
      <c r="G75" s="2">
        <v>9000</v>
      </c>
      <c r="H75" s="2">
        <v>70000</v>
      </c>
      <c r="I75" s="2" t="s">
        <v>22</v>
      </c>
      <c r="J75" s="2">
        <v>12000</v>
      </c>
      <c r="K75" s="2">
        <v>700</v>
      </c>
      <c r="L75" s="2" t="s">
        <v>23</v>
      </c>
      <c r="M75" s="2" t="s">
        <v>80</v>
      </c>
      <c r="N75" s="2" t="s">
        <v>17</v>
      </c>
      <c r="O75" t="s">
        <v>294</v>
      </c>
    </row>
    <row r="76" spans="1:15" x14ac:dyDescent="0.3">
      <c r="A76" s="2">
        <v>75</v>
      </c>
      <c r="B76" s="2" t="s">
        <v>71</v>
      </c>
      <c r="C76" s="2" t="s">
        <v>44</v>
      </c>
      <c r="D76" s="2">
        <v>31</v>
      </c>
      <c r="E76" s="2" t="s">
        <v>20</v>
      </c>
      <c r="F76" s="2" t="s">
        <v>14</v>
      </c>
      <c r="G76" s="2">
        <v>5000</v>
      </c>
      <c r="H76" s="2">
        <v>56000</v>
      </c>
      <c r="I76" s="2" t="s">
        <v>15</v>
      </c>
      <c r="J76" s="2">
        <v>0</v>
      </c>
      <c r="K76" s="2">
        <v>680</v>
      </c>
      <c r="L76" s="2" t="s">
        <v>27</v>
      </c>
      <c r="M76" s="2" t="s">
        <v>81</v>
      </c>
      <c r="N76" s="2" t="s">
        <v>24</v>
      </c>
      <c r="O76">
        <v>11</v>
      </c>
    </row>
    <row r="77" spans="1:15" hidden="1" x14ac:dyDescent="0.3">
      <c r="A77" s="2">
        <v>76</v>
      </c>
      <c r="B77" s="2" t="s">
        <v>57</v>
      </c>
      <c r="C77" s="2" t="s">
        <v>46</v>
      </c>
      <c r="D77" s="2">
        <v>28</v>
      </c>
      <c r="E77" s="2" t="s">
        <v>13</v>
      </c>
      <c r="F77" s="2" t="s">
        <v>21</v>
      </c>
      <c r="G77" s="2">
        <v>2000</v>
      </c>
      <c r="H77" s="2">
        <v>47000</v>
      </c>
      <c r="I77" s="2" t="s">
        <v>22</v>
      </c>
      <c r="J77" s="2">
        <v>5000</v>
      </c>
      <c r="K77" s="2">
        <v>690</v>
      </c>
      <c r="L77" s="2" t="s">
        <v>30</v>
      </c>
      <c r="M77" s="2" t="s">
        <v>81</v>
      </c>
      <c r="N77" s="2" t="s">
        <v>17</v>
      </c>
      <c r="O77">
        <v>11</v>
      </c>
    </row>
    <row r="78" spans="1:15" x14ac:dyDescent="0.3">
      <c r="A78" s="2">
        <v>77</v>
      </c>
      <c r="B78" s="2" t="s">
        <v>47</v>
      </c>
      <c r="C78" s="2" t="s">
        <v>66</v>
      </c>
      <c r="D78" s="2">
        <v>40</v>
      </c>
      <c r="E78" s="2" t="s">
        <v>20</v>
      </c>
      <c r="F78" s="2" t="s">
        <v>14</v>
      </c>
      <c r="G78" s="2">
        <v>7000</v>
      </c>
      <c r="H78" s="2">
        <v>68000</v>
      </c>
      <c r="I78" s="2" t="s">
        <v>15</v>
      </c>
      <c r="J78" s="2">
        <v>0</v>
      </c>
      <c r="K78" s="2">
        <v>710</v>
      </c>
      <c r="L78" s="2" t="s">
        <v>16</v>
      </c>
      <c r="M78" s="2" t="s">
        <v>81</v>
      </c>
      <c r="N78" s="2" t="s">
        <v>24</v>
      </c>
      <c r="O78">
        <v>6</v>
      </c>
    </row>
    <row r="79" spans="1:15" hidden="1" x14ac:dyDescent="0.3">
      <c r="A79" s="2">
        <v>78</v>
      </c>
      <c r="B79" s="2" t="s">
        <v>41</v>
      </c>
      <c r="C79" s="2" t="s">
        <v>29</v>
      </c>
      <c r="D79" s="2">
        <v>36</v>
      </c>
      <c r="E79" s="2" t="s">
        <v>13</v>
      </c>
      <c r="F79" s="2" t="s">
        <v>21</v>
      </c>
      <c r="G79" s="2">
        <v>3000</v>
      </c>
      <c r="H79" s="2">
        <v>49000</v>
      </c>
      <c r="I79" s="2" t="s">
        <v>22</v>
      </c>
      <c r="J79" s="2">
        <v>6000</v>
      </c>
      <c r="K79" s="2">
        <v>700</v>
      </c>
      <c r="L79" s="2" t="s">
        <v>23</v>
      </c>
      <c r="M79" s="2" t="s">
        <v>79</v>
      </c>
      <c r="N79" s="2" t="s">
        <v>17</v>
      </c>
      <c r="O79">
        <v>6</v>
      </c>
    </row>
    <row r="80" spans="1:15" x14ac:dyDescent="0.3">
      <c r="A80" s="2">
        <v>79</v>
      </c>
      <c r="B80" s="2" t="s">
        <v>59</v>
      </c>
      <c r="C80" s="2" t="s">
        <v>60</v>
      </c>
      <c r="D80" s="2">
        <v>29</v>
      </c>
      <c r="E80" s="2" t="s">
        <v>20</v>
      </c>
      <c r="F80" s="2" t="s">
        <v>14</v>
      </c>
      <c r="G80" s="2">
        <v>2000</v>
      </c>
      <c r="H80" s="2">
        <v>45000</v>
      </c>
      <c r="I80" s="2" t="s">
        <v>15</v>
      </c>
      <c r="J80" s="2">
        <v>0</v>
      </c>
      <c r="K80" s="2">
        <v>670</v>
      </c>
      <c r="L80" s="2" t="s">
        <v>27</v>
      </c>
      <c r="M80" s="2" t="s">
        <v>79</v>
      </c>
      <c r="N80" s="2" t="s">
        <v>24</v>
      </c>
      <c r="O80">
        <v>5</v>
      </c>
    </row>
    <row r="81" spans="1:15" hidden="1" x14ac:dyDescent="0.3">
      <c r="A81" s="2">
        <v>80</v>
      </c>
      <c r="B81" s="2" t="s">
        <v>61</v>
      </c>
      <c r="C81" s="2" t="s">
        <v>44</v>
      </c>
      <c r="D81" s="2">
        <v>38</v>
      </c>
      <c r="E81" s="2" t="s">
        <v>13</v>
      </c>
      <c r="F81" s="2" t="s">
        <v>21</v>
      </c>
      <c r="G81" s="2">
        <v>6000</v>
      </c>
      <c r="H81" s="2">
        <v>71000</v>
      </c>
      <c r="I81" s="2" t="s">
        <v>22</v>
      </c>
      <c r="J81" s="2">
        <v>12000</v>
      </c>
      <c r="K81" s="2">
        <v>720</v>
      </c>
      <c r="L81" s="2" t="s">
        <v>30</v>
      </c>
      <c r="M81" s="2" t="s">
        <v>79</v>
      </c>
      <c r="N81" s="2" t="s">
        <v>17</v>
      </c>
      <c r="O81">
        <v>4</v>
      </c>
    </row>
    <row r="82" spans="1:15" x14ac:dyDescent="0.3">
      <c r="A82" s="2">
        <v>81</v>
      </c>
      <c r="B82" s="3" t="s">
        <v>37</v>
      </c>
      <c r="C82" s="3" t="s">
        <v>19</v>
      </c>
      <c r="D82" s="2">
        <v>34</v>
      </c>
      <c r="E82" s="2" t="s">
        <v>13</v>
      </c>
      <c r="F82" s="2" t="s">
        <v>14</v>
      </c>
      <c r="G82" s="2">
        <v>2500</v>
      </c>
      <c r="H82" s="2">
        <v>55000</v>
      </c>
      <c r="I82" s="2" t="s">
        <v>15</v>
      </c>
      <c r="J82" s="2">
        <v>0</v>
      </c>
      <c r="K82" s="2">
        <v>720</v>
      </c>
      <c r="L82" s="2" t="s">
        <v>16</v>
      </c>
      <c r="M82" s="2" t="s">
        <v>79</v>
      </c>
      <c r="N82" s="2" t="s">
        <v>17</v>
      </c>
      <c r="O82">
        <v>6</v>
      </c>
    </row>
    <row r="83" spans="1:15" hidden="1" x14ac:dyDescent="0.3">
      <c r="A83" s="2">
        <v>82</v>
      </c>
      <c r="B83" s="3" t="s">
        <v>92</v>
      </c>
      <c r="C83" s="3" t="s">
        <v>26</v>
      </c>
      <c r="D83" s="2">
        <v>29</v>
      </c>
      <c r="E83" s="2" t="s">
        <v>20</v>
      </c>
      <c r="F83" s="2" t="s">
        <v>21</v>
      </c>
      <c r="G83" s="2">
        <v>8000</v>
      </c>
      <c r="H83" s="2">
        <v>62000</v>
      </c>
      <c r="I83" s="2" t="s">
        <v>22</v>
      </c>
      <c r="J83" s="2">
        <v>15000</v>
      </c>
      <c r="K83" s="2">
        <v>680</v>
      </c>
      <c r="L83" s="2" t="s">
        <v>23</v>
      </c>
      <c r="M83" s="2" t="s">
        <v>80</v>
      </c>
      <c r="N83" s="2" t="s">
        <v>24</v>
      </c>
      <c r="O83">
        <v>5</v>
      </c>
    </row>
    <row r="84" spans="1:15" x14ac:dyDescent="0.3">
      <c r="A84" s="2">
        <v>82</v>
      </c>
      <c r="B84" s="3" t="s">
        <v>11</v>
      </c>
      <c r="C84" s="3" t="s">
        <v>29</v>
      </c>
      <c r="D84" s="2">
        <v>45</v>
      </c>
      <c r="E84" s="2" t="s">
        <v>20</v>
      </c>
      <c r="F84" s="2" t="s">
        <v>14</v>
      </c>
      <c r="G84" s="2">
        <v>12000</v>
      </c>
      <c r="H84" s="2">
        <v>75000</v>
      </c>
      <c r="I84" s="2" t="s">
        <v>15</v>
      </c>
      <c r="J84" s="2">
        <v>0</v>
      </c>
      <c r="K84" s="2">
        <v>750</v>
      </c>
      <c r="L84" s="2" t="s">
        <v>27</v>
      </c>
      <c r="M84" s="2" t="s">
        <v>81</v>
      </c>
      <c r="N84" s="2" t="s">
        <v>17</v>
      </c>
      <c r="O84">
        <v>14</v>
      </c>
    </row>
    <row r="85" spans="1:15" hidden="1" x14ac:dyDescent="0.3">
      <c r="A85" s="2">
        <v>84</v>
      </c>
      <c r="B85" s="3" t="s">
        <v>93</v>
      </c>
      <c r="C85" s="3" t="s">
        <v>94</v>
      </c>
      <c r="D85" s="2">
        <v>52</v>
      </c>
      <c r="E85" s="2" t="s">
        <v>13</v>
      </c>
      <c r="F85" s="2" t="s">
        <v>21</v>
      </c>
      <c r="G85" s="2">
        <v>3000</v>
      </c>
      <c r="H85" s="2">
        <v>48000</v>
      </c>
      <c r="I85" s="2" t="s">
        <v>22</v>
      </c>
      <c r="J85" s="2">
        <v>5000</v>
      </c>
      <c r="K85" s="2">
        <v>690</v>
      </c>
      <c r="L85" s="2" t="s">
        <v>30</v>
      </c>
      <c r="M85" s="2" t="s">
        <v>79</v>
      </c>
      <c r="N85" s="2" t="s">
        <v>17</v>
      </c>
      <c r="O85">
        <v>12</v>
      </c>
    </row>
    <row r="86" spans="1:15" x14ac:dyDescent="0.3">
      <c r="A86" s="2">
        <v>85</v>
      </c>
      <c r="B86" s="3" t="s">
        <v>95</v>
      </c>
      <c r="C86" s="3" t="s">
        <v>96</v>
      </c>
      <c r="D86" s="2">
        <v>37</v>
      </c>
      <c r="E86" s="2" t="s">
        <v>20</v>
      </c>
      <c r="F86" s="2" t="s">
        <v>14</v>
      </c>
      <c r="G86" s="2">
        <v>5000</v>
      </c>
      <c r="H86" s="2">
        <v>58000</v>
      </c>
      <c r="I86" s="2" t="s">
        <v>15</v>
      </c>
      <c r="J86" s="2">
        <v>0</v>
      </c>
      <c r="K86" s="2">
        <v>710</v>
      </c>
      <c r="L86" s="2" t="s">
        <v>16</v>
      </c>
      <c r="M86" s="2" t="s">
        <v>79</v>
      </c>
      <c r="N86" s="2" t="s">
        <v>24</v>
      </c>
      <c r="O86">
        <v>11</v>
      </c>
    </row>
    <row r="87" spans="1:15" hidden="1" x14ac:dyDescent="0.3">
      <c r="A87" s="2">
        <v>86</v>
      </c>
      <c r="B87" s="3" t="s">
        <v>97</v>
      </c>
      <c r="C87" s="3" t="s">
        <v>98</v>
      </c>
      <c r="D87" s="2">
        <v>30</v>
      </c>
      <c r="E87" s="2" t="s">
        <v>13</v>
      </c>
      <c r="F87" s="2" t="s">
        <v>21</v>
      </c>
      <c r="G87" s="2">
        <v>6000</v>
      </c>
      <c r="H87" s="2">
        <v>70000</v>
      </c>
      <c r="I87" s="2" t="s">
        <v>22</v>
      </c>
      <c r="J87" s="2">
        <v>20000</v>
      </c>
      <c r="K87" s="2">
        <v>700</v>
      </c>
      <c r="L87" s="2" t="s">
        <v>23</v>
      </c>
      <c r="M87" s="2" t="s">
        <v>79</v>
      </c>
      <c r="N87" s="2" t="s">
        <v>17</v>
      </c>
      <c r="O87">
        <v>8</v>
      </c>
    </row>
    <row r="88" spans="1:15" x14ac:dyDescent="0.3">
      <c r="A88">
        <f t="shared" ref="A88:A151" si="0">ROW()-1</f>
        <v>87</v>
      </c>
      <c r="B88" s="3" t="s">
        <v>28</v>
      </c>
      <c r="C88" s="3" t="s">
        <v>32</v>
      </c>
      <c r="D88" s="2">
        <v>40</v>
      </c>
      <c r="E88" s="2" t="s">
        <v>20</v>
      </c>
      <c r="F88" s="2" t="s">
        <v>14</v>
      </c>
      <c r="G88" s="2">
        <v>15000</v>
      </c>
      <c r="H88" s="2">
        <v>82000</v>
      </c>
      <c r="I88" s="2" t="s">
        <v>15</v>
      </c>
      <c r="J88" s="2">
        <v>0</v>
      </c>
      <c r="K88" s="2">
        <v>730</v>
      </c>
      <c r="L88" s="2" t="s">
        <v>27</v>
      </c>
      <c r="M88" s="2" t="s">
        <v>79</v>
      </c>
      <c r="N88" s="2" t="s">
        <v>24</v>
      </c>
      <c r="O88">
        <v>4</v>
      </c>
    </row>
    <row r="89" spans="1:15" x14ac:dyDescent="0.3">
      <c r="A89">
        <f t="shared" si="0"/>
        <v>88</v>
      </c>
      <c r="B89" s="3" t="s">
        <v>99</v>
      </c>
      <c r="C89" s="3" t="s">
        <v>100</v>
      </c>
      <c r="D89" s="2">
        <v>25</v>
      </c>
      <c r="E89" s="2" t="s">
        <v>13</v>
      </c>
      <c r="F89" s="2" t="s">
        <v>21</v>
      </c>
      <c r="G89" s="2">
        <v>2000</v>
      </c>
      <c r="H89" s="2">
        <v>43000</v>
      </c>
      <c r="I89" s="2" t="s">
        <v>15</v>
      </c>
      <c r="J89" s="2">
        <v>0</v>
      </c>
      <c r="K89" s="2">
        <v>670</v>
      </c>
      <c r="L89" s="2" t="s">
        <v>30</v>
      </c>
      <c r="M89" s="2" t="s">
        <v>80</v>
      </c>
      <c r="N89" s="2" t="s">
        <v>17</v>
      </c>
      <c r="O89">
        <v>13</v>
      </c>
    </row>
    <row r="90" spans="1:15" hidden="1" x14ac:dyDescent="0.3">
      <c r="A90">
        <f t="shared" si="0"/>
        <v>89</v>
      </c>
      <c r="B90" s="3" t="s">
        <v>33</v>
      </c>
      <c r="C90" s="3" t="s">
        <v>101</v>
      </c>
      <c r="D90" s="2">
        <v>31</v>
      </c>
      <c r="E90" s="2" t="s">
        <v>20</v>
      </c>
      <c r="F90" s="2" t="s">
        <v>14</v>
      </c>
      <c r="G90" s="2">
        <v>7000</v>
      </c>
      <c r="H90" s="2">
        <v>55000</v>
      </c>
      <c r="I90" s="2" t="s">
        <v>22</v>
      </c>
      <c r="J90" s="2">
        <v>10000</v>
      </c>
      <c r="K90" s="2">
        <v>720</v>
      </c>
      <c r="L90" s="2" t="s">
        <v>16</v>
      </c>
      <c r="M90" s="2" t="s">
        <v>80</v>
      </c>
      <c r="N90" s="2" t="s">
        <v>17</v>
      </c>
      <c r="O90">
        <v>7</v>
      </c>
    </row>
    <row r="91" spans="1:15" x14ac:dyDescent="0.3">
      <c r="A91">
        <f t="shared" si="0"/>
        <v>90</v>
      </c>
      <c r="B91" s="3" t="s">
        <v>102</v>
      </c>
      <c r="C91" s="3" t="s">
        <v>38</v>
      </c>
      <c r="D91" s="2">
        <v>44</v>
      </c>
      <c r="E91" s="2" t="s">
        <v>13</v>
      </c>
      <c r="F91" s="2" t="s">
        <v>21</v>
      </c>
      <c r="G91" s="2">
        <v>11000</v>
      </c>
      <c r="H91" s="2">
        <v>65000</v>
      </c>
      <c r="I91" s="2" t="s">
        <v>15</v>
      </c>
      <c r="J91" s="2">
        <v>0</v>
      </c>
      <c r="K91" s="2">
        <v>740</v>
      </c>
      <c r="L91" s="2" t="s">
        <v>23</v>
      </c>
      <c r="M91" s="2" t="s">
        <v>81</v>
      </c>
      <c r="N91" s="2" t="s">
        <v>24</v>
      </c>
      <c r="O91">
        <v>4</v>
      </c>
    </row>
    <row r="92" spans="1:15" x14ac:dyDescent="0.3">
      <c r="A92">
        <f t="shared" si="0"/>
        <v>91</v>
      </c>
      <c r="B92" s="3" t="s">
        <v>103</v>
      </c>
      <c r="C92" s="3" t="s">
        <v>34</v>
      </c>
      <c r="D92" s="2">
        <v>28</v>
      </c>
      <c r="E92" s="2" t="s">
        <v>20</v>
      </c>
      <c r="F92" s="2" t="s">
        <v>14</v>
      </c>
      <c r="G92" s="2">
        <v>4500</v>
      </c>
      <c r="H92" s="2">
        <v>47000</v>
      </c>
      <c r="I92" s="2" t="s">
        <v>15</v>
      </c>
      <c r="J92" s="2">
        <v>0</v>
      </c>
      <c r="K92" s="2">
        <v>690</v>
      </c>
      <c r="L92" s="2" t="s">
        <v>27</v>
      </c>
      <c r="M92" s="2" t="s">
        <v>79</v>
      </c>
      <c r="N92" s="2" t="s">
        <v>17</v>
      </c>
      <c r="O92">
        <v>14</v>
      </c>
    </row>
    <row r="93" spans="1:15" hidden="1" x14ac:dyDescent="0.3">
      <c r="A93">
        <f t="shared" si="0"/>
        <v>92</v>
      </c>
      <c r="B93" s="3" t="s">
        <v>104</v>
      </c>
      <c r="C93" s="3" t="s">
        <v>40</v>
      </c>
      <c r="D93" s="2">
        <v>39</v>
      </c>
      <c r="E93" s="2" t="s">
        <v>13</v>
      </c>
      <c r="F93" s="2" t="s">
        <v>21</v>
      </c>
      <c r="G93" s="2">
        <v>10000</v>
      </c>
      <c r="H93" s="2">
        <v>72000</v>
      </c>
      <c r="I93" s="2" t="s">
        <v>22</v>
      </c>
      <c r="J93" s="2">
        <v>12000</v>
      </c>
      <c r="K93" s="2">
        <v>700</v>
      </c>
      <c r="L93" s="2" t="s">
        <v>30</v>
      </c>
      <c r="M93" s="2" t="s">
        <v>81</v>
      </c>
      <c r="N93" s="2" t="s">
        <v>17</v>
      </c>
      <c r="O93">
        <v>5</v>
      </c>
    </row>
    <row r="94" spans="1:15" x14ac:dyDescent="0.3">
      <c r="A94">
        <f t="shared" si="0"/>
        <v>93</v>
      </c>
      <c r="B94" s="3" t="s">
        <v>105</v>
      </c>
      <c r="C94" s="3" t="s">
        <v>106</v>
      </c>
      <c r="D94" s="2">
        <v>26</v>
      </c>
      <c r="E94" s="2" t="s">
        <v>20</v>
      </c>
      <c r="F94" s="2" t="s">
        <v>14</v>
      </c>
      <c r="G94" s="2">
        <v>3500</v>
      </c>
      <c r="H94" s="2">
        <v>53000</v>
      </c>
      <c r="I94" s="2" t="s">
        <v>15</v>
      </c>
      <c r="J94" s="2">
        <v>0</v>
      </c>
      <c r="K94" s="2">
        <v>680</v>
      </c>
      <c r="L94" s="2" t="s">
        <v>16</v>
      </c>
      <c r="M94" s="2" t="s">
        <v>80</v>
      </c>
      <c r="N94" s="2" t="s">
        <v>24</v>
      </c>
      <c r="O94">
        <v>10</v>
      </c>
    </row>
    <row r="95" spans="1:15" hidden="1" x14ac:dyDescent="0.3">
      <c r="A95">
        <f t="shared" si="0"/>
        <v>94</v>
      </c>
      <c r="B95" s="3" t="s">
        <v>107</v>
      </c>
      <c r="C95" s="3" t="s">
        <v>42</v>
      </c>
      <c r="D95" s="2">
        <v>33</v>
      </c>
      <c r="E95" s="2" t="s">
        <v>13</v>
      </c>
      <c r="F95" s="2" t="s">
        <v>21</v>
      </c>
      <c r="G95" s="2">
        <v>8000</v>
      </c>
      <c r="H95" s="2">
        <v>60000</v>
      </c>
      <c r="I95" s="2" t="s">
        <v>22</v>
      </c>
      <c r="J95" s="2">
        <v>8000</v>
      </c>
      <c r="K95" s="2">
        <v>710</v>
      </c>
      <c r="L95" s="2" t="s">
        <v>23</v>
      </c>
      <c r="M95" s="2" t="s">
        <v>79</v>
      </c>
      <c r="N95" s="2" t="s">
        <v>17</v>
      </c>
      <c r="O95">
        <v>10</v>
      </c>
    </row>
    <row r="96" spans="1:15" x14ac:dyDescent="0.3">
      <c r="A96">
        <f t="shared" si="0"/>
        <v>95</v>
      </c>
      <c r="B96" s="3" t="s">
        <v>108</v>
      </c>
      <c r="C96" s="3" t="s">
        <v>109</v>
      </c>
      <c r="D96" s="2">
        <v>46</v>
      </c>
      <c r="E96" s="2" t="s">
        <v>20</v>
      </c>
      <c r="F96" s="2" t="s">
        <v>14</v>
      </c>
      <c r="G96" s="2">
        <v>13000</v>
      </c>
      <c r="H96" s="2">
        <v>85000</v>
      </c>
      <c r="I96" s="2" t="s">
        <v>15</v>
      </c>
      <c r="J96" s="2">
        <v>0</v>
      </c>
      <c r="K96" s="2">
        <v>740</v>
      </c>
      <c r="L96" s="2" t="s">
        <v>27</v>
      </c>
      <c r="M96" s="2" t="s">
        <v>81</v>
      </c>
      <c r="N96" s="2" t="s">
        <v>24</v>
      </c>
      <c r="O96">
        <v>7</v>
      </c>
    </row>
    <row r="97" spans="1:15" hidden="1" x14ac:dyDescent="0.3">
      <c r="A97">
        <f t="shared" si="0"/>
        <v>96</v>
      </c>
      <c r="B97" s="3" t="s">
        <v>110</v>
      </c>
      <c r="C97" s="3" t="s">
        <v>111</v>
      </c>
      <c r="D97" s="2">
        <v>52</v>
      </c>
      <c r="E97" s="2" t="s">
        <v>13</v>
      </c>
      <c r="F97" s="2" t="s">
        <v>21</v>
      </c>
      <c r="G97" s="2">
        <v>4000</v>
      </c>
      <c r="H97" s="2">
        <v>49000</v>
      </c>
      <c r="I97" s="2" t="s">
        <v>22</v>
      </c>
      <c r="J97" s="2">
        <v>7000</v>
      </c>
      <c r="K97" s="2">
        <v>690</v>
      </c>
      <c r="L97" s="2" t="s">
        <v>30</v>
      </c>
      <c r="M97" s="2" t="s">
        <v>79</v>
      </c>
      <c r="N97" s="2" t="s">
        <v>17</v>
      </c>
      <c r="O97">
        <v>5</v>
      </c>
    </row>
    <row r="98" spans="1:15" x14ac:dyDescent="0.3">
      <c r="A98">
        <f t="shared" si="0"/>
        <v>97</v>
      </c>
      <c r="B98" s="3" t="s">
        <v>42</v>
      </c>
      <c r="C98" s="3" t="s">
        <v>112</v>
      </c>
      <c r="D98" s="2">
        <v>24</v>
      </c>
      <c r="E98" s="2" t="s">
        <v>13</v>
      </c>
      <c r="F98" s="2" t="s">
        <v>14</v>
      </c>
      <c r="G98" s="2">
        <v>2200</v>
      </c>
      <c r="H98" s="2">
        <v>45000</v>
      </c>
      <c r="I98" s="2" t="s">
        <v>15</v>
      </c>
      <c r="J98" s="2">
        <v>0</v>
      </c>
      <c r="K98" s="2">
        <v>670</v>
      </c>
      <c r="L98" s="2" t="s">
        <v>16</v>
      </c>
      <c r="M98" s="2" t="s">
        <v>80</v>
      </c>
      <c r="N98" s="2" t="s">
        <v>24</v>
      </c>
      <c r="O98">
        <v>15</v>
      </c>
    </row>
    <row r="99" spans="1:15" hidden="1" x14ac:dyDescent="0.3">
      <c r="A99">
        <f t="shared" si="0"/>
        <v>98</v>
      </c>
      <c r="B99" s="3" t="s">
        <v>31</v>
      </c>
      <c r="C99" s="3" t="s">
        <v>113</v>
      </c>
      <c r="D99" s="2">
        <v>38</v>
      </c>
      <c r="E99" s="2" t="s">
        <v>13</v>
      </c>
      <c r="F99" s="2" t="s">
        <v>21</v>
      </c>
      <c r="G99" s="2">
        <v>15000</v>
      </c>
      <c r="H99" s="2">
        <v>77000</v>
      </c>
      <c r="I99" s="2" t="s">
        <v>22</v>
      </c>
      <c r="J99" s="2">
        <v>15000</v>
      </c>
      <c r="K99" s="2">
        <v>720</v>
      </c>
      <c r="L99" s="2" t="s">
        <v>23</v>
      </c>
      <c r="M99" s="2" t="s">
        <v>81</v>
      </c>
      <c r="N99" s="2" t="s">
        <v>17</v>
      </c>
      <c r="O99">
        <v>4</v>
      </c>
    </row>
    <row r="100" spans="1:15" x14ac:dyDescent="0.3">
      <c r="A100">
        <f t="shared" si="0"/>
        <v>99</v>
      </c>
      <c r="B100" s="3" t="s">
        <v>114</v>
      </c>
      <c r="C100" s="3" t="s">
        <v>77</v>
      </c>
      <c r="D100" s="2">
        <v>27</v>
      </c>
      <c r="E100" s="2" t="s">
        <v>20</v>
      </c>
      <c r="F100" s="2" t="s">
        <v>14</v>
      </c>
      <c r="G100" s="2">
        <v>4000</v>
      </c>
      <c r="H100" s="2">
        <v>50000</v>
      </c>
      <c r="I100" s="2" t="s">
        <v>15</v>
      </c>
      <c r="J100" s="2">
        <v>0</v>
      </c>
      <c r="K100" s="2">
        <v>680</v>
      </c>
      <c r="L100" s="2" t="s">
        <v>27</v>
      </c>
      <c r="M100" s="2" t="s">
        <v>79</v>
      </c>
      <c r="N100" s="2" t="s">
        <v>24</v>
      </c>
      <c r="O100">
        <v>15</v>
      </c>
    </row>
    <row r="101" spans="1:15" hidden="1" x14ac:dyDescent="0.3">
      <c r="A101">
        <f t="shared" si="0"/>
        <v>100</v>
      </c>
      <c r="B101" s="3" t="s">
        <v>115</v>
      </c>
      <c r="C101" s="3" t="s">
        <v>44</v>
      </c>
      <c r="D101" s="2">
        <v>41</v>
      </c>
      <c r="E101" s="2" t="s">
        <v>13</v>
      </c>
      <c r="F101" s="2" t="s">
        <v>21</v>
      </c>
      <c r="G101" s="2">
        <v>9000</v>
      </c>
      <c r="H101" s="2">
        <v>69000</v>
      </c>
      <c r="I101" s="2" t="s">
        <v>22</v>
      </c>
      <c r="J101" s="2">
        <v>12000</v>
      </c>
      <c r="K101" s="2">
        <v>700</v>
      </c>
      <c r="L101" s="2" t="s">
        <v>30</v>
      </c>
      <c r="M101" s="2" t="s">
        <v>81</v>
      </c>
      <c r="N101" s="2" t="s">
        <v>17</v>
      </c>
      <c r="O101" t="s">
        <v>294</v>
      </c>
    </row>
    <row r="102" spans="1:15" x14ac:dyDescent="0.3">
      <c r="A102">
        <f t="shared" si="0"/>
        <v>101</v>
      </c>
      <c r="B102" s="3" t="s">
        <v>116</v>
      </c>
      <c r="C102" s="3" t="s">
        <v>36</v>
      </c>
      <c r="D102" s="2">
        <v>32</v>
      </c>
      <c r="E102" s="2" t="s">
        <v>20</v>
      </c>
      <c r="F102" s="2" t="s">
        <v>14</v>
      </c>
      <c r="G102" s="2">
        <v>5500</v>
      </c>
      <c r="H102" s="2">
        <v>54000</v>
      </c>
      <c r="I102" s="2" t="s">
        <v>15</v>
      </c>
      <c r="J102" s="2">
        <v>0</v>
      </c>
      <c r="K102" s="2">
        <v>710</v>
      </c>
      <c r="L102" s="2" t="s">
        <v>16</v>
      </c>
      <c r="M102" s="2" t="s">
        <v>79</v>
      </c>
      <c r="N102" s="2" t="s">
        <v>24</v>
      </c>
      <c r="O102">
        <v>14</v>
      </c>
    </row>
    <row r="103" spans="1:15" hidden="1" x14ac:dyDescent="0.3">
      <c r="A103">
        <f t="shared" si="0"/>
        <v>102</v>
      </c>
      <c r="B103" s="3" t="s">
        <v>117</v>
      </c>
      <c r="C103" s="3" t="s">
        <v>46</v>
      </c>
      <c r="D103" s="2">
        <v>47</v>
      </c>
      <c r="E103" s="2" t="s">
        <v>13</v>
      </c>
      <c r="F103" s="2" t="s">
        <v>21</v>
      </c>
      <c r="G103" s="2">
        <v>7000</v>
      </c>
      <c r="H103" s="2">
        <v>74000</v>
      </c>
      <c r="I103" s="2" t="s">
        <v>22</v>
      </c>
      <c r="J103" s="2">
        <v>10000</v>
      </c>
      <c r="K103" s="2">
        <v>690</v>
      </c>
      <c r="L103" s="2" t="s">
        <v>23</v>
      </c>
      <c r="M103" s="2" t="s">
        <v>80</v>
      </c>
      <c r="N103" s="2" t="s">
        <v>17</v>
      </c>
      <c r="O103">
        <v>8</v>
      </c>
    </row>
    <row r="104" spans="1:15" x14ac:dyDescent="0.3">
      <c r="A104">
        <f t="shared" si="0"/>
        <v>103</v>
      </c>
      <c r="B104" s="3" t="s">
        <v>53</v>
      </c>
      <c r="C104" s="3" t="s">
        <v>48</v>
      </c>
      <c r="D104" s="2">
        <v>35</v>
      </c>
      <c r="E104" s="2" t="s">
        <v>20</v>
      </c>
      <c r="F104" s="2" t="s">
        <v>14</v>
      </c>
      <c r="G104" s="2">
        <v>6000</v>
      </c>
      <c r="H104" s="2">
        <v>68000</v>
      </c>
      <c r="I104" s="2" t="s">
        <v>15</v>
      </c>
      <c r="J104" s="2">
        <v>0</v>
      </c>
      <c r="K104" s="2">
        <v>720</v>
      </c>
      <c r="L104" s="2" t="s">
        <v>27</v>
      </c>
      <c r="M104" s="2" t="s">
        <v>80</v>
      </c>
      <c r="N104" s="2" t="s">
        <v>24</v>
      </c>
      <c r="O104">
        <v>15</v>
      </c>
    </row>
    <row r="105" spans="1:15" hidden="1" x14ac:dyDescent="0.3">
      <c r="A105">
        <f t="shared" si="0"/>
        <v>104</v>
      </c>
      <c r="B105" s="3" t="s">
        <v>118</v>
      </c>
      <c r="C105" s="3" t="s">
        <v>50</v>
      </c>
      <c r="D105" s="2">
        <v>29</v>
      </c>
      <c r="E105" s="2" t="s">
        <v>13</v>
      </c>
      <c r="F105" s="2" t="s">
        <v>21</v>
      </c>
      <c r="G105" s="2">
        <v>2500</v>
      </c>
      <c r="H105" s="2">
        <v>45000</v>
      </c>
      <c r="I105" s="2" t="s">
        <v>22</v>
      </c>
      <c r="J105" s="2">
        <v>5000</v>
      </c>
      <c r="K105" s="2">
        <v>670</v>
      </c>
      <c r="L105" s="2" t="s">
        <v>30</v>
      </c>
      <c r="M105" s="2" t="s">
        <v>80</v>
      </c>
      <c r="N105" s="2" t="s">
        <v>17</v>
      </c>
      <c r="O105">
        <v>9</v>
      </c>
    </row>
    <row r="106" spans="1:15" x14ac:dyDescent="0.3">
      <c r="A106">
        <f t="shared" si="0"/>
        <v>105</v>
      </c>
      <c r="B106" s="3" t="s">
        <v>119</v>
      </c>
      <c r="C106" s="3" t="s">
        <v>120</v>
      </c>
      <c r="D106" s="2">
        <v>42</v>
      </c>
      <c r="E106" s="2" t="s">
        <v>20</v>
      </c>
      <c r="F106" s="2" t="s">
        <v>14</v>
      </c>
      <c r="G106" s="2">
        <v>11000</v>
      </c>
      <c r="H106" s="2">
        <v>80000</v>
      </c>
      <c r="I106" s="2" t="s">
        <v>15</v>
      </c>
      <c r="J106" s="2">
        <v>0</v>
      </c>
      <c r="K106" s="2">
        <v>740</v>
      </c>
      <c r="L106" s="2" t="s">
        <v>16</v>
      </c>
      <c r="M106" s="2" t="s">
        <v>81</v>
      </c>
      <c r="N106" s="2" t="s">
        <v>24</v>
      </c>
      <c r="O106">
        <v>4</v>
      </c>
    </row>
    <row r="107" spans="1:15" hidden="1" x14ac:dyDescent="0.3">
      <c r="A107">
        <f t="shared" si="0"/>
        <v>106</v>
      </c>
      <c r="B107" s="3" t="s">
        <v>121</v>
      </c>
      <c r="C107" s="3" t="s">
        <v>52</v>
      </c>
      <c r="D107" s="2">
        <v>50</v>
      </c>
      <c r="E107" s="2" t="s">
        <v>13</v>
      </c>
      <c r="F107" s="2" t="s">
        <v>21</v>
      </c>
      <c r="G107" s="2">
        <v>3000</v>
      </c>
      <c r="H107" s="2">
        <v>47000</v>
      </c>
      <c r="I107" s="2" t="s">
        <v>22</v>
      </c>
      <c r="J107" s="2">
        <v>8000</v>
      </c>
      <c r="K107" s="2">
        <v>680</v>
      </c>
      <c r="L107" s="2" t="s">
        <v>23</v>
      </c>
      <c r="M107" s="2" t="s">
        <v>81</v>
      </c>
      <c r="N107" s="2" t="s">
        <v>17</v>
      </c>
      <c r="O107">
        <v>13</v>
      </c>
    </row>
    <row r="108" spans="1:15" x14ac:dyDescent="0.3">
      <c r="A108">
        <f t="shared" si="0"/>
        <v>107</v>
      </c>
      <c r="B108" s="3" t="s">
        <v>122</v>
      </c>
      <c r="C108" s="3" t="s">
        <v>123</v>
      </c>
      <c r="D108" s="2">
        <v>28</v>
      </c>
      <c r="E108" s="2" t="s">
        <v>20</v>
      </c>
      <c r="F108" s="2" t="s">
        <v>14</v>
      </c>
      <c r="G108" s="2">
        <v>4000</v>
      </c>
      <c r="H108" s="2">
        <v>53000</v>
      </c>
      <c r="I108" s="2" t="s">
        <v>15</v>
      </c>
      <c r="J108" s="2">
        <v>0</v>
      </c>
      <c r="K108" s="2">
        <v>690</v>
      </c>
      <c r="L108" s="2" t="s">
        <v>27</v>
      </c>
      <c r="M108" s="2" t="s">
        <v>79</v>
      </c>
      <c r="N108" s="2" t="s">
        <v>24</v>
      </c>
      <c r="O108">
        <v>5</v>
      </c>
    </row>
    <row r="109" spans="1:15" hidden="1" x14ac:dyDescent="0.3">
      <c r="A109">
        <f t="shared" si="0"/>
        <v>108</v>
      </c>
      <c r="B109" s="3" t="s">
        <v>124</v>
      </c>
      <c r="C109" s="3" t="s">
        <v>54</v>
      </c>
      <c r="D109" s="2">
        <v>36</v>
      </c>
      <c r="E109" s="2" t="s">
        <v>13</v>
      </c>
      <c r="F109" s="2" t="s">
        <v>21</v>
      </c>
      <c r="G109" s="2">
        <v>9000</v>
      </c>
      <c r="H109" s="2">
        <v>71000</v>
      </c>
      <c r="I109" s="2" t="s">
        <v>22</v>
      </c>
      <c r="J109" s="2">
        <v>13000</v>
      </c>
      <c r="K109" s="2">
        <v>700</v>
      </c>
      <c r="L109" s="2" t="s">
        <v>30</v>
      </c>
      <c r="M109" s="2" t="s">
        <v>80</v>
      </c>
      <c r="N109" s="2" t="s">
        <v>17</v>
      </c>
      <c r="O109">
        <v>11</v>
      </c>
    </row>
    <row r="110" spans="1:15" x14ac:dyDescent="0.3">
      <c r="A110">
        <f t="shared" si="0"/>
        <v>109</v>
      </c>
      <c r="B110" s="3" t="s">
        <v>125</v>
      </c>
      <c r="C110" s="3" t="s">
        <v>58</v>
      </c>
      <c r="D110" s="2">
        <v>41</v>
      </c>
      <c r="E110" s="2" t="s">
        <v>20</v>
      </c>
      <c r="F110" s="2" t="s">
        <v>14</v>
      </c>
      <c r="G110" s="2">
        <v>8000</v>
      </c>
      <c r="H110" s="2">
        <v>67000</v>
      </c>
      <c r="I110" s="2" t="s">
        <v>15</v>
      </c>
      <c r="J110" s="2">
        <v>0</v>
      </c>
      <c r="K110" s="2">
        <v>710</v>
      </c>
      <c r="L110" s="2" t="s">
        <v>16</v>
      </c>
      <c r="M110" s="2" t="s">
        <v>81</v>
      </c>
      <c r="N110" s="2" t="s">
        <v>24</v>
      </c>
      <c r="O110">
        <v>4</v>
      </c>
    </row>
    <row r="111" spans="1:15" hidden="1" x14ac:dyDescent="0.3">
      <c r="A111">
        <f t="shared" si="0"/>
        <v>110</v>
      </c>
      <c r="B111" s="3" t="s">
        <v>126</v>
      </c>
      <c r="C111" s="3" t="s">
        <v>56</v>
      </c>
      <c r="D111" s="2">
        <v>30</v>
      </c>
      <c r="E111" s="2" t="s">
        <v>13</v>
      </c>
      <c r="F111" s="2" t="s">
        <v>21</v>
      </c>
      <c r="G111" s="2">
        <v>5000</v>
      </c>
      <c r="H111" s="2">
        <v>55000</v>
      </c>
      <c r="I111" s="2" t="s">
        <v>22</v>
      </c>
      <c r="J111" s="2">
        <v>7000</v>
      </c>
      <c r="K111" s="2">
        <v>690</v>
      </c>
      <c r="L111" s="2" t="s">
        <v>23</v>
      </c>
      <c r="M111" s="2" t="s">
        <v>81</v>
      </c>
      <c r="N111" s="2" t="s">
        <v>17</v>
      </c>
      <c r="O111">
        <v>14</v>
      </c>
    </row>
    <row r="112" spans="1:15" x14ac:dyDescent="0.3">
      <c r="A112">
        <f t="shared" si="0"/>
        <v>111</v>
      </c>
      <c r="B112" s="3" t="s">
        <v>127</v>
      </c>
      <c r="C112" s="3" t="s">
        <v>60</v>
      </c>
      <c r="D112" s="2">
        <v>29</v>
      </c>
      <c r="E112" s="2" t="s">
        <v>20</v>
      </c>
      <c r="F112" s="2" t="s">
        <v>14</v>
      </c>
      <c r="G112" s="2">
        <v>3000</v>
      </c>
      <c r="H112" s="2">
        <v>48000</v>
      </c>
      <c r="I112" s="2" t="s">
        <v>15</v>
      </c>
      <c r="J112" s="2">
        <v>0</v>
      </c>
      <c r="K112" s="2">
        <v>670</v>
      </c>
      <c r="L112" s="2" t="s">
        <v>27</v>
      </c>
      <c r="M112" s="2" t="s">
        <v>79</v>
      </c>
      <c r="N112" s="2" t="s">
        <v>24</v>
      </c>
      <c r="O112">
        <v>7</v>
      </c>
    </row>
    <row r="113" spans="1:15" hidden="1" x14ac:dyDescent="0.3">
      <c r="A113">
        <f t="shared" si="0"/>
        <v>112</v>
      </c>
      <c r="B113" s="3" t="s">
        <v>128</v>
      </c>
      <c r="C113" s="3" t="s">
        <v>129</v>
      </c>
      <c r="D113" s="2">
        <v>34</v>
      </c>
      <c r="E113" s="2" t="s">
        <v>13</v>
      </c>
      <c r="F113" s="2" t="s">
        <v>21</v>
      </c>
      <c r="G113" s="2">
        <v>11000</v>
      </c>
      <c r="H113" s="2">
        <v>62000</v>
      </c>
      <c r="I113" s="2" t="s">
        <v>22</v>
      </c>
      <c r="J113" s="2">
        <v>12000</v>
      </c>
      <c r="K113" s="2">
        <v>720</v>
      </c>
      <c r="L113" s="2" t="s">
        <v>30</v>
      </c>
      <c r="M113" s="2" t="s">
        <v>79</v>
      </c>
      <c r="N113" s="2" t="s">
        <v>17</v>
      </c>
      <c r="O113">
        <v>6</v>
      </c>
    </row>
    <row r="114" spans="1:15" x14ac:dyDescent="0.3">
      <c r="A114">
        <f t="shared" si="0"/>
        <v>113</v>
      </c>
      <c r="B114" s="3" t="s">
        <v>130</v>
      </c>
      <c r="C114" s="3" t="s">
        <v>62</v>
      </c>
      <c r="D114" s="2">
        <v>37</v>
      </c>
      <c r="E114" s="2" t="s">
        <v>20</v>
      </c>
      <c r="F114" s="2" t="s">
        <v>14</v>
      </c>
      <c r="G114" s="2">
        <v>5500</v>
      </c>
      <c r="H114" s="2">
        <v>69000</v>
      </c>
      <c r="I114" s="2" t="s">
        <v>15</v>
      </c>
      <c r="J114" s="2">
        <v>0</v>
      </c>
      <c r="K114" s="2">
        <v>710</v>
      </c>
      <c r="L114" s="2" t="s">
        <v>16</v>
      </c>
      <c r="M114" s="2" t="s">
        <v>79</v>
      </c>
      <c r="N114" s="2" t="s">
        <v>24</v>
      </c>
      <c r="O114">
        <v>4</v>
      </c>
    </row>
    <row r="115" spans="1:15" hidden="1" x14ac:dyDescent="0.3">
      <c r="A115">
        <f t="shared" si="0"/>
        <v>114</v>
      </c>
      <c r="B115" s="3" t="s">
        <v>131</v>
      </c>
      <c r="C115" s="3" t="s">
        <v>64</v>
      </c>
      <c r="D115" s="2">
        <v>45</v>
      </c>
      <c r="E115" s="2" t="s">
        <v>13</v>
      </c>
      <c r="F115" s="2" t="s">
        <v>14</v>
      </c>
      <c r="G115" s="2">
        <v>7000</v>
      </c>
      <c r="H115" s="2">
        <v>74000</v>
      </c>
      <c r="I115" s="2" t="s">
        <v>22</v>
      </c>
      <c r="J115" s="2">
        <v>15000</v>
      </c>
      <c r="K115" s="2">
        <v>680</v>
      </c>
      <c r="L115" s="2" t="s">
        <v>23</v>
      </c>
      <c r="M115" s="2" t="s">
        <v>79</v>
      </c>
      <c r="N115" s="2" t="s">
        <v>17</v>
      </c>
      <c r="O115">
        <v>7</v>
      </c>
    </row>
    <row r="116" spans="1:15" x14ac:dyDescent="0.3">
      <c r="A116">
        <f t="shared" si="0"/>
        <v>115</v>
      </c>
      <c r="B116" s="3" t="s">
        <v>132</v>
      </c>
      <c r="C116" s="3" t="s">
        <v>68</v>
      </c>
      <c r="D116" s="2">
        <v>40</v>
      </c>
      <c r="E116" s="2" t="s">
        <v>20</v>
      </c>
      <c r="F116" s="2" t="s">
        <v>14</v>
      </c>
      <c r="G116" s="2">
        <v>2000</v>
      </c>
      <c r="H116" s="2">
        <v>50000</v>
      </c>
      <c r="I116" s="2" t="s">
        <v>15</v>
      </c>
      <c r="J116" s="2">
        <v>0</v>
      </c>
      <c r="K116" s="2">
        <v>720</v>
      </c>
      <c r="L116" s="2" t="s">
        <v>27</v>
      </c>
      <c r="M116" s="2" t="s">
        <v>79</v>
      </c>
      <c r="N116" s="2" t="s">
        <v>24</v>
      </c>
      <c r="O116">
        <v>13</v>
      </c>
    </row>
    <row r="117" spans="1:15" hidden="1" x14ac:dyDescent="0.3">
      <c r="A117">
        <f t="shared" si="0"/>
        <v>116</v>
      </c>
      <c r="B117" s="3" t="s">
        <v>133</v>
      </c>
      <c r="C117" s="3" t="s">
        <v>66</v>
      </c>
      <c r="D117" s="2">
        <v>27</v>
      </c>
      <c r="E117" s="2" t="s">
        <v>13</v>
      </c>
      <c r="F117" s="2" t="s">
        <v>21</v>
      </c>
      <c r="G117" s="2">
        <v>6000</v>
      </c>
      <c r="H117" s="2">
        <v>55000</v>
      </c>
      <c r="I117" s="2" t="s">
        <v>22</v>
      </c>
      <c r="J117" s="2">
        <v>10000</v>
      </c>
      <c r="K117" s="2">
        <v>690</v>
      </c>
      <c r="L117" s="2" t="s">
        <v>30</v>
      </c>
      <c r="M117" s="2" t="s">
        <v>79</v>
      </c>
      <c r="N117" s="2" t="s">
        <v>17</v>
      </c>
      <c r="O117">
        <v>4</v>
      </c>
    </row>
    <row r="118" spans="1:15" x14ac:dyDescent="0.3">
      <c r="A118">
        <f t="shared" si="0"/>
        <v>117</v>
      </c>
      <c r="B118" s="3" t="s">
        <v>134</v>
      </c>
      <c r="C118" s="3" t="s">
        <v>135</v>
      </c>
      <c r="D118" s="2">
        <v>31</v>
      </c>
      <c r="E118" s="2" t="s">
        <v>20</v>
      </c>
      <c r="F118" s="2" t="s">
        <v>14</v>
      </c>
      <c r="G118" s="2">
        <v>3500</v>
      </c>
      <c r="H118" s="2">
        <v>62000</v>
      </c>
      <c r="I118" s="2" t="s">
        <v>15</v>
      </c>
      <c r="J118" s="2">
        <v>0</v>
      </c>
      <c r="K118" s="2">
        <v>680</v>
      </c>
      <c r="L118" s="2" t="s">
        <v>16</v>
      </c>
      <c r="M118" s="2" t="s">
        <v>81</v>
      </c>
      <c r="N118" s="2" t="s">
        <v>24</v>
      </c>
      <c r="O118">
        <v>15</v>
      </c>
    </row>
    <row r="119" spans="1:15" hidden="1" x14ac:dyDescent="0.3">
      <c r="A119">
        <f t="shared" si="0"/>
        <v>118</v>
      </c>
      <c r="B119" s="3" t="s">
        <v>136</v>
      </c>
      <c r="C119" s="3" t="s">
        <v>70</v>
      </c>
      <c r="D119" s="2">
        <v>53</v>
      </c>
      <c r="E119" s="2" t="s">
        <v>13</v>
      </c>
      <c r="F119" s="2" t="s">
        <v>21</v>
      </c>
      <c r="G119" s="2">
        <v>4000</v>
      </c>
      <c r="H119" s="2">
        <v>48000</v>
      </c>
      <c r="I119" s="2" t="s">
        <v>22</v>
      </c>
      <c r="J119" s="2">
        <v>5000</v>
      </c>
      <c r="K119" s="2">
        <v>710</v>
      </c>
      <c r="L119" s="2" t="s">
        <v>23</v>
      </c>
      <c r="M119" s="2" t="s">
        <v>81</v>
      </c>
      <c r="N119" s="2" t="s">
        <v>17</v>
      </c>
      <c r="O119">
        <v>4</v>
      </c>
    </row>
    <row r="120" spans="1:15" x14ac:dyDescent="0.3">
      <c r="A120">
        <f t="shared" si="0"/>
        <v>119</v>
      </c>
      <c r="B120" s="3" t="s">
        <v>137</v>
      </c>
      <c r="C120" s="3" t="s">
        <v>72</v>
      </c>
      <c r="D120" s="2">
        <v>28</v>
      </c>
      <c r="E120" s="2" t="s">
        <v>20</v>
      </c>
      <c r="F120" s="2" t="s">
        <v>14</v>
      </c>
      <c r="G120" s="2">
        <v>5500</v>
      </c>
      <c r="H120" s="2">
        <v>59000</v>
      </c>
      <c r="I120" s="2" t="s">
        <v>15</v>
      </c>
      <c r="J120" s="2">
        <v>0</v>
      </c>
      <c r="K120" s="2">
        <v>700</v>
      </c>
      <c r="L120" s="2" t="s">
        <v>27</v>
      </c>
      <c r="M120" s="2" t="s">
        <v>81</v>
      </c>
      <c r="N120" s="2" t="s">
        <v>24</v>
      </c>
      <c r="O120">
        <v>15</v>
      </c>
    </row>
    <row r="121" spans="1:15" hidden="1" x14ac:dyDescent="0.3">
      <c r="A121">
        <f t="shared" si="0"/>
        <v>120</v>
      </c>
      <c r="B121" s="3" t="s">
        <v>25</v>
      </c>
      <c r="C121" s="3" t="s">
        <v>73</v>
      </c>
      <c r="D121" s="2">
        <v>46</v>
      </c>
      <c r="E121" s="2" t="s">
        <v>13</v>
      </c>
      <c r="F121" s="2" t="s">
        <v>21</v>
      </c>
      <c r="G121" s="2">
        <v>9000</v>
      </c>
      <c r="H121" s="2">
        <v>73000</v>
      </c>
      <c r="I121" s="2" t="s">
        <v>22</v>
      </c>
      <c r="J121" s="2">
        <v>13000</v>
      </c>
      <c r="K121" s="2">
        <v>720</v>
      </c>
      <c r="L121" s="2" t="s">
        <v>30</v>
      </c>
      <c r="M121" s="2" t="s">
        <v>81</v>
      </c>
      <c r="N121" s="2" t="s">
        <v>17</v>
      </c>
      <c r="O121">
        <v>14</v>
      </c>
    </row>
    <row r="122" spans="1:15" x14ac:dyDescent="0.3">
      <c r="A122">
        <f t="shared" si="0"/>
        <v>121</v>
      </c>
      <c r="B122" s="3" t="s">
        <v>138</v>
      </c>
      <c r="C122" s="3" t="s">
        <v>123</v>
      </c>
      <c r="D122" s="2">
        <v>39</v>
      </c>
      <c r="E122" s="2" t="s">
        <v>20</v>
      </c>
      <c r="F122" s="2" t="s">
        <v>14</v>
      </c>
      <c r="G122" s="2">
        <v>4000</v>
      </c>
      <c r="H122" s="2">
        <v>65000</v>
      </c>
      <c r="I122" s="2" t="s">
        <v>15</v>
      </c>
      <c r="J122" s="2">
        <v>0</v>
      </c>
      <c r="K122" s="2">
        <v>680</v>
      </c>
      <c r="L122" s="2" t="s">
        <v>16</v>
      </c>
      <c r="M122" s="2" t="s">
        <v>81</v>
      </c>
      <c r="N122" s="2" t="s">
        <v>24</v>
      </c>
      <c r="O122">
        <v>10</v>
      </c>
    </row>
    <row r="123" spans="1:15" hidden="1" x14ac:dyDescent="0.3">
      <c r="A123">
        <f t="shared" si="0"/>
        <v>122</v>
      </c>
      <c r="B123" s="3" t="s">
        <v>139</v>
      </c>
      <c r="C123" s="3" t="s">
        <v>75</v>
      </c>
      <c r="D123" s="2">
        <v>27</v>
      </c>
      <c r="E123" s="2" t="s">
        <v>13</v>
      </c>
      <c r="F123" s="2" t="s">
        <v>21</v>
      </c>
      <c r="G123" s="2">
        <v>8000</v>
      </c>
      <c r="H123" s="2">
        <v>60000</v>
      </c>
      <c r="I123" s="2" t="s">
        <v>22</v>
      </c>
      <c r="J123" s="2">
        <v>8000</v>
      </c>
      <c r="K123" s="2">
        <v>710</v>
      </c>
      <c r="L123" s="2" t="s">
        <v>23</v>
      </c>
      <c r="M123" s="2" t="s">
        <v>81</v>
      </c>
      <c r="N123" s="2" t="s">
        <v>17</v>
      </c>
      <c r="O123">
        <v>14</v>
      </c>
    </row>
    <row r="124" spans="1:15" x14ac:dyDescent="0.3">
      <c r="A124">
        <f t="shared" si="0"/>
        <v>123</v>
      </c>
      <c r="B124" s="3" t="s">
        <v>140</v>
      </c>
      <c r="C124" s="3" t="s">
        <v>141</v>
      </c>
      <c r="D124" s="2">
        <v>34</v>
      </c>
      <c r="E124" s="2" t="s">
        <v>20</v>
      </c>
      <c r="F124" s="2" t="s">
        <v>14</v>
      </c>
      <c r="G124" s="2">
        <v>2500</v>
      </c>
      <c r="H124" s="2">
        <v>53000</v>
      </c>
      <c r="I124" s="2" t="s">
        <v>15</v>
      </c>
      <c r="J124" s="2">
        <v>0</v>
      </c>
      <c r="K124" s="2">
        <v>690</v>
      </c>
      <c r="L124" s="2" t="s">
        <v>27</v>
      </c>
      <c r="M124" s="2" t="s">
        <v>80</v>
      </c>
      <c r="N124" s="2" t="s">
        <v>24</v>
      </c>
      <c r="O124">
        <v>15</v>
      </c>
    </row>
    <row r="125" spans="1:15" hidden="1" x14ac:dyDescent="0.3">
      <c r="A125">
        <f t="shared" si="0"/>
        <v>124</v>
      </c>
      <c r="B125" s="3" t="s">
        <v>142</v>
      </c>
      <c r="C125" s="3" t="s">
        <v>143</v>
      </c>
      <c r="D125" s="2">
        <v>32</v>
      </c>
      <c r="E125" s="2" t="s">
        <v>13</v>
      </c>
      <c r="F125" s="2" t="s">
        <v>21</v>
      </c>
      <c r="G125" s="2">
        <v>12000</v>
      </c>
      <c r="H125" s="2">
        <v>68000</v>
      </c>
      <c r="I125" s="2" t="s">
        <v>22</v>
      </c>
      <c r="J125" s="2">
        <v>15000</v>
      </c>
      <c r="K125" s="2">
        <v>720</v>
      </c>
      <c r="L125" s="2" t="s">
        <v>30</v>
      </c>
      <c r="M125" s="2" t="s">
        <v>80</v>
      </c>
      <c r="N125" s="2" t="s">
        <v>17</v>
      </c>
      <c r="O125">
        <v>13</v>
      </c>
    </row>
    <row r="126" spans="1:15" x14ac:dyDescent="0.3">
      <c r="A126">
        <f t="shared" si="0"/>
        <v>125</v>
      </c>
      <c r="B126" s="3" t="s">
        <v>144</v>
      </c>
      <c r="C126" s="3" t="s">
        <v>145</v>
      </c>
      <c r="D126" s="2">
        <v>49</v>
      </c>
      <c r="E126" s="2" t="s">
        <v>20</v>
      </c>
      <c r="F126" s="2" t="s">
        <v>14</v>
      </c>
      <c r="G126" s="2">
        <v>7000</v>
      </c>
      <c r="H126" s="2">
        <v>71000</v>
      </c>
      <c r="I126" s="2" t="s">
        <v>15</v>
      </c>
      <c r="J126" s="2">
        <v>0</v>
      </c>
      <c r="K126" s="2">
        <v>680</v>
      </c>
      <c r="L126" s="2" t="s">
        <v>16</v>
      </c>
      <c r="M126" s="2" t="s">
        <v>80</v>
      </c>
      <c r="N126" s="2" t="s">
        <v>24</v>
      </c>
      <c r="O126">
        <v>7</v>
      </c>
    </row>
    <row r="127" spans="1:15" hidden="1" x14ac:dyDescent="0.3">
      <c r="A127">
        <f t="shared" si="0"/>
        <v>126</v>
      </c>
      <c r="B127" s="3" t="s">
        <v>146</v>
      </c>
      <c r="C127" s="3" t="s">
        <v>147</v>
      </c>
      <c r="D127" s="2">
        <v>24</v>
      </c>
      <c r="E127" s="2" t="s">
        <v>13</v>
      </c>
      <c r="F127" s="2" t="s">
        <v>21</v>
      </c>
      <c r="G127" s="2">
        <v>5000</v>
      </c>
      <c r="H127" s="2">
        <v>56000</v>
      </c>
      <c r="I127" s="2" t="s">
        <v>22</v>
      </c>
      <c r="J127" s="2">
        <v>10000</v>
      </c>
      <c r="K127" s="2">
        <v>700</v>
      </c>
      <c r="L127" s="2" t="s">
        <v>23</v>
      </c>
      <c r="M127" s="2" t="s">
        <v>80</v>
      </c>
      <c r="N127" s="2" t="s">
        <v>17</v>
      </c>
      <c r="O127">
        <v>5</v>
      </c>
    </row>
    <row r="128" spans="1:15" x14ac:dyDescent="0.3">
      <c r="A128">
        <f t="shared" si="0"/>
        <v>127</v>
      </c>
      <c r="B128" s="3" t="s">
        <v>148</v>
      </c>
      <c r="C128" s="3" t="s">
        <v>149</v>
      </c>
      <c r="D128" s="2">
        <v>29</v>
      </c>
      <c r="E128" s="2" t="s">
        <v>20</v>
      </c>
      <c r="F128" s="2" t="s">
        <v>14</v>
      </c>
      <c r="G128" s="2">
        <v>1500</v>
      </c>
      <c r="H128" s="2">
        <v>45000</v>
      </c>
      <c r="I128" s="2" t="s">
        <v>15</v>
      </c>
      <c r="J128" s="2">
        <v>0</v>
      </c>
      <c r="K128" s="2">
        <v>670</v>
      </c>
      <c r="L128" s="2" t="s">
        <v>27</v>
      </c>
      <c r="M128" s="2" t="s">
        <v>80</v>
      </c>
      <c r="N128" s="2" t="s">
        <v>24</v>
      </c>
      <c r="O128">
        <v>3</v>
      </c>
    </row>
    <row r="129" spans="1:15" hidden="1" x14ac:dyDescent="0.3">
      <c r="A129">
        <f t="shared" si="0"/>
        <v>128</v>
      </c>
      <c r="B129" s="3" t="s">
        <v>150</v>
      </c>
      <c r="C129" s="3" t="s">
        <v>151</v>
      </c>
      <c r="D129" s="2">
        <v>43</v>
      </c>
      <c r="E129" s="2" t="s">
        <v>13</v>
      </c>
      <c r="F129" s="2" t="s">
        <v>21</v>
      </c>
      <c r="G129" s="2">
        <v>11000</v>
      </c>
      <c r="H129" s="2">
        <v>74000</v>
      </c>
      <c r="I129" s="2" t="s">
        <v>22</v>
      </c>
      <c r="J129" s="2">
        <v>12000</v>
      </c>
      <c r="K129" s="2">
        <v>720</v>
      </c>
      <c r="L129" s="2" t="s">
        <v>30</v>
      </c>
      <c r="M129" s="2" t="s">
        <v>80</v>
      </c>
      <c r="N129" s="2" t="s">
        <v>17</v>
      </c>
      <c r="O129">
        <v>8</v>
      </c>
    </row>
    <row r="130" spans="1:15" x14ac:dyDescent="0.3">
      <c r="A130">
        <f t="shared" si="0"/>
        <v>129</v>
      </c>
      <c r="B130" s="3" t="s">
        <v>152</v>
      </c>
      <c r="C130" s="3" t="s">
        <v>153</v>
      </c>
      <c r="D130" s="2">
        <v>36</v>
      </c>
      <c r="E130" s="2" t="s">
        <v>20</v>
      </c>
      <c r="F130" s="2" t="s">
        <v>14</v>
      </c>
      <c r="G130" s="2">
        <v>8000</v>
      </c>
      <c r="H130" s="2">
        <v>63000</v>
      </c>
      <c r="I130" s="2" t="s">
        <v>15</v>
      </c>
      <c r="J130" s="2">
        <v>0</v>
      </c>
      <c r="K130" s="2">
        <v>710</v>
      </c>
      <c r="L130" s="2" t="s">
        <v>16</v>
      </c>
      <c r="M130" s="2" t="s">
        <v>79</v>
      </c>
      <c r="N130" s="2" t="s">
        <v>24</v>
      </c>
      <c r="O130">
        <v>4</v>
      </c>
    </row>
    <row r="131" spans="1:15" hidden="1" x14ac:dyDescent="0.3">
      <c r="A131">
        <f t="shared" si="0"/>
        <v>130</v>
      </c>
      <c r="B131" s="3" t="s">
        <v>154</v>
      </c>
      <c r="C131" s="3" t="s">
        <v>155</v>
      </c>
      <c r="D131" s="2">
        <v>28</v>
      </c>
      <c r="E131" s="2" t="s">
        <v>13</v>
      </c>
      <c r="F131" s="2" t="s">
        <v>21</v>
      </c>
      <c r="G131" s="2">
        <v>2000</v>
      </c>
      <c r="H131" s="2">
        <v>47000</v>
      </c>
      <c r="I131" s="2" t="s">
        <v>22</v>
      </c>
      <c r="J131" s="2">
        <v>5000</v>
      </c>
      <c r="K131" s="2">
        <v>680</v>
      </c>
      <c r="L131" s="2" t="s">
        <v>23</v>
      </c>
      <c r="M131" s="2" t="s">
        <v>79</v>
      </c>
      <c r="N131" s="2" t="s">
        <v>17</v>
      </c>
      <c r="O131" t="s">
        <v>294</v>
      </c>
    </row>
    <row r="132" spans="1:15" x14ac:dyDescent="0.3">
      <c r="A132">
        <f t="shared" si="0"/>
        <v>131</v>
      </c>
      <c r="B132" s="3" t="s">
        <v>156</v>
      </c>
      <c r="C132" s="3" t="s">
        <v>157</v>
      </c>
      <c r="D132" s="2">
        <v>31</v>
      </c>
      <c r="E132" s="2" t="s">
        <v>20</v>
      </c>
      <c r="F132" s="2" t="s">
        <v>14</v>
      </c>
      <c r="G132" s="2">
        <v>4000</v>
      </c>
      <c r="H132" s="2">
        <v>55000</v>
      </c>
      <c r="I132" s="2" t="s">
        <v>15</v>
      </c>
      <c r="J132" s="2">
        <v>0</v>
      </c>
      <c r="K132" s="2">
        <v>690</v>
      </c>
      <c r="L132" s="2" t="s">
        <v>27</v>
      </c>
      <c r="M132" s="2" t="s">
        <v>80</v>
      </c>
      <c r="N132" s="2" t="s">
        <v>24</v>
      </c>
      <c r="O132">
        <v>7</v>
      </c>
    </row>
    <row r="133" spans="1:15" hidden="1" x14ac:dyDescent="0.3">
      <c r="A133">
        <f t="shared" si="0"/>
        <v>132</v>
      </c>
      <c r="B133" s="3" t="s">
        <v>158</v>
      </c>
      <c r="C133" s="3" t="s">
        <v>159</v>
      </c>
      <c r="D133" s="2">
        <v>44</v>
      </c>
      <c r="E133" s="2" t="s">
        <v>13</v>
      </c>
      <c r="F133" s="2" t="s">
        <v>21</v>
      </c>
      <c r="G133" s="2">
        <v>6000</v>
      </c>
      <c r="H133" s="2">
        <v>62000</v>
      </c>
      <c r="I133" s="2" t="s">
        <v>22</v>
      </c>
      <c r="J133" s="2">
        <v>10000</v>
      </c>
      <c r="K133" s="2">
        <v>700</v>
      </c>
      <c r="L133" s="2" t="s">
        <v>30</v>
      </c>
      <c r="M133" s="2" t="s">
        <v>80</v>
      </c>
      <c r="N133" s="2" t="s">
        <v>17</v>
      </c>
      <c r="O133">
        <v>12</v>
      </c>
    </row>
    <row r="134" spans="1:15" x14ac:dyDescent="0.3">
      <c r="A134">
        <f t="shared" si="0"/>
        <v>133</v>
      </c>
      <c r="B134" s="3" t="s">
        <v>160</v>
      </c>
      <c r="C134" s="3" t="s">
        <v>161</v>
      </c>
      <c r="D134" s="2">
        <v>39</v>
      </c>
      <c r="E134" s="2" t="s">
        <v>20</v>
      </c>
      <c r="F134" s="2" t="s">
        <v>14</v>
      </c>
      <c r="G134" s="2">
        <v>9000</v>
      </c>
      <c r="H134" s="2">
        <v>67000</v>
      </c>
      <c r="I134" s="2" t="s">
        <v>15</v>
      </c>
      <c r="J134" s="2">
        <v>0</v>
      </c>
      <c r="K134" s="2">
        <v>720</v>
      </c>
      <c r="L134" s="2" t="s">
        <v>16</v>
      </c>
      <c r="M134" s="2" t="s">
        <v>80</v>
      </c>
      <c r="N134" s="2" t="s">
        <v>24</v>
      </c>
      <c r="O134">
        <v>11</v>
      </c>
    </row>
    <row r="135" spans="1:15" hidden="1" x14ac:dyDescent="0.3">
      <c r="A135">
        <f t="shared" si="0"/>
        <v>134</v>
      </c>
      <c r="B135" s="3" t="s">
        <v>162</v>
      </c>
      <c r="C135" s="3" t="s">
        <v>163</v>
      </c>
      <c r="D135" s="2">
        <v>27</v>
      </c>
      <c r="E135" s="2" t="s">
        <v>13</v>
      </c>
      <c r="F135" s="2" t="s">
        <v>21</v>
      </c>
      <c r="G135" s="2">
        <v>2500</v>
      </c>
      <c r="H135" s="2">
        <v>49000</v>
      </c>
      <c r="I135" s="2" t="s">
        <v>22</v>
      </c>
      <c r="J135" s="2">
        <v>7000</v>
      </c>
      <c r="K135" s="2">
        <v>680</v>
      </c>
      <c r="L135" s="2" t="s">
        <v>23</v>
      </c>
      <c r="M135" s="2" t="s">
        <v>81</v>
      </c>
      <c r="N135" s="2" t="s">
        <v>17</v>
      </c>
      <c r="O135">
        <v>3</v>
      </c>
    </row>
    <row r="136" spans="1:15" x14ac:dyDescent="0.3">
      <c r="A136">
        <f t="shared" si="0"/>
        <v>135</v>
      </c>
      <c r="B136" s="3" t="s">
        <v>164</v>
      </c>
      <c r="C136" s="3" t="s">
        <v>165</v>
      </c>
      <c r="D136" s="2">
        <v>40</v>
      </c>
      <c r="E136" s="2" t="s">
        <v>20</v>
      </c>
      <c r="F136" s="2" t="s">
        <v>14</v>
      </c>
      <c r="G136" s="2">
        <v>7000</v>
      </c>
      <c r="H136" s="2">
        <v>71000</v>
      </c>
      <c r="I136" s="2" t="s">
        <v>15</v>
      </c>
      <c r="J136" s="2">
        <v>0</v>
      </c>
      <c r="K136" s="2">
        <v>710</v>
      </c>
      <c r="L136" s="2" t="s">
        <v>27</v>
      </c>
      <c r="M136" s="2" t="s">
        <v>81</v>
      </c>
      <c r="N136" s="2" t="s">
        <v>24</v>
      </c>
      <c r="O136">
        <v>5</v>
      </c>
    </row>
    <row r="137" spans="1:15" hidden="1" x14ac:dyDescent="0.3">
      <c r="A137">
        <f t="shared" si="0"/>
        <v>136</v>
      </c>
      <c r="B137" s="3" t="s">
        <v>166</v>
      </c>
      <c r="C137" s="3" t="s">
        <v>167</v>
      </c>
      <c r="D137" s="2">
        <v>34</v>
      </c>
      <c r="E137" s="2" t="s">
        <v>13</v>
      </c>
      <c r="F137" s="2" t="s">
        <v>21</v>
      </c>
      <c r="G137" s="2">
        <v>15000</v>
      </c>
      <c r="H137" s="2">
        <v>73000</v>
      </c>
      <c r="I137" s="2" t="s">
        <v>22</v>
      </c>
      <c r="J137" s="2">
        <v>13000</v>
      </c>
      <c r="K137" s="2">
        <v>720</v>
      </c>
      <c r="L137" s="2" t="s">
        <v>30</v>
      </c>
      <c r="M137" s="2" t="s">
        <v>81</v>
      </c>
      <c r="N137" s="2" t="s">
        <v>17</v>
      </c>
      <c r="O137" t="s">
        <v>294</v>
      </c>
    </row>
    <row r="138" spans="1:15" x14ac:dyDescent="0.3">
      <c r="A138">
        <f t="shared" si="0"/>
        <v>137</v>
      </c>
      <c r="B138" s="3" t="s">
        <v>168</v>
      </c>
      <c r="C138" s="3" t="s">
        <v>169</v>
      </c>
      <c r="D138" s="2">
        <v>29</v>
      </c>
      <c r="E138" s="2" t="s">
        <v>20</v>
      </c>
      <c r="F138" s="2" t="s">
        <v>14</v>
      </c>
      <c r="G138" s="2">
        <v>2500</v>
      </c>
      <c r="H138" s="2">
        <v>47000</v>
      </c>
      <c r="I138" s="2" t="s">
        <v>15</v>
      </c>
      <c r="J138" s="2">
        <v>0</v>
      </c>
      <c r="K138" s="2">
        <v>680</v>
      </c>
      <c r="L138" s="2" t="s">
        <v>16</v>
      </c>
      <c r="M138" s="2" t="s">
        <v>79</v>
      </c>
      <c r="N138" s="2" t="s">
        <v>24</v>
      </c>
      <c r="O138">
        <v>11</v>
      </c>
    </row>
    <row r="139" spans="1:15" hidden="1" x14ac:dyDescent="0.3">
      <c r="A139">
        <f t="shared" si="0"/>
        <v>138</v>
      </c>
      <c r="B139" s="3" t="s">
        <v>170</v>
      </c>
      <c r="C139" s="3" t="s">
        <v>171</v>
      </c>
      <c r="D139" s="2">
        <v>31</v>
      </c>
      <c r="E139" s="2" t="s">
        <v>13</v>
      </c>
      <c r="F139" s="2" t="s">
        <v>21</v>
      </c>
      <c r="G139" s="2">
        <v>5000</v>
      </c>
      <c r="H139" s="2">
        <v>53000</v>
      </c>
      <c r="I139" s="2" t="s">
        <v>22</v>
      </c>
      <c r="J139" s="2">
        <v>8000</v>
      </c>
      <c r="K139" s="2">
        <v>690</v>
      </c>
      <c r="L139" s="2" t="s">
        <v>23</v>
      </c>
      <c r="M139" s="2" t="s">
        <v>79</v>
      </c>
      <c r="N139" s="2" t="s">
        <v>17</v>
      </c>
      <c r="O139">
        <v>11</v>
      </c>
    </row>
    <row r="140" spans="1:15" x14ac:dyDescent="0.3">
      <c r="A140">
        <f t="shared" si="0"/>
        <v>139</v>
      </c>
      <c r="B140" s="3" t="s">
        <v>172</v>
      </c>
      <c r="C140" s="3" t="s">
        <v>173</v>
      </c>
      <c r="D140" s="2">
        <v>42</v>
      </c>
      <c r="E140" s="2" t="s">
        <v>20</v>
      </c>
      <c r="F140" s="2" t="s">
        <v>14</v>
      </c>
      <c r="G140" s="2">
        <v>6000</v>
      </c>
      <c r="H140" s="2">
        <v>69000</v>
      </c>
      <c r="I140" s="2" t="s">
        <v>15</v>
      </c>
      <c r="J140" s="2">
        <v>0</v>
      </c>
      <c r="K140" s="2">
        <v>720</v>
      </c>
      <c r="L140" s="2" t="s">
        <v>27</v>
      </c>
      <c r="M140" s="2" t="s">
        <v>79</v>
      </c>
      <c r="N140" s="2" t="s">
        <v>24</v>
      </c>
      <c r="O140">
        <v>6</v>
      </c>
    </row>
    <row r="141" spans="1:15" hidden="1" x14ac:dyDescent="0.3">
      <c r="A141">
        <f t="shared" si="0"/>
        <v>140</v>
      </c>
      <c r="B141" s="3" t="s">
        <v>174</v>
      </c>
      <c r="C141" s="3" t="s">
        <v>175</v>
      </c>
      <c r="D141" s="2">
        <v>36</v>
      </c>
      <c r="E141" s="2" t="s">
        <v>13</v>
      </c>
      <c r="F141" s="2" t="s">
        <v>21</v>
      </c>
      <c r="G141" s="2">
        <v>2000</v>
      </c>
      <c r="H141" s="2">
        <v>45000</v>
      </c>
      <c r="I141" s="2" t="s">
        <v>22</v>
      </c>
      <c r="J141" s="2">
        <v>5000</v>
      </c>
      <c r="K141" s="2">
        <v>700</v>
      </c>
      <c r="L141" s="2" t="s">
        <v>30</v>
      </c>
      <c r="M141" s="2" t="s">
        <v>79</v>
      </c>
      <c r="N141" s="2" t="s">
        <v>17</v>
      </c>
      <c r="O141">
        <v>6</v>
      </c>
    </row>
    <row r="142" spans="1:15" x14ac:dyDescent="0.3">
      <c r="A142">
        <f t="shared" si="0"/>
        <v>141</v>
      </c>
      <c r="B142" s="3" t="s">
        <v>176</v>
      </c>
      <c r="C142" s="3" t="s">
        <v>177</v>
      </c>
      <c r="D142" s="2">
        <v>48</v>
      </c>
      <c r="E142" s="2" t="s">
        <v>20</v>
      </c>
      <c r="F142" s="2" t="s">
        <v>14</v>
      </c>
      <c r="G142" s="2">
        <v>8000</v>
      </c>
      <c r="H142" s="2">
        <v>74000</v>
      </c>
      <c r="I142" s="2" t="s">
        <v>15</v>
      </c>
      <c r="J142" s="2">
        <v>0</v>
      </c>
      <c r="K142" s="2">
        <v>680</v>
      </c>
      <c r="L142" s="2" t="s">
        <v>16</v>
      </c>
      <c r="M142" s="2" t="s">
        <v>80</v>
      </c>
      <c r="N142" s="2" t="s">
        <v>24</v>
      </c>
      <c r="O142">
        <v>5</v>
      </c>
    </row>
    <row r="143" spans="1:15" hidden="1" x14ac:dyDescent="0.3">
      <c r="A143">
        <f t="shared" si="0"/>
        <v>142</v>
      </c>
      <c r="B143" s="3" t="s">
        <v>178</v>
      </c>
      <c r="C143" s="3" t="s">
        <v>179</v>
      </c>
      <c r="D143" s="2">
        <v>33</v>
      </c>
      <c r="E143" s="2" t="s">
        <v>13</v>
      </c>
      <c r="F143" s="2" t="s">
        <v>21</v>
      </c>
      <c r="G143" s="2">
        <v>4000</v>
      </c>
      <c r="H143" s="2">
        <v>60000</v>
      </c>
      <c r="I143" s="2" t="s">
        <v>22</v>
      </c>
      <c r="J143" s="2">
        <v>8000</v>
      </c>
      <c r="K143" s="2">
        <v>720</v>
      </c>
      <c r="L143" s="2" t="s">
        <v>23</v>
      </c>
      <c r="M143" s="2" t="s">
        <v>80</v>
      </c>
      <c r="N143" s="2" t="s">
        <v>17</v>
      </c>
      <c r="O143">
        <v>4</v>
      </c>
    </row>
    <row r="144" spans="1:15" x14ac:dyDescent="0.3">
      <c r="A144">
        <f t="shared" si="0"/>
        <v>143</v>
      </c>
      <c r="B144" s="3" t="s">
        <v>49</v>
      </c>
      <c r="C144" s="3" t="s">
        <v>180</v>
      </c>
      <c r="D144" s="2">
        <v>29</v>
      </c>
      <c r="E144" s="2" t="s">
        <v>20</v>
      </c>
      <c r="F144" s="2" t="s">
        <v>14</v>
      </c>
      <c r="G144" s="2">
        <v>3500</v>
      </c>
      <c r="H144" s="2">
        <v>55000</v>
      </c>
      <c r="I144" s="2" t="s">
        <v>15</v>
      </c>
      <c r="J144" s="2">
        <v>0</v>
      </c>
      <c r="K144" s="2">
        <v>690</v>
      </c>
      <c r="L144" s="2" t="s">
        <v>27</v>
      </c>
      <c r="M144" s="2" t="s">
        <v>80</v>
      </c>
      <c r="N144" s="2" t="s">
        <v>24</v>
      </c>
      <c r="O144">
        <v>6</v>
      </c>
    </row>
    <row r="145" spans="1:15" hidden="1" x14ac:dyDescent="0.3">
      <c r="A145">
        <f t="shared" si="0"/>
        <v>144</v>
      </c>
      <c r="B145" s="3" t="s">
        <v>181</v>
      </c>
      <c r="C145" s="3" t="s">
        <v>182</v>
      </c>
      <c r="D145" s="2">
        <v>37</v>
      </c>
      <c r="E145" s="2" t="s">
        <v>13</v>
      </c>
      <c r="F145" s="2" t="s">
        <v>14</v>
      </c>
      <c r="G145" s="2">
        <v>10000</v>
      </c>
      <c r="H145" s="2">
        <v>67000</v>
      </c>
      <c r="I145" s="2" t="s">
        <v>22</v>
      </c>
      <c r="J145" s="2">
        <v>12000</v>
      </c>
      <c r="K145" s="2">
        <v>710</v>
      </c>
      <c r="L145" s="2" t="s">
        <v>30</v>
      </c>
      <c r="M145" s="2" t="s">
        <v>80</v>
      </c>
      <c r="N145" s="2" t="s">
        <v>17</v>
      </c>
      <c r="O145">
        <v>5</v>
      </c>
    </row>
    <row r="146" spans="1:15" x14ac:dyDescent="0.3">
      <c r="A146">
        <f t="shared" si="0"/>
        <v>145</v>
      </c>
      <c r="B146" s="3" t="s">
        <v>183</v>
      </c>
      <c r="C146" s="3" t="s">
        <v>184</v>
      </c>
      <c r="D146" s="2">
        <v>34</v>
      </c>
      <c r="E146" s="2" t="s">
        <v>20</v>
      </c>
      <c r="F146" s="2" t="s">
        <v>14</v>
      </c>
      <c r="G146" s="2">
        <v>3000</v>
      </c>
      <c r="H146" s="2">
        <v>48000</v>
      </c>
      <c r="I146" s="2" t="s">
        <v>15</v>
      </c>
      <c r="J146" s="2">
        <v>0</v>
      </c>
      <c r="K146" s="2">
        <v>680</v>
      </c>
      <c r="L146" s="2" t="s">
        <v>16</v>
      </c>
      <c r="M146" s="2" t="s">
        <v>81</v>
      </c>
      <c r="N146" s="2" t="s">
        <v>24</v>
      </c>
      <c r="O146">
        <v>14</v>
      </c>
    </row>
    <row r="147" spans="1:15" hidden="1" x14ac:dyDescent="0.3">
      <c r="A147">
        <f t="shared" si="0"/>
        <v>146</v>
      </c>
      <c r="B147" s="3" t="s">
        <v>185</v>
      </c>
      <c r="C147" s="3" t="s">
        <v>186</v>
      </c>
      <c r="D147" s="2">
        <v>45</v>
      </c>
      <c r="E147" s="2" t="s">
        <v>13</v>
      </c>
      <c r="F147" s="2" t="s">
        <v>14</v>
      </c>
      <c r="G147" s="2">
        <v>6000</v>
      </c>
      <c r="H147" s="2">
        <v>70000</v>
      </c>
      <c r="I147" s="2" t="s">
        <v>22</v>
      </c>
      <c r="J147" s="2">
        <v>15000</v>
      </c>
      <c r="K147" s="2">
        <v>690</v>
      </c>
      <c r="L147" s="2" t="s">
        <v>23</v>
      </c>
      <c r="M147" s="2" t="s">
        <v>81</v>
      </c>
      <c r="N147" s="2" t="s">
        <v>17</v>
      </c>
      <c r="O147">
        <v>12</v>
      </c>
    </row>
    <row r="148" spans="1:15" x14ac:dyDescent="0.3">
      <c r="A148">
        <f t="shared" si="0"/>
        <v>147</v>
      </c>
      <c r="B148" s="3" t="s">
        <v>187</v>
      </c>
      <c r="C148" s="3" t="s">
        <v>188</v>
      </c>
      <c r="D148" s="2">
        <v>28</v>
      </c>
      <c r="E148" s="2" t="s">
        <v>20</v>
      </c>
      <c r="F148" s="2" t="s">
        <v>14</v>
      </c>
      <c r="G148" s="2">
        <v>5500</v>
      </c>
      <c r="H148" s="2">
        <v>62000</v>
      </c>
      <c r="I148" s="2" t="s">
        <v>15</v>
      </c>
      <c r="J148" s="2">
        <v>0</v>
      </c>
      <c r="K148" s="2">
        <v>700</v>
      </c>
      <c r="L148" s="2" t="s">
        <v>27</v>
      </c>
      <c r="M148" s="2" t="s">
        <v>81</v>
      </c>
      <c r="N148" s="2" t="s">
        <v>24</v>
      </c>
      <c r="O148">
        <v>11</v>
      </c>
    </row>
    <row r="149" spans="1:15" hidden="1" x14ac:dyDescent="0.3">
      <c r="A149">
        <f t="shared" si="0"/>
        <v>148</v>
      </c>
      <c r="B149" s="3" t="s">
        <v>189</v>
      </c>
      <c r="C149" s="3" t="s">
        <v>190</v>
      </c>
      <c r="D149" s="2">
        <v>42</v>
      </c>
      <c r="E149" s="2" t="s">
        <v>13</v>
      </c>
      <c r="F149" s="2" t="s">
        <v>21</v>
      </c>
      <c r="G149" s="2">
        <v>8000</v>
      </c>
      <c r="H149" s="2">
        <v>73000</v>
      </c>
      <c r="I149" s="2" t="s">
        <v>22</v>
      </c>
      <c r="J149" s="2">
        <v>10000</v>
      </c>
      <c r="K149" s="2">
        <v>720</v>
      </c>
      <c r="L149" s="2" t="s">
        <v>30</v>
      </c>
      <c r="M149" s="2" t="s">
        <v>81</v>
      </c>
      <c r="N149" s="2" t="s">
        <v>17</v>
      </c>
      <c r="O149">
        <v>8</v>
      </c>
    </row>
    <row r="150" spans="1:15" x14ac:dyDescent="0.3">
      <c r="A150">
        <f t="shared" si="0"/>
        <v>149</v>
      </c>
      <c r="B150" s="3" t="s">
        <v>191</v>
      </c>
      <c r="C150" s="3" t="s">
        <v>37</v>
      </c>
      <c r="D150" s="2">
        <v>31</v>
      </c>
      <c r="E150" s="2" t="s">
        <v>20</v>
      </c>
      <c r="F150" s="2" t="s">
        <v>14</v>
      </c>
      <c r="G150" s="2">
        <v>1500</v>
      </c>
      <c r="H150" s="2">
        <v>51000</v>
      </c>
      <c r="I150" s="2" t="s">
        <v>15</v>
      </c>
      <c r="J150" s="2">
        <v>0</v>
      </c>
      <c r="K150" s="2">
        <v>680</v>
      </c>
      <c r="L150" s="2" t="s">
        <v>16</v>
      </c>
      <c r="M150" s="2" t="s">
        <v>79</v>
      </c>
      <c r="N150" s="2" t="s">
        <v>24</v>
      </c>
      <c r="O150">
        <v>4</v>
      </c>
    </row>
    <row r="151" spans="1:15" hidden="1" x14ac:dyDescent="0.3">
      <c r="A151">
        <f t="shared" si="0"/>
        <v>150</v>
      </c>
      <c r="B151" s="3" t="s">
        <v>192</v>
      </c>
      <c r="C151" s="3" t="s">
        <v>193</v>
      </c>
      <c r="D151" s="2">
        <v>29</v>
      </c>
      <c r="E151" s="2" t="s">
        <v>13</v>
      </c>
      <c r="F151" s="2" t="s">
        <v>21</v>
      </c>
      <c r="G151" s="2">
        <v>5000</v>
      </c>
      <c r="H151" s="2">
        <v>53000</v>
      </c>
      <c r="I151" s="2" t="s">
        <v>22</v>
      </c>
      <c r="J151" s="2">
        <v>7000</v>
      </c>
      <c r="K151" s="2">
        <v>690</v>
      </c>
      <c r="L151" s="2" t="s">
        <v>23</v>
      </c>
      <c r="M151" s="2" t="s">
        <v>79</v>
      </c>
      <c r="N151" s="2" t="s">
        <v>17</v>
      </c>
      <c r="O151" t="s">
        <v>294</v>
      </c>
    </row>
    <row r="152" spans="1:15" x14ac:dyDescent="0.3">
      <c r="A152">
        <f t="shared" ref="A152:A215" si="1">ROW()-1</f>
        <v>151</v>
      </c>
      <c r="B152" s="3" t="s">
        <v>194</v>
      </c>
      <c r="C152" s="3" t="s">
        <v>195</v>
      </c>
      <c r="D152" s="2">
        <v>36</v>
      </c>
      <c r="E152" s="2" t="s">
        <v>20</v>
      </c>
      <c r="F152" s="2" t="s">
        <v>14</v>
      </c>
      <c r="G152" s="2">
        <v>6000</v>
      </c>
      <c r="H152" s="2">
        <v>67000</v>
      </c>
      <c r="I152" s="2" t="s">
        <v>15</v>
      </c>
      <c r="J152" s="2">
        <v>0</v>
      </c>
      <c r="K152" s="2">
        <v>710</v>
      </c>
      <c r="L152" s="2" t="s">
        <v>27</v>
      </c>
      <c r="M152" s="2" t="s">
        <v>79</v>
      </c>
      <c r="N152" s="2" t="s">
        <v>24</v>
      </c>
      <c r="O152">
        <v>7</v>
      </c>
    </row>
    <row r="153" spans="1:15" hidden="1" x14ac:dyDescent="0.3">
      <c r="A153">
        <f t="shared" si="1"/>
        <v>152</v>
      </c>
      <c r="B153" s="3" t="s">
        <v>115</v>
      </c>
      <c r="C153" s="3" t="s">
        <v>196</v>
      </c>
      <c r="D153" s="2">
        <v>43</v>
      </c>
      <c r="E153" s="2" t="s">
        <v>13</v>
      </c>
      <c r="F153" s="2" t="s">
        <v>14</v>
      </c>
      <c r="G153" s="2">
        <v>4000</v>
      </c>
      <c r="H153" s="2">
        <v>46000</v>
      </c>
      <c r="I153" s="2" t="s">
        <v>22</v>
      </c>
      <c r="J153" s="2">
        <v>6000</v>
      </c>
      <c r="K153" s="2">
        <v>720</v>
      </c>
      <c r="L153" s="2" t="s">
        <v>30</v>
      </c>
      <c r="M153" s="2" t="s">
        <v>80</v>
      </c>
      <c r="N153" s="2" t="s">
        <v>17</v>
      </c>
      <c r="O153">
        <v>4</v>
      </c>
    </row>
    <row r="154" spans="1:15" x14ac:dyDescent="0.3">
      <c r="A154">
        <f t="shared" si="1"/>
        <v>153</v>
      </c>
      <c r="B154" s="3" t="s">
        <v>197</v>
      </c>
      <c r="C154" s="3" t="s">
        <v>198</v>
      </c>
      <c r="D154" s="2">
        <v>27</v>
      </c>
      <c r="E154" s="2" t="s">
        <v>20</v>
      </c>
      <c r="F154" s="2" t="s">
        <v>14</v>
      </c>
      <c r="G154" s="2">
        <v>2500</v>
      </c>
      <c r="H154" s="2">
        <v>47000</v>
      </c>
      <c r="I154" s="2" t="s">
        <v>15</v>
      </c>
      <c r="J154" s="2">
        <v>0</v>
      </c>
      <c r="K154" s="2">
        <v>670</v>
      </c>
      <c r="L154" s="2" t="s">
        <v>16</v>
      </c>
      <c r="M154" s="2" t="s">
        <v>80</v>
      </c>
      <c r="N154" s="2" t="s">
        <v>24</v>
      </c>
      <c r="O154">
        <v>14</v>
      </c>
    </row>
    <row r="155" spans="1:15" hidden="1" x14ac:dyDescent="0.3">
      <c r="A155">
        <f t="shared" si="1"/>
        <v>154</v>
      </c>
      <c r="B155" s="3" t="s">
        <v>199</v>
      </c>
      <c r="C155" s="3" t="s">
        <v>200</v>
      </c>
      <c r="D155" s="2">
        <v>39</v>
      </c>
      <c r="E155" s="2" t="s">
        <v>13</v>
      </c>
      <c r="F155" s="2" t="s">
        <v>21</v>
      </c>
      <c r="G155" s="2">
        <v>9000</v>
      </c>
      <c r="H155" s="2">
        <v>70000</v>
      </c>
      <c r="I155" s="2" t="s">
        <v>22</v>
      </c>
      <c r="J155" s="2">
        <v>12000</v>
      </c>
      <c r="K155" s="2">
        <v>700</v>
      </c>
      <c r="L155" s="2" t="s">
        <v>23</v>
      </c>
      <c r="M155" s="2" t="s">
        <v>80</v>
      </c>
      <c r="N155" s="2" t="s">
        <v>17</v>
      </c>
      <c r="O155">
        <v>5</v>
      </c>
    </row>
    <row r="156" spans="1:15" x14ac:dyDescent="0.3">
      <c r="A156">
        <f t="shared" si="1"/>
        <v>155</v>
      </c>
      <c r="B156" s="3" t="s">
        <v>201</v>
      </c>
      <c r="C156" s="3" t="s">
        <v>202</v>
      </c>
      <c r="D156" s="2">
        <v>31</v>
      </c>
      <c r="E156" s="2" t="s">
        <v>20</v>
      </c>
      <c r="F156" s="2" t="s">
        <v>14</v>
      </c>
      <c r="G156" s="2">
        <v>5000</v>
      </c>
      <c r="H156" s="2">
        <v>56000</v>
      </c>
      <c r="I156" s="2" t="s">
        <v>15</v>
      </c>
      <c r="J156" s="2">
        <v>0</v>
      </c>
      <c r="K156" s="2">
        <v>680</v>
      </c>
      <c r="L156" s="2" t="s">
        <v>27</v>
      </c>
      <c r="M156" s="2" t="s">
        <v>81</v>
      </c>
      <c r="N156" s="2" t="s">
        <v>24</v>
      </c>
      <c r="O156">
        <v>10</v>
      </c>
    </row>
    <row r="157" spans="1:15" hidden="1" x14ac:dyDescent="0.3">
      <c r="A157">
        <f t="shared" si="1"/>
        <v>156</v>
      </c>
      <c r="B157" s="3" t="s">
        <v>203</v>
      </c>
      <c r="C157" s="3" t="s">
        <v>204</v>
      </c>
      <c r="D157" s="2">
        <v>28</v>
      </c>
      <c r="E157" s="2" t="s">
        <v>13</v>
      </c>
      <c r="F157" s="2" t="s">
        <v>21</v>
      </c>
      <c r="G157" s="2">
        <v>2000</v>
      </c>
      <c r="H157" s="2">
        <v>47000</v>
      </c>
      <c r="I157" s="2" t="s">
        <v>22</v>
      </c>
      <c r="J157" s="2">
        <v>5000</v>
      </c>
      <c r="K157" s="2">
        <v>690</v>
      </c>
      <c r="L157" s="2" t="s">
        <v>30</v>
      </c>
      <c r="M157" s="2" t="s">
        <v>81</v>
      </c>
      <c r="N157" s="2" t="s">
        <v>17</v>
      </c>
      <c r="O157">
        <v>10</v>
      </c>
    </row>
    <row r="158" spans="1:15" x14ac:dyDescent="0.3">
      <c r="A158">
        <f t="shared" si="1"/>
        <v>157</v>
      </c>
      <c r="B158" s="3" t="s">
        <v>69</v>
      </c>
      <c r="C158" s="3" t="s">
        <v>205</v>
      </c>
      <c r="D158" s="2">
        <v>40</v>
      </c>
      <c r="E158" s="2" t="s">
        <v>20</v>
      </c>
      <c r="F158" s="2" t="s">
        <v>14</v>
      </c>
      <c r="G158" s="2">
        <v>7000</v>
      </c>
      <c r="H158" s="2">
        <v>68000</v>
      </c>
      <c r="I158" s="2" t="s">
        <v>15</v>
      </c>
      <c r="J158" s="2">
        <v>0</v>
      </c>
      <c r="K158" s="2">
        <v>710</v>
      </c>
      <c r="L158" s="2" t="s">
        <v>16</v>
      </c>
      <c r="M158" s="2" t="s">
        <v>81</v>
      </c>
      <c r="N158" s="2" t="s">
        <v>24</v>
      </c>
      <c r="O158">
        <v>7</v>
      </c>
    </row>
    <row r="159" spans="1:15" hidden="1" x14ac:dyDescent="0.3">
      <c r="A159">
        <f t="shared" si="1"/>
        <v>158</v>
      </c>
      <c r="B159" s="3" t="s">
        <v>35</v>
      </c>
      <c r="C159" s="3" t="s">
        <v>206</v>
      </c>
      <c r="D159" s="2">
        <v>36</v>
      </c>
      <c r="E159" s="2" t="s">
        <v>13</v>
      </c>
      <c r="F159" s="2" t="s">
        <v>21</v>
      </c>
      <c r="G159" s="2">
        <v>3000</v>
      </c>
      <c r="H159" s="2">
        <v>49000</v>
      </c>
      <c r="I159" s="2" t="s">
        <v>22</v>
      </c>
      <c r="J159" s="2">
        <v>6000</v>
      </c>
      <c r="K159" s="2">
        <v>700</v>
      </c>
      <c r="L159" s="2" t="s">
        <v>23</v>
      </c>
      <c r="M159" s="2" t="s">
        <v>79</v>
      </c>
      <c r="N159" s="2" t="s">
        <v>17</v>
      </c>
      <c r="O159">
        <v>5</v>
      </c>
    </row>
    <row r="160" spans="1:15" x14ac:dyDescent="0.3">
      <c r="A160">
        <f t="shared" si="1"/>
        <v>159</v>
      </c>
      <c r="B160" s="3" t="s">
        <v>207</v>
      </c>
      <c r="C160" s="3" t="s">
        <v>208</v>
      </c>
      <c r="D160" s="2">
        <v>29</v>
      </c>
      <c r="E160" s="2" t="s">
        <v>20</v>
      </c>
      <c r="F160" s="2" t="s">
        <v>14</v>
      </c>
      <c r="G160" s="2">
        <v>2000</v>
      </c>
      <c r="H160" s="2">
        <v>45000</v>
      </c>
      <c r="I160" s="2" t="s">
        <v>15</v>
      </c>
      <c r="J160" s="2">
        <v>0</v>
      </c>
      <c r="K160" s="2">
        <v>670</v>
      </c>
      <c r="L160" s="2" t="s">
        <v>27</v>
      </c>
      <c r="M160" s="2" t="s">
        <v>79</v>
      </c>
      <c r="N160" s="2" t="s">
        <v>24</v>
      </c>
      <c r="O160">
        <v>15</v>
      </c>
    </row>
    <row r="161" spans="1:15" hidden="1" x14ac:dyDescent="0.3">
      <c r="A161">
        <f t="shared" si="1"/>
        <v>160</v>
      </c>
      <c r="B161" s="3" t="s">
        <v>209</v>
      </c>
      <c r="C161" s="3" t="s">
        <v>210</v>
      </c>
      <c r="D161" s="2">
        <v>38</v>
      </c>
      <c r="E161" s="2" t="s">
        <v>13</v>
      </c>
      <c r="F161" s="2" t="s">
        <v>21</v>
      </c>
      <c r="G161" s="2">
        <v>6000</v>
      </c>
      <c r="H161" s="2">
        <v>71000</v>
      </c>
      <c r="I161" s="2" t="s">
        <v>22</v>
      </c>
      <c r="J161" s="2">
        <v>12000</v>
      </c>
      <c r="K161" s="2">
        <v>720</v>
      </c>
      <c r="L161" s="2" t="s">
        <v>30</v>
      </c>
      <c r="M161" s="2" t="s">
        <v>79</v>
      </c>
      <c r="N161" s="2" t="s">
        <v>17</v>
      </c>
      <c r="O161">
        <v>4</v>
      </c>
    </row>
    <row r="162" spans="1:15" x14ac:dyDescent="0.3">
      <c r="A162">
        <f t="shared" si="1"/>
        <v>161</v>
      </c>
      <c r="B162" s="3" t="s">
        <v>211</v>
      </c>
      <c r="C162" s="3" t="s">
        <v>212</v>
      </c>
      <c r="D162" s="2">
        <v>34</v>
      </c>
      <c r="E162" s="2" t="s">
        <v>13</v>
      </c>
      <c r="F162" s="2" t="s">
        <v>14</v>
      </c>
      <c r="G162" s="2">
        <v>2500</v>
      </c>
      <c r="H162" s="2">
        <v>55000</v>
      </c>
      <c r="I162" s="2" t="s">
        <v>15</v>
      </c>
      <c r="J162" s="2">
        <v>0</v>
      </c>
      <c r="K162" s="2">
        <v>720</v>
      </c>
      <c r="L162" s="2" t="s">
        <v>16</v>
      </c>
      <c r="M162" s="2" t="s">
        <v>79</v>
      </c>
      <c r="N162" s="2" t="s">
        <v>17</v>
      </c>
      <c r="O162">
        <v>15</v>
      </c>
    </row>
    <row r="163" spans="1:15" hidden="1" x14ac:dyDescent="0.3">
      <c r="A163">
        <f t="shared" si="1"/>
        <v>162</v>
      </c>
      <c r="B163" s="3" t="s">
        <v>213</v>
      </c>
      <c r="C163" s="3" t="s">
        <v>214</v>
      </c>
      <c r="D163" s="2">
        <v>29</v>
      </c>
      <c r="E163" s="2" t="s">
        <v>20</v>
      </c>
      <c r="F163" s="2" t="s">
        <v>21</v>
      </c>
      <c r="G163" s="2">
        <v>8000</v>
      </c>
      <c r="H163" s="2">
        <v>62000</v>
      </c>
      <c r="I163" s="2" t="s">
        <v>22</v>
      </c>
      <c r="J163" s="2">
        <v>15000</v>
      </c>
      <c r="K163" s="2">
        <v>680</v>
      </c>
      <c r="L163" s="2" t="s">
        <v>23</v>
      </c>
      <c r="M163" s="2" t="s">
        <v>80</v>
      </c>
      <c r="N163" s="2" t="s">
        <v>24</v>
      </c>
      <c r="O163" t="s">
        <v>294</v>
      </c>
    </row>
    <row r="164" spans="1:15" x14ac:dyDescent="0.3">
      <c r="A164">
        <f t="shared" si="1"/>
        <v>163</v>
      </c>
      <c r="B164" s="3" t="s">
        <v>62</v>
      </c>
      <c r="C164" s="3" t="s">
        <v>215</v>
      </c>
      <c r="D164" s="2">
        <v>45</v>
      </c>
      <c r="E164" s="2" t="s">
        <v>20</v>
      </c>
      <c r="F164" s="2" t="s">
        <v>14</v>
      </c>
      <c r="G164" s="2">
        <v>12000</v>
      </c>
      <c r="H164" s="2">
        <v>75000</v>
      </c>
      <c r="I164" s="2" t="s">
        <v>15</v>
      </c>
      <c r="J164" s="2">
        <v>0</v>
      </c>
      <c r="K164" s="2">
        <v>750</v>
      </c>
      <c r="L164" s="2" t="s">
        <v>27</v>
      </c>
      <c r="M164" s="2" t="s">
        <v>81</v>
      </c>
      <c r="N164" s="2" t="s">
        <v>17</v>
      </c>
      <c r="O164">
        <v>14</v>
      </c>
    </row>
    <row r="165" spans="1:15" hidden="1" x14ac:dyDescent="0.3">
      <c r="A165">
        <f t="shared" si="1"/>
        <v>164</v>
      </c>
      <c r="B165" s="3" t="s">
        <v>216</v>
      </c>
      <c r="C165" s="3" t="s">
        <v>217</v>
      </c>
      <c r="D165" s="2">
        <v>52</v>
      </c>
      <c r="E165" s="2" t="s">
        <v>13</v>
      </c>
      <c r="F165" s="2" t="s">
        <v>21</v>
      </c>
      <c r="G165" s="2">
        <v>3000</v>
      </c>
      <c r="H165" s="2">
        <v>48000</v>
      </c>
      <c r="I165" s="2" t="s">
        <v>22</v>
      </c>
      <c r="J165" s="2">
        <v>5000</v>
      </c>
      <c r="K165" s="2">
        <v>690</v>
      </c>
      <c r="L165" s="2" t="s">
        <v>30</v>
      </c>
      <c r="M165" s="2" t="s">
        <v>79</v>
      </c>
      <c r="N165" s="2" t="s">
        <v>17</v>
      </c>
      <c r="O165">
        <v>8</v>
      </c>
    </row>
    <row r="166" spans="1:15" x14ac:dyDescent="0.3">
      <c r="A166">
        <f t="shared" si="1"/>
        <v>165</v>
      </c>
      <c r="B166" s="3" t="s">
        <v>218</v>
      </c>
      <c r="C166" s="3" t="s">
        <v>219</v>
      </c>
      <c r="D166" s="2">
        <v>37</v>
      </c>
      <c r="E166" s="2" t="s">
        <v>20</v>
      </c>
      <c r="F166" s="2" t="s">
        <v>14</v>
      </c>
      <c r="G166" s="2">
        <v>5000</v>
      </c>
      <c r="H166" s="2">
        <v>58000</v>
      </c>
      <c r="I166" s="2" t="s">
        <v>15</v>
      </c>
      <c r="J166" s="2">
        <v>0</v>
      </c>
      <c r="K166" s="2">
        <v>710</v>
      </c>
      <c r="L166" s="2" t="s">
        <v>16</v>
      </c>
      <c r="M166" s="2" t="s">
        <v>79</v>
      </c>
      <c r="N166" s="2" t="s">
        <v>24</v>
      </c>
      <c r="O166">
        <v>15</v>
      </c>
    </row>
    <row r="167" spans="1:15" hidden="1" x14ac:dyDescent="0.3">
      <c r="A167">
        <f t="shared" si="1"/>
        <v>166</v>
      </c>
      <c r="B167" s="3" t="s">
        <v>220</v>
      </c>
      <c r="C167" s="3" t="s">
        <v>221</v>
      </c>
      <c r="D167" s="2">
        <v>30</v>
      </c>
      <c r="E167" s="2" t="s">
        <v>13</v>
      </c>
      <c r="F167" s="2" t="s">
        <v>21</v>
      </c>
      <c r="G167" s="2">
        <v>6000</v>
      </c>
      <c r="H167" s="2">
        <v>70000</v>
      </c>
      <c r="I167" s="2" t="s">
        <v>22</v>
      </c>
      <c r="J167" s="2">
        <v>20000</v>
      </c>
      <c r="K167" s="2">
        <v>700</v>
      </c>
      <c r="L167" s="2" t="s">
        <v>23</v>
      </c>
      <c r="M167" s="2" t="s">
        <v>79</v>
      </c>
      <c r="N167" s="2" t="s">
        <v>17</v>
      </c>
      <c r="O167">
        <v>9</v>
      </c>
    </row>
    <row r="168" spans="1:15" x14ac:dyDescent="0.3">
      <c r="A168">
        <f t="shared" si="1"/>
        <v>167</v>
      </c>
      <c r="B168" s="3" t="s">
        <v>222</v>
      </c>
      <c r="C168" s="3" t="s">
        <v>223</v>
      </c>
      <c r="D168" s="2">
        <v>40</v>
      </c>
      <c r="E168" s="2" t="s">
        <v>20</v>
      </c>
      <c r="F168" s="2" t="s">
        <v>14</v>
      </c>
      <c r="G168" s="2">
        <v>15000</v>
      </c>
      <c r="H168" s="2">
        <v>82000</v>
      </c>
      <c r="I168" s="2" t="s">
        <v>15</v>
      </c>
      <c r="J168" s="2">
        <v>0</v>
      </c>
      <c r="K168" s="2">
        <v>730</v>
      </c>
      <c r="L168" s="2" t="s">
        <v>27</v>
      </c>
      <c r="M168" s="2" t="s">
        <v>79</v>
      </c>
      <c r="N168" s="2" t="s">
        <v>24</v>
      </c>
      <c r="O168">
        <v>4</v>
      </c>
    </row>
    <row r="169" spans="1:15" x14ac:dyDescent="0.3">
      <c r="A169">
        <f t="shared" si="1"/>
        <v>168</v>
      </c>
      <c r="B169" s="3" t="s">
        <v>224</v>
      </c>
      <c r="C169" s="3" t="s">
        <v>225</v>
      </c>
      <c r="D169" s="2">
        <v>25</v>
      </c>
      <c r="E169" s="2" t="s">
        <v>13</v>
      </c>
      <c r="F169" s="2" t="s">
        <v>21</v>
      </c>
      <c r="G169" s="2">
        <v>2000</v>
      </c>
      <c r="H169" s="2">
        <v>43000</v>
      </c>
      <c r="I169" s="2" t="s">
        <v>15</v>
      </c>
      <c r="J169" s="2">
        <v>0</v>
      </c>
      <c r="K169" s="2">
        <v>670</v>
      </c>
      <c r="L169" s="2" t="s">
        <v>30</v>
      </c>
      <c r="M169" s="2" t="s">
        <v>80</v>
      </c>
      <c r="N169" s="2" t="s">
        <v>17</v>
      </c>
      <c r="O169">
        <v>13</v>
      </c>
    </row>
    <row r="170" spans="1:15" hidden="1" x14ac:dyDescent="0.3">
      <c r="A170">
        <f t="shared" si="1"/>
        <v>169</v>
      </c>
      <c r="B170" s="3" t="s">
        <v>226</v>
      </c>
      <c r="C170" s="3" t="s">
        <v>227</v>
      </c>
      <c r="D170" s="2">
        <v>31</v>
      </c>
      <c r="E170" s="2" t="s">
        <v>20</v>
      </c>
      <c r="F170" s="2" t="s">
        <v>14</v>
      </c>
      <c r="G170" s="2">
        <v>7000</v>
      </c>
      <c r="H170" s="2">
        <v>55000</v>
      </c>
      <c r="I170" s="2" t="s">
        <v>22</v>
      </c>
      <c r="J170" s="2">
        <v>10000</v>
      </c>
      <c r="K170" s="2">
        <v>720</v>
      </c>
      <c r="L170" s="2" t="s">
        <v>16</v>
      </c>
      <c r="M170" s="2" t="s">
        <v>80</v>
      </c>
      <c r="N170" s="2" t="s">
        <v>17</v>
      </c>
      <c r="O170">
        <v>5</v>
      </c>
    </row>
    <row r="171" spans="1:15" x14ac:dyDescent="0.3">
      <c r="A171">
        <f t="shared" si="1"/>
        <v>170</v>
      </c>
      <c r="B171" s="3" t="s">
        <v>228</v>
      </c>
      <c r="C171" s="3" t="s">
        <v>229</v>
      </c>
      <c r="D171" s="2">
        <v>44</v>
      </c>
      <c r="E171" s="2" t="s">
        <v>13</v>
      </c>
      <c r="F171" s="2" t="s">
        <v>21</v>
      </c>
      <c r="G171" s="2">
        <v>11000</v>
      </c>
      <c r="H171" s="2">
        <v>65000</v>
      </c>
      <c r="I171" s="2" t="s">
        <v>15</v>
      </c>
      <c r="J171" s="2">
        <v>0</v>
      </c>
      <c r="K171" s="2">
        <v>740</v>
      </c>
      <c r="L171" s="2" t="s">
        <v>23</v>
      </c>
      <c r="M171" s="2" t="s">
        <v>81</v>
      </c>
      <c r="N171" s="2" t="s">
        <v>24</v>
      </c>
      <c r="O171">
        <v>11</v>
      </c>
    </row>
    <row r="172" spans="1:15" x14ac:dyDescent="0.3">
      <c r="A172">
        <f t="shared" si="1"/>
        <v>171</v>
      </c>
      <c r="B172" s="3" t="s">
        <v>230</v>
      </c>
      <c r="C172" s="3" t="s">
        <v>231</v>
      </c>
      <c r="D172" s="2">
        <v>28</v>
      </c>
      <c r="E172" s="2" t="s">
        <v>20</v>
      </c>
      <c r="F172" s="2" t="s">
        <v>14</v>
      </c>
      <c r="G172" s="2">
        <v>4500</v>
      </c>
      <c r="H172" s="2">
        <v>47000</v>
      </c>
      <c r="I172" s="2" t="s">
        <v>15</v>
      </c>
      <c r="J172" s="2">
        <v>0</v>
      </c>
      <c r="K172" s="2">
        <v>690</v>
      </c>
      <c r="L172" s="2" t="s">
        <v>27</v>
      </c>
      <c r="M172" s="2" t="s">
        <v>79</v>
      </c>
      <c r="N172" s="2" t="s">
        <v>17</v>
      </c>
      <c r="O172">
        <v>4</v>
      </c>
    </row>
    <row r="173" spans="1:15" hidden="1" x14ac:dyDescent="0.3">
      <c r="A173">
        <f t="shared" si="1"/>
        <v>172</v>
      </c>
      <c r="B173" s="3" t="s">
        <v>232</v>
      </c>
      <c r="C173" s="3" t="s">
        <v>233</v>
      </c>
      <c r="D173" s="2">
        <v>39</v>
      </c>
      <c r="E173" s="2" t="s">
        <v>13</v>
      </c>
      <c r="F173" s="2" t="s">
        <v>21</v>
      </c>
      <c r="G173" s="2">
        <v>10000</v>
      </c>
      <c r="H173" s="2">
        <v>72000</v>
      </c>
      <c r="I173" s="2" t="s">
        <v>22</v>
      </c>
      <c r="J173" s="2">
        <v>12000</v>
      </c>
      <c r="K173" s="2">
        <v>700</v>
      </c>
      <c r="L173" s="2" t="s">
        <v>30</v>
      </c>
      <c r="M173" s="2" t="s">
        <v>81</v>
      </c>
      <c r="N173" s="2" t="s">
        <v>17</v>
      </c>
      <c r="O173">
        <v>14</v>
      </c>
    </row>
    <row r="174" spans="1:15" x14ac:dyDescent="0.3">
      <c r="A174">
        <f t="shared" si="1"/>
        <v>173</v>
      </c>
      <c r="B174" s="3" t="s">
        <v>61</v>
      </c>
      <c r="C174" s="3" t="s">
        <v>61</v>
      </c>
      <c r="D174" s="2">
        <v>26</v>
      </c>
      <c r="E174" s="2" t="s">
        <v>20</v>
      </c>
      <c r="F174" s="2" t="s">
        <v>14</v>
      </c>
      <c r="G174" s="2">
        <v>3500</v>
      </c>
      <c r="H174" s="2">
        <v>53000</v>
      </c>
      <c r="I174" s="2" t="s">
        <v>15</v>
      </c>
      <c r="J174" s="2">
        <v>0</v>
      </c>
      <c r="K174" s="2">
        <v>680</v>
      </c>
      <c r="L174" s="2" t="s">
        <v>16</v>
      </c>
      <c r="M174" s="2" t="s">
        <v>80</v>
      </c>
      <c r="N174" s="2" t="s">
        <v>24</v>
      </c>
      <c r="O174">
        <v>7</v>
      </c>
    </row>
    <row r="175" spans="1:15" hidden="1" x14ac:dyDescent="0.3">
      <c r="A175">
        <f t="shared" si="1"/>
        <v>174</v>
      </c>
      <c r="B175" s="3" t="s">
        <v>234</v>
      </c>
      <c r="C175" s="3" t="s">
        <v>235</v>
      </c>
      <c r="D175" s="2">
        <v>33</v>
      </c>
      <c r="E175" s="2" t="s">
        <v>13</v>
      </c>
      <c r="F175" s="2" t="s">
        <v>21</v>
      </c>
      <c r="G175" s="2">
        <v>8000</v>
      </c>
      <c r="H175" s="2">
        <v>60000</v>
      </c>
      <c r="I175" s="2" t="s">
        <v>22</v>
      </c>
      <c r="J175" s="2">
        <v>8000</v>
      </c>
      <c r="K175" s="2">
        <v>710</v>
      </c>
      <c r="L175" s="2" t="s">
        <v>23</v>
      </c>
      <c r="M175" s="2" t="s">
        <v>79</v>
      </c>
      <c r="N175" s="2" t="s">
        <v>17</v>
      </c>
      <c r="O175">
        <v>6</v>
      </c>
    </row>
    <row r="176" spans="1:15" x14ac:dyDescent="0.3">
      <c r="A176">
        <f t="shared" si="1"/>
        <v>175</v>
      </c>
      <c r="B176" s="3" t="s">
        <v>236</v>
      </c>
      <c r="C176" s="3" t="s">
        <v>237</v>
      </c>
      <c r="D176" s="2">
        <v>46</v>
      </c>
      <c r="E176" s="2" t="s">
        <v>20</v>
      </c>
      <c r="F176" s="2" t="s">
        <v>14</v>
      </c>
      <c r="G176" s="2">
        <v>13000</v>
      </c>
      <c r="H176" s="2">
        <v>85000</v>
      </c>
      <c r="I176" s="2" t="s">
        <v>15</v>
      </c>
      <c r="J176" s="2">
        <v>0</v>
      </c>
      <c r="K176" s="2">
        <v>740</v>
      </c>
      <c r="L176" s="2" t="s">
        <v>27</v>
      </c>
      <c r="M176" s="2" t="s">
        <v>81</v>
      </c>
      <c r="N176" s="2" t="s">
        <v>24</v>
      </c>
      <c r="O176">
        <v>4</v>
      </c>
    </row>
    <row r="177" spans="1:15" hidden="1" x14ac:dyDescent="0.3">
      <c r="A177">
        <f t="shared" si="1"/>
        <v>176</v>
      </c>
      <c r="B177" s="3" t="s">
        <v>238</v>
      </c>
      <c r="C177" s="3" t="s">
        <v>239</v>
      </c>
      <c r="D177" s="2">
        <v>52</v>
      </c>
      <c r="E177" s="2" t="s">
        <v>13</v>
      </c>
      <c r="F177" s="2" t="s">
        <v>21</v>
      </c>
      <c r="G177" s="2">
        <v>4000</v>
      </c>
      <c r="H177" s="2">
        <v>49000</v>
      </c>
      <c r="I177" s="2" t="s">
        <v>22</v>
      </c>
      <c r="J177" s="2">
        <v>7000</v>
      </c>
      <c r="K177" s="2">
        <v>690</v>
      </c>
      <c r="L177" s="2" t="s">
        <v>30</v>
      </c>
      <c r="M177" s="2" t="s">
        <v>79</v>
      </c>
      <c r="N177" s="2" t="s">
        <v>17</v>
      </c>
      <c r="O177">
        <v>7</v>
      </c>
    </row>
    <row r="178" spans="1:15" x14ac:dyDescent="0.3">
      <c r="A178">
        <f t="shared" si="1"/>
        <v>177</v>
      </c>
      <c r="B178" s="3" t="s">
        <v>240</v>
      </c>
      <c r="C178" s="3" t="s">
        <v>241</v>
      </c>
      <c r="D178" s="2">
        <v>24</v>
      </c>
      <c r="E178" s="2" t="s">
        <v>13</v>
      </c>
      <c r="F178" s="2" t="s">
        <v>14</v>
      </c>
      <c r="G178" s="2">
        <v>2200</v>
      </c>
      <c r="H178" s="2">
        <v>45000</v>
      </c>
      <c r="I178" s="2" t="s">
        <v>15</v>
      </c>
      <c r="J178" s="2">
        <v>0</v>
      </c>
      <c r="K178" s="2">
        <v>670</v>
      </c>
      <c r="L178" s="2" t="s">
        <v>16</v>
      </c>
      <c r="M178" s="2" t="s">
        <v>80</v>
      </c>
      <c r="N178" s="2" t="s">
        <v>24</v>
      </c>
      <c r="O178">
        <v>13</v>
      </c>
    </row>
    <row r="179" spans="1:15" hidden="1" x14ac:dyDescent="0.3">
      <c r="A179">
        <f t="shared" si="1"/>
        <v>178</v>
      </c>
      <c r="B179" s="3" t="s">
        <v>242</v>
      </c>
      <c r="C179" s="3" t="s">
        <v>243</v>
      </c>
      <c r="D179" s="2">
        <v>38</v>
      </c>
      <c r="E179" s="2" t="s">
        <v>13</v>
      </c>
      <c r="F179" s="2" t="s">
        <v>21</v>
      </c>
      <c r="G179" s="2">
        <v>15000</v>
      </c>
      <c r="H179" s="2">
        <v>77000</v>
      </c>
      <c r="I179" s="2" t="s">
        <v>22</v>
      </c>
      <c r="J179" s="2">
        <v>15000</v>
      </c>
      <c r="K179" s="2">
        <v>720</v>
      </c>
      <c r="L179" s="2" t="s">
        <v>23</v>
      </c>
      <c r="M179" s="2" t="s">
        <v>81</v>
      </c>
      <c r="N179" s="2" t="s">
        <v>17</v>
      </c>
      <c r="O179">
        <v>4</v>
      </c>
    </row>
    <row r="180" spans="1:15" x14ac:dyDescent="0.3">
      <c r="A180">
        <f t="shared" si="1"/>
        <v>179</v>
      </c>
      <c r="B180" s="3" t="s">
        <v>244</v>
      </c>
      <c r="C180" s="3" t="s">
        <v>245</v>
      </c>
      <c r="D180" s="2">
        <v>27</v>
      </c>
      <c r="E180" s="2" t="s">
        <v>20</v>
      </c>
      <c r="F180" s="2" t="s">
        <v>14</v>
      </c>
      <c r="G180" s="2">
        <v>4000</v>
      </c>
      <c r="H180" s="2">
        <v>50000</v>
      </c>
      <c r="I180" s="2" t="s">
        <v>15</v>
      </c>
      <c r="J180" s="2">
        <v>0</v>
      </c>
      <c r="K180" s="2">
        <v>680</v>
      </c>
      <c r="L180" s="2" t="s">
        <v>27</v>
      </c>
      <c r="M180" s="2" t="s">
        <v>79</v>
      </c>
      <c r="N180" s="2" t="s">
        <v>24</v>
      </c>
      <c r="O180">
        <v>15</v>
      </c>
    </row>
    <row r="181" spans="1:15" hidden="1" x14ac:dyDescent="0.3">
      <c r="A181">
        <f t="shared" si="1"/>
        <v>180</v>
      </c>
      <c r="B181" s="3" t="s">
        <v>246</v>
      </c>
      <c r="C181" s="3" t="s">
        <v>247</v>
      </c>
      <c r="D181" s="2">
        <v>41</v>
      </c>
      <c r="E181" s="2" t="s">
        <v>13</v>
      </c>
      <c r="F181" s="2" t="s">
        <v>21</v>
      </c>
      <c r="G181" s="2">
        <v>9000</v>
      </c>
      <c r="H181" s="2">
        <v>69000</v>
      </c>
      <c r="I181" s="2" t="s">
        <v>22</v>
      </c>
      <c r="J181" s="2">
        <v>12000</v>
      </c>
      <c r="K181" s="2">
        <v>700</v>
      </c>
      <c r="L181" s="2" t="s">
        <v>30</v>
      </c>
      <c r="M181" s="2" t="s">
        <v>81</v>
      </c>
      <c r="N181" s="2" t="s">
        <v>17</v>
      </c>
      <c r="O181">
        <v>4</v>
      </c>
    </row>
    <row r="182" spans="1:15" x14ac:dyDescent="0.3">
      <c r="A182">
        <f t="shared" si="1"/>
        <v>181</v>
      </c>
      <c r="B182" s="3" t="s">
        <v>248</v>
      </c>
      <c r="C182" s="3" t="s">
        <v>182</v>
      </c>
      <c r="D182" s="2">
        <v>32</v>
      </c>
      <c r="E182" s="2" t="s">
        <v>20</v>
      </c>
      <c r="F182" s="2" t="s">
        <v>14</v>
      </c>
      <c r="G182" s="2">
        <v>5500</v>
      </c>
      <c r="H182" s="2">
        <v>54000</v>
      </c>
      <c r="I182" s="2" t="s">
        <v>15</v>
      </c>
      <c r="J182" s="2">
        <v>0</v>
      </c>
      <c r="K182" s="2">
        <v>710</v>
      </c>
      <c r="L182" s="2" t="s">
        <v>16</v>
      </c>
      <c r="M182" s="2" t="s">
        <v>79</v>
      </c>
      <c r="N182" s="2" t="s">
        <v>24</v>
      </c>
      <c r="O182">
        <v>15</v>
      </c>
    </row>
    <row r="183" spans="1:15" hidden="1" x14ac:dyDescent="0.3">
      <c r="A183">
        <f t="shared" si="1"/>
        <v>182</v>
      </c>
      <c r="B183" s="3" t="s">
        <v>249</v>
      </c>
      <c r="C183" s="3" t="s">
        <v>225</v>
      </c>
      <c r="D183" s="2">
        <v>47</v>
      </c>
      <c r="E183" s="2" t="s">
        <v>13</v>
      </c>
      <c r="F183" s="2" t="s">
        <v>21</v>
      </c>
      <c r="G183" s="2">
        <v>7000</v>
      </c>
      <c r="H183" s="2">
        <v>74000</v>
      </c>
      <c r="I183" s="2" t="s">
        <v>22</v>
      </c>
      <c r="J183" s="2">
        <v>10000</v>
      </c>
      <c r="K183" s="2">
        <v>690</v>
      </c>
      <c r="L183" s="2" t="s">
        <v>23</v>
      </c>
      <c r="M183" s="2" t="s">
        <v>80</v>
      </c>
      <c r="N183" s="2" t="s">
        <v>17</v>
      </c>
      <c r="O183">
        <v>14</v>
      </c>
    </row>
    <row r="184" spans="1:15" x14ac:dyDescent="0.3">
      <c r="A184">
        <f t="shared" si="1"/>
        <v>183</v>
      </c>
      <c r="B184" s="3" t="s">
        <v>250</v>
      </c>
      <c r="C184" s="3" t="s">
        <v>26</v>
      </c>
      <c r="D184" s="2">
        <v>35</v>
      </c>
      <c r="E184" s="2" t="s">
        <v>20</v>
      </c>
      <c r="F184" s="2" t="s">
        <v>14</v>
      </c>
      <c r="G184" s="2">
        <v>6000</v>
      </c>
      <c r="H184" s="2">
        <v>68000</v>
      </c>
      <c r="I184" s="2" t="s">
        <v>15</v>
      </c>
      <c r="J184" s="2">
        <v>0</v>
      </c>
      <c r="K184" s="2">
        <v>720</v>
      </c>
      <c r="L184" s="2" t="s">
        <v>27</v>
      </c>
      <c r="M184" s="2" t="s">
        <v>80</v>
      </c>
      <c r="N184" s="2" t="s">
        <v>24</v>
      </c>
      <c r="O184">
        <v>10</v>
      </c>
    </row>
    <row r="185" spans="1:15" hidden="1" x14ac:dyDescent="0.3">
      <c r="A185">
        <f t="shared" si="1"/>
        <v>184</v>
      </c>
      <c r="B185" s="3" t="s">
        <v>222</v>
      </c>
      <c r="C185" s="3" t="s">
        <v>251</v>
      </c>
      <c r="D185" s="2">
        <v>29</v>
      </c>
      <c r="E185" s="2" t="s">
        <v>13</v>
      </c>
      <c r="F185" s="2" t="s">
        <v>21</v>
      </c>
      <c r="G185" s="2">
        <v>2500</v>
      </c>
      <c r="H185" s="2">
        <v>45000</v>
      </c>
      <c r="I185" s="2" t="s">
        <v>22</v>
      </c>
      <c r="J185" s="2">
        <v>5000</v>
      </c>
      <c r="K185" s="2">
        <v>670</v>
      </c>
      <c r="L185" s="2" t="s">
        <v>30</v>
      </c>
      <c r="M185" s="2" t="s">
        <v>80</v>
      </c>
      <c r="N185" s="2" t="s">
        <v>17</v>
      </c>
      <c r="O185">
        <v>14</v>
      </c>
    </row>
    <row r="186" spans="1:15" x14ac:dyDescent="0.3">
      <c r="A186">
        <f t="shared" si="1"/>
        <v>185</v>
      </c>
      <c r="B186" s="3" t="s">
        <v>252</v>
      </c>
      <c r="C186" s="3" t="s">
        <v>159</v>
      </c>
      <c r="D186" s="2">
        <v>42</v>
      </c>
      <c r="E186" s="2" t="s">
        <v>20</v>
      </c>
      <c r="F186" s="2" t="s">
        <v>14</v>
      </c>
      <c r="G186" s="2">
        <v>11000</v>
      </c>
      <c r="H186" s="2">
        <v>80000</v>
      </c>
      <c r="I186" s="2" t="s">
        <v>15</v>
      </c>
      <c r="J186" s="2">
        <v>0</v>
      </c>
      <c r="K186" s="2">
        <v>740</v>
      </c>
      <c r="L186" s="2" t="s">
        <v>16</v>
      </c>
      <c r="M186" s="2" t="s">
        <v>81</v>
      </c>
      <c r="N186" s="2" t="s">
        <v>24</v>
      </c>
      <c r="O186">
        <v>15</v>
      </c>
    </row>
    <row r="187" spans="1:15" hidden="1" x14ac:dyDescent="0.3">
      <c r="A187">
        <f t="shared" si="1"/>
        <v>186</v>
      </c>
      <c r="B187" s="3" t="s">
        <v>253</v>
      </c>
      <c r="C187" s="3" t="s">
        <v>254</v>
      </c>
      <c r="D187" s="2">
        <v>50</v>
      </c>
      <c r="E187" s="2" t="s">
        <v>13</v>
      </c>
      <c r="F187" s="2" t="s">
        <v>21</v>
      </c>
      <c r="G187" s="2">
        <v>3000</v>
      </c>
      <c r="H187" s="2">
        <v>47000</v>
      </c>
      <c r="I187" s="2" t="s">
        <v>22</v>
      </c>
      <c r="J187" s="2">
        <v>8000</v>
      </c>
      <c r="K187" s="2">
        <v>680</v>
      </c>
      <c r="L187" s="2" t="s">
        <v>23</v>
      </c>
      <c r="M187" s="2" t="s">
        <v>81</v>
      </c>
      <c r="N187" s="2" t="s">
        <v>17</v>
      </c>
      <c r="O187">
        <v>13</v>
      </c>
    </row>
    <row r="188" spans="1:15" x14ac:dyDescent="0.3">
      <c r="A188">
        <f t="shared" si="1"/>
        <v>187</v>
      </c>
      <c r="B188" s="3" t="s">
        <v>255</v>
      </c>
      <c r="C188" s="3" t="s">
        <v>141</v>
      </c>
      <c r="D188" s="2">
        <v>28</v>
      </c>
      <c r="E188" s="2" t="s">
        <v>20</v>
      </c>
      <c r="F188" s="2" t="s">
        <v>14</v>
      </c>
      <c r="G188" s="2">
        <v>4000</v>
      </c>
      <c r="H188" s="2">
        <v>53000</v>
      </c>
      <c r="I188" s="2" t="s">
        <v>15</v>
      </c>
      <c r="J188" s="2">
        <v>0</v>
      </c>
      <c r="K188" s="2">
        <v>690</v>
      </c>
      <c r="L188" s="2" t="s">
        <v>27</v>
      </c>
      <c r="M188" s="2" t="s">
        <v>79</v>
      </c>
      <c r="N188" s="2" t="s">
        <v>24</v>
      </c>
      <c r="O188">
        <v>7</v>
      </c>
    </row>
    <row r="189" spans="1:15" hidden="1" x14ac:dyDescent="0.3">
      <c r="A189">
        <f t="shared" si="1"/>
        <v>188</v>
      </c>
      <c r="B189" s="3" t="s">
        <v>256</v>
      </c>
      <c r="C189" s="3" t="s">
        <v>56</v>
      </c>
      <c r="D189" s="2">
        <v>36</v>
      </c>
      <c r="E189" s="2" t="s">
        <v>13</v>
      </c>
      <c r="F189" s="2" t="s">
        <v>21</v>
      </c>
      <c r="G189" s="2">
        <v>9000</v>
      </c>
      <c r="H189" s="2">
        <v>71000</v>
      </c>
      <c r="I189" s="2" t="s">
        <v>22</v>
      </c>
      <c r="J189" s="2">
        <v>13000</v>
      </c>
      <c r="K189" s="2">
        <v>700</v>
      </c>
      <c r="L189" s="2" t="s">
        <v>30</v>
      </c>
      <c r="M189" s="2" t="s">
        <v>80</v>
      </c>
      <c r="N189" s="2" t="s">
        <v>17</v>
      </c>
      <c r="O189">
        <v>5</v>
      </c>
    </row>
    <row r="190" spans="1:15" x14ac:dyDescent="0.3">
      <c r="A190">
        <f t="shared" si="1"/>
        <v>189</v>
      </c>
      <c r="B190" s="3" t="s">
        <v>257</v>
      </c>
      <c r="C190" s="3" t="s">
        <v>129</v>
      </c>
      <c r="D190" s="2">
        <v>41</v>
      </c>
      <c r="E190" s="2" t="s">
        <v>20</v>
      </c>
      <c r="F190" s="2" t="s">
        <v>14</v>
      </c>
      <c r="G190" s="2">
        <v>8000</v>
      </c>
      <c r="H190" s="2">
        <v>67000</v>
      </c>
      <c r="I190" s="2" t="s">
        <v>15</v>
      </c>
      <c r="J190" s="2">
        <v>0</v>
      </c>
      <c r="K190" s="2">
        <v>710</v>
      </c>
      <c r="L190" s="2" t="s">
        <v>16</v>
      </c>
      <c r="M190" s="2" t="s">
        <v>81</v>
      </c>
      <c r="N190" s="2" t="s">
        <v>24</v>
      </c>
      <c r="O190">
        <v>3</v>
      </c>
    </row>
    <row r="191" spans="1:15" hidden="1" x14ac:dyDescent="0.3">
      <c r="A191">
        <f t="shared" si="1"/>
        <v>190</v>
      </c>
      <c r="B191" s="3" t="s">
        <v>258</v>
      </c>
      <c r="C191" s="3" t="s">
        <v>259</v>
      </c>
      <c r="D191" s="2">
        <v>30</v>
      </c>
      <c r="E191" s="2" t="s">
        <v>13</v>
      </c>
      <c r="F191" s="2" t="s">
        <v>21</v>
      </c>
      <c r="G191" s="2">
        <v>5000</v>
      </c>
      <c r="H191" s="2">
        <v>55000</v>
      </c>
      <c r="I191" s="2" t="s">
        <v>22</v>
      </c>
      <c r="J191" s="2">
        <v>7000</v>
      </c>
      <c r="K191" s="2">
        <v>690</v>
      </c>
      <c r="L191" s="2" t="s">
        <v>23</v>
      </c>
      <c r="M191" s="2" t="s">
        <v>81</v>
      </c>
      <c r="N191" s="2" t="s">
        <v>17</v>
      </c>
      <c r="O191">
        <v>8</v>
      </c>
    </row>
    <row r="192" spans="1:15" x14ac:dyDescent="0.3">
      <c r="A192">
        <f t="shared" si="1"/>
        <v>191</v>
      </c>
      <c r="B192" s="3" t="s">
        <v>260</v>
      </c>
      <c r="C192" s="3" t="s">
        <v>59</v>
      </c>
      <c r="D192" s="2">
        <v>29</v>
      </c>
      <c r="E192" s="2" t="s">
        <v>20</v>
      </c>
      <c r="F192" s="2" t="s">
        <v>14</v>
      </c>
      <c r="G192" s="2">
        <v>3000</v>
      </c>
      <c r="H192" s="2">
        <v>48000</v>
      </c>
      <c r="I192" s="2" t="s">
        <v>15</v>
      </c>
      <c r="J192" s="2">
        <v>0</v>
      </c>
      <c r="K192" s="2">
        <v>670</v>
      </c>
      <c r="L192" s="2" t="s">
        <v>27</v>
      </c>
      <c r="M192" s="2" t="s">
        <v>79</v>
      </c>
      <c r="N192" s="2" t="s">
        <v>24</v>
      </c>
      <c r="O192">
        <v>4</v>
      </c>
    </row>
    <row r="193" spans="1:15" hidden="1" x14ac:dyDescent="0.3">
      <c r="A193">
        <f t="shared" si="1"/>
        <v>192</v>
      </c>
      <c r="B193" s="3" t="s">
        <v>261</v>
      </c>
      <c r="C193" s="3" t="s">
        <v>26</v>
      </c>
      <c r="D193" s="2">
        <v>34</v>
      </c>
      <c r="E193" s="2" t="s">
        <v>13</v>
      </c>
      <c r="F193" s="2" t="s">
        <v>21</v>
      </c>
      <c r="G193" s="2">
        <v>11000</v>
      </c>
      <c r="H193" s="2">
        <v>62000</v>
      </c>
      <c r="I193" s="2" t="s">
        <v>22</v>
      </c>
      <c r="J193" s="2">
        <v>12000</v>
      </c>
      <c r="K193" s="2">
        <v>720</v>
      </c>
      <c r="L193" s="2" t="s">
        <v>30</v>
      </c>
      <c r="M193" s="2" t="s">
        <v>79</v>
      </c>
      <c r="N193" s="2" t="s">
        <v>17</v>
      </c>
      <c r="O193" t="s">
        <v>294</v>
      </c>
    </row>
    <row r="194" spans="1:15" x14ac:dyDescent="0.3">
      <c r="A194">
        <f t="shared" si="1"/>
        <v>193</v>
      </c>
      <c r="B194" s="3" t="s">
        <v>262</v>
      </c>
      <c r="C194" s="3" t="s">
        <v>233</v>
      </c>
      <c r="D194" s="2">
        <v>37</v>
      </c>
      <c r="E194" s="2" t="s">
        <v>20</v>
      </c>
      <c r="F194" s="2" t="s">
        <v>14</v>
      </c>
      <c r="G194" s="2">
        <v>5500</v>
      </c>
      <c r="H194" s="2">
        <v>69000</v>
      </c>
      <c r="I194" s="2" t="s">
        <v>15</v>
      </c>
      <c r="J194" s="2">
        <v>0</v>
      </c>
      <c r="K194" s="2">
        <v>710</v>
      </c>
      <c r="L194" s="2" t="s">
        <v>16</v>
      </c>
      <c r="M194" s="2" t="s">
        <v>79</v>
      </c>
      <c r="N194" s="2" t="s">
        <v>24</v>
      </c>
      <c r="O194">
        <v>7</v>
      </c>
    </row>
    <row r="195" spans="1:15" hidden="1" x14ac:dyDescent="0.3">
      <c r="A195">
        <f t="shared" si="1"/>
        <v>194</v>
      </c>
      <c r="B195" s="3" t="s">
        <v>114</v>
      </c>
      <c r="C195" s="3" t="s">
        <v>48</v>
      </c>
      <c r="D195" s="2">
        <v>45</v>
      </c>
      <c r="E195" s="2" t="s">
        <v>13</v>
      </c>
      <c r="F195" s="2" t="s">
        <v>14</v>
      </c>
      <c r="G195" s="2">
        <v>7000</v>
      </c>
      <c r="H195" s="2">
        <v>74000</v>
      </c>
      <c r="I195" s="2" t="s">
        <v>22</v>
      </c>
      <c r="J195" s="2">
        <v>15000</v>
      </c>
      <c r="K195" s="2">
        <v>680</v>
      </c>
      <c r="L195" s="2" t="s">
        <v>23</v>
      </c>
      <c r="M195" s="2" t="s">
        <v>79</v>
      </c>
      <c r="N195" s="2" t="s">
        <v>17</v>
      </c>
      <c r="O195">
        <v>12</v>
      </c>
    </row>
    <row r="196" spans="1:15" x14ac:dyDescent="0.3">
      <c r="A196">
        <f t="shared" si="1"/>
        <v>195</v>
      </c>
      <c r="B196" s="3" t="s">
        <v>263</v>
      </c>
      <c r="C196" s="3" t="s">
        <v>208</v>
      </c>
      <c r="D196" s="2">
        <v>40</v>
      </c>
      <c r="E196" s="2" t="s">
        <v>20</v>
      </c>
      <c r="F196" s="2" t="s">
        <v>14</v>
      </c>
      <c r="G196" s="2">
        <v>2000</v>
      </c>
      <c r="H196" s="2">
        <v>50000</v>
      </c>
      <c r="I196" s="2" t="s">
        <v>15</v>
      </c>
      <c r="J196" s="2">
        <v>0</v>
      </c>
      <c r="K196" s="2">
        <v>720</v>
      </c>
      <c r="L196" s="2" t="s">
        <v>27</v>
      </c>
      <c r="M196" s="2" t="s">
        <v>79</v>
      </c>
      <c r="N196" s="2" t="s">
        <v>24</v>
      </c>
      <c r="O196">
        <v>11</v>
      </c>
    </row>
    <row r="197" spans="1:15" hidden="1" x14ac:dyDescent="0.3">
      <c r="A197">
        <f t="shared" si="1"/>
        <v>196</v>
      </c>
      <c r="B197" s="3" t="s">
        <v>264</v>
      </c>
      <c r="C197" s="3" t="s">
        <v>147</v>
      </c>
      <c r="D197" s="2">
        <v>27</v>
      </c>
      <c r="E197" s="2" t="s">
        <v>13</v>
      </c>
      <c r="F197" s="2" t="s">
        <v>21</v>
      </c>
      <c r="G197" s="2">
        <v>6000</v>
      </c>
      <c r="H197" s="2">
        <v>55000</v>
      </c>
      <c r="I197" s="2" t="s">
        <v>22</v>
      </c>
      <c r="J197" s="2">
        <v>10000</v>
      </c>
      <c r="K197" s="2">
        <v>690</v>
      </c>
      <c r="L197" s="2" t="s">
        <v>30</v>
      </c>
      <c r="M197" s="2" t="s">
        <v>79</v>
      </c>
      <c r="N197" s="2" t="s">
        <v>17</v>
      </c>
      <c r="O197">
        <v>3</v>
      </c>
    </row>
    <row r="198" spans="1:15" x14ac:dyDescent="0.3">
      <c r="A198">
        <f t="shared" si="1"/>
        <v>197</v>
      </c>
      <c r="B198" s="3" t="s">
        <v>185</v>
      </c>
      <c r="C198" s="3" t="s">
        <v>169</v>
      </c>
      <c r="D198" s="2">
        <v>31</v>
      </c>
      <c r="E198" s="2" t="s">
        <v>20</v>
      </c>
      <c r="F198" s="2" t="s">
        <v>14</v>
      </c>
      <c r="G198" s="2">
        <v>3500</v>
      </c>
      <c r="H198" s="2">
        <v>62000</v>
      </c>
      <c r="I198" s="2" t="s">
        <v>15</v>
      </c>
      <c r="J198" s="2">
        <v>0</v>
      </c>
      <c r="K198" s="2">
        <v>680</v>
      </c>
      <c r="L198" s="2" t="s">
        <v>16</v>
      </c>
      <c r="M198" s="2" t="s">
        <v>81</v>
      </c>
      <c r="N198" s="2" t="s">
        <v>24</v>
      </c>
      <c r="O198">
        <v>5</v>
      </c>
    </row>
    <row r="199" spans="1:15" hidden="1" x14ac:dyDescent="0.3">
      <c r="A199">
        <f t="shared" si="1"/>
        <v>198</v>
      </c>
      <c r="B199" s="3" t="s">
        <v>265</v>
      </c>
      <c r="C199" s="3" t="s">
        <v>64</v>
      </c>
      <c r="D199" s="2">
        <v>53</v>
      </c>
      <c r="E199" s="2" t="s">
        <v>13</v>
      </c>
      <c r="F199" s="2" t="s">
        <v>21</v>
      </c>
      <c r="G199" s="2">
        <v>4000</v>
      </c>
      <c r="H199" s="2">
        <v>48000</v>
      </c>
      <c r="I199" s="2" t="s">
        <v>22</v>
      </c>
      <c r="J199" s="2">
        <v>5000</v>
      </c>
      <c r="K199" s="2">
        <v>710</v>
      </c>
      <c r="L199" s="2" t="s">
        <v>23</v>
      </c>
      <c r="M199" s="2" t="s">
        <v>81</v>
      </c>
      <c r="N199" s="2" t="s">
        <v>17</v>
      </c>
      <c r="O199">
        <v>3</v>
      </c>
    </row>
    <row r="200" spans="1:15" x14ac:dyDescent="0.3">
      <c r="A200">
        <f t="shared" si="1"/>
        <v>199</v>
      </c>
      <c r="B200" s="3" t="s">
        <v>266</v>
      </c>
      <c r="C200" s="3" t="s">
        <v>58</v>
      </c>
      <c r="D200" s="2">
        <v>28</v>
      </c>
      <c r="E200" s="2" t="s">
        <v>20</v>
      </c>
      <c r="F200" s="2" t="s">
        <v>14</v>
      </c>
      <c r="G200" s="2">
        <v>5500</v>
      </c>
      <c r="H200" s="2">
        <v>59000</v>
      </c>
      <c r="I200" s="2" t="s">
        <v>15</v>
      </c>
      <c r="J200" s="2">
        <v>0</v>
      </c>
      <c r="K200" s="2">
        <v>700</v>
      </c>
      <c r="L200" s="2" t="s">
        <v>27</v>
      </c>
      <c r="M200" s="2" t="s">
        <v>81</v>
      </c>
      <c r="N200" s="2" t="s">
        <v>24</v>
      </c>
      <c r="O200">
        <v>11</v>
      </c>
    </row>
    <row r="201" spans="1:15" hidden="1" x14ac:dyDescent="0.3">
      <c r="A201">
        <f t="shared" si="1"/>
        <v>200</v>
      </c>
      <c r="B201" s="3" t="s">
        <v>62</v>
      </c>
      <c r="C201" s="3" t="s">
        <v>32</v>
      </c>
      <c r="D201" s="2">
        <v>46</v>
      </c>
      <c r="E201" s="2" t="s">
        <v>13</v>
      </c>
      <c r="F201" s="2" t="s">
        <v>21</v>
      </c>
      <c r="G201" s="2">
        <v>9000</v>
      </c>
      <c r="H201" s="2">
        <v>73000</v>
      </c>
      <c r="I201" s="2" t="s">
        <v>22</v>
      </c>
      <c r="J201" s="2">
        <v>13000</v>
      </c>
      <c r="K201" s="2">
        <v>720</v>
      </c>
      <c r="L201" s="2" t="s">
        <v>30</v>
      </c>
      <c r="M201" s="2" t="s">
        <v>81</v>
      </c>
      <c r="N201" s="2" t="s">
        <v>17</v>
      </c>
      <c r="O201">
        <v>11</v>
      </c>
    </row>
    <row r="202" spans="1:15" x14ac:dyDescent="0.3">
      <c r="A202">
        <f t="shared" si="1"/>
        <v>201</v>
      </c>
      <c r="B202" s="3" t="s">
        <v>267</v>
      </c>
      <c r="C202" s="3" t="s">
        <v>157</v>
      </c>
      <c r="D202" s="2">
        <v>39</v>
      </c>
      <c r="E202" s="2" t="s">
        <v>20</v>
      </c>
      <c r="F202" s="2" t="s">
        <v>14</v>
      </c>
      <c r="G202" s="2">
        <v>4000</v>
      </c>
      <c r="H202" s="2">
        <v>65000</v>
      </c>
      <c r="I202" s="2" t="s">
        <v>15</v>
      </c>
      <c r="J202" s="2">
        <v>0</v>
      </c>
      <c r="K202" s="2">
        <v>680</v>
      </c>
      <c r="L202" s="2" t="s">
        <v>16</v>
      </c>
      <c r="M202" s="2" t="s">
        <v>81</v>
      </c>
      <c r="N202" s="2" t="s">
        <v>24</v>
      </c>
      <c r="O202">
        <v>6</v>
      </c>
    </row>
    <row r="203" spans="1:15" hidden="1" x14ac:dyDescent="0.3">
      <c r="A203">
        <f t="shared" si="1"/>
        <v>202</v>
      </c>
      <c r="B203" s="3" t="s">
        <v>268</v>
      </c>
      <c r="C203" s="3" t="s">
        <v>48</v>
      </c>
      <c r="D203" s="2">
        <v>27</v>
      </c>
      <c r="E203" s="2" t="s">
        <v>13</v>
      </c>
      <c r="F203" s="2" t="s">
        <v>21</v>
      </c>
      <c r="G203" s="2">
        <v>8000</v>
      </c>
      <c r="H203" s="2">
        <v>60000</v>
      </c>
      <c r="I203" s="2" t="s">
        <v>22</v>
      </c>
      <c r="J203" s="2">
        <v>8000</v>
      </c>
      <c r="K203" s="2">
        <v>710</v>
      </c>
      <c r="L203" s="2" t="s">
        <v>23</v>
      </c>
      <c r="M203" s="2" t="s">
        <v>81</v>
      </c>
      <c r="N203" s="2" t="s">
        <v>17</v>
      </c>
      <c r="O203">
        <v>6</v>
      </c>
    </row>
    <row r="204" spans="1:15" x14ac:dyDescent="0.3">
      <c r="A204">
        <f t="shared" si="1"/>
        <v>203</v>
      </c>
      <c r="B204" s="3" t="s">
        <v>252</v>
      </c>
      <c r="C204" s="3" t="s">
        <v>34</v>
      </c>
      <c r="D204" s="2">
        <v>34</v>
      </c>
      <c r="E204" s="2" t="s">
        <v>20</v>
      </c>
      <c r="F204" s="2" t="s">
        <v>14</v>
      </c>
      <c r="G204" s="2">
        <v>2500</v>
      </c>
      <c r="H204" s="2">
        <v>53000</v>
      </c>
      <c r="I204" s="2" t="s">
        <v>15</v>
      </c>
      <c r="J204" s="2">
        <v>0</v>
      </c>
      <c r="K204" s="2">
        <v>690</v>
      </c>
      <c r="L204" s="2" t="s">
        <v>27</v>
      </c>
      <c r="M204" s="2" t="s">
        <v>80</v>
      </c>
      <c r="N204" s="2" t="s">
        <v>24</v>
      </c>
      <c r="O204">
        <v>5</v>
      </c>
    </row>
    <row r="205" spans="1:15" hidden="1" x14ac:dyDescent="0.3">
      <c r="A205">
        <f t="shared" si="1"/>
        <v>204</v>
      </c>
      <c r="B205" s="3" t="s">
        <v>93</v>
      </c>
      <c r="C205" s="3" t="s">
        <v>54</v>
      </c>
      <c r="D205" s="2">
        <v>32</v>
      </c>
      <c r="E205" s="2" t="s">
        <v>13</v>
      </c>
      <c r="F205" s="2" t="s">
        <v>21</v>
      </c>
      <c r="G205" s="2">
        <v>12000</v>
      </c>
      <c r="H205" s="2">
        <v>68000</v>
      </c>
      <c r="I205" s="2" t="s">
        <v>22</v>
      </c>
      <c r="J205" s="2">
        <v>15000</v>
      </c>
      <c r="K205" s="2">
        <v>720</v>
      </c>
      <c r="L205" s="2" t="s">
        <v>30</v>
      </c>
      <c r="M205" s="2" t="s">
        <v>80</v>
      </c>
      <c r="N205" s="2" t="s">
        <v>17</v>
      </c>
      <c r="O205">
        <v>4</v>
      </c>
    </row>
    <row r="206" spans="1:15" x14ac:dyDescent="0.3">
      <c r="A206">
        <f t="shared" si="1"/>
        <v>205</v>
      </c>
      <c r="B206" s="3" t="s">
        <v>269</v>
      </c>
      <c r="C206" s="3" t="s">
        <v>173</v>
      </c>
      <c r="D206" s="2">
        <v>49</v>
      </c>
      <c r="E206" s="2" t="s">
        <v>20</v>
      </c>
      <c r="F206" s="2" t="s">
        <v>14</v>
      </c>
      <c r="G206" s="2">
        <v>7000</v>
      </c>
      <c r="H206" s="2">
        <v>71000</v>
      </c>
      <c r="I206" s="2" t="s">
        <v>15</v>
      </c>
      <c r="J206" s="2">
        <v>0</v>
      </c>
      <c r="K206" s="2">
        <v>680</v>
      </c>
      <c r="L206" s="2" t="s">
        <v>16</v>
      </c>
      <c r="M206" s="2" t="s">
        <v>80</v>
      </c>
      <c r="N206" s="2" t="s">
        <v>24</v>
      </c>
      <c r="O206">
        <v>6</v>
      </c>
    </row>
    <row r="207" spans="1:15" hidden="1" x14ac:dyDescent="0.3">
      <c r="A207">
        <f t="shared" si="1"/>
        <v>206</v>
      </c>
      <c r="B207" s="3" t="s">
        <v>216</v>
      </c>
      <c r="C207" s="3" t="s">
        <v>175</v>
      </c>
      <c r="D207" s="2">
        <v>24</v>
      </c>
      <c r="E207" s="2" t="s">
        <v>13</v>
      </c>
      <c r="F207" s="2" t="s">
        <v>21</v>
      </c>
      <c r="G207" s="2">
        <v>5000</v>
      </c>
      <c r="H207" s="2">
        <v>56000</v>
      </c>
      <c r="I207" s="2" t="s">
        <v>22</v>
      </c>
      <c r="J207" s="2">
        <v>10000</v>
      </c>
      <c r="K207" s="2">
        <v>700</v>
      </c>
      <c r="L207" s="2" t="s">
        <v>23</v>
      </c>
      <c r="M207" s="2" t="s">
        <v>80</v>
      </c>
      <c r="N207" s="2" t="s">
        <v>17</v>
      </c>
      <c r="O207">
        <v>5</v>
      </c>
    </row>
    <row r="208" spans="1:15" x14ac:dyDescent="0.3">
      <c r="A208">
        <f t="shared" si="1"/>
        <v>207</v>
      </c>
      <c r="B208" s="3" t="s">
        <v>95</v>
      </c>
      <c r="C208" s="3" t="s">
        <v>50</v>
      </c>
      <c r="D208" s="2">
        <v>29</v>
      </c>
      <c r="E208" s="2" t="s">
        <v>20</v>
      </c>
      <c r="F208" s="2" t="s">
        <v>14</v>
      </c>
      <c r="G208" s="2">
        <v>1500</v>
      </c>
      <c r="H208" s="2">
        <v>45000</v>
      </c>
      <c r="I208" s="2" t="s">
        <v>15</v>
      </c>
      <c r="J208" s="2">
        <v>0</v>
      </c>
      <c r="K208" s="2">
        <v>670</v>
      </c>
      <c r="L208" s="2" t="s">
        <v>27</v>
      </c>
      <c r="M208" s="2" t="s">
        <v>80</v>
      </c>
      <c r="N208" s="2" t="s">
        <v>24</v>
      </c>
      <c r="O208">
        <v>14</v>
      </c>
    </row>
    <row r="209" spans="1:15" hidden="1" x14ac:dyDescent="0.3">
      <c r="A209">
        <f t="shared" si="1"/>
        <v>208</v>
      </c>
      <c r="B209" s="3" t="s">
        <v>25</v>
      </c>
      <c r="C209" s="3" t="s">
        <v>143</v>
      </c>
      <c r="D209" s="2">
        <v>43</v>
      </c>
      <c r="E209" s="2" t="s">
        <v>13</v>
      </c>
      <c r="F209" s="2" t="s">
        <v>21</v>
      </c>
      <c r="G209" s="2">
        <v>11000</v>
      </c>
      <c r="H209" s="2">
        <v>74000</v>
      </c>
      <c r="I209" s="2" t="s">
        <v>22</v>
      </c>
      <c r="J209" s="2">
        <v>12000</v>
      </c>
      <c r="K209" s="2">
        <v>720</v>
      </c>
      <c r="L209" s="2" t="s">
        <v>30</v>
      </c>
      <c r="M209" s="2" t="s">
        <v>80</v>
      </c>
      <c r="N209" s="2" t="s">
        <v>17</v>
      </c>
      <c r="O209">
        <v>12</v>
      </c>
    </row>
    <row r="210" spans="1:15" x14ac:dyDescent="0.3">
      <c r="A210">
        <f t="shared" si="1"/>
        <v>209</v>
      </c>
      <c r="B210" s="3" t="s">
        <v>270</v>
      </c>
      <c r="C210" s="3" t="s">
        <v>58</v>
      </c>
      <c r="D210" s="2">
        <v>36</v>
      </c>
      <c r="E210" s="2" t="s">
        <v>20</v>
      </c>
      <c r="F210" s="2" t="s">
        <v>14</v>
      </c>
      <c r="G210" s="2">
        <v>8000</v>
      </c>
      <c r="H210" s="2">
        <v>63000</v>
      </c>
      <c r="I210" s="2" t="s">
        <v>15</v>
      </c>
      <c r="J210" s="2">
        <v>0</v>
      </c>
      <c r="K210" s="2">
        <v>710</v>
      </c>
      <c r="L210" s="2" t="s">
        <v>16</v>
      </c>
      <c r="M210" s="2" t="s">
        <v>79</v>
      </c>
      <c r="N210" s="2" t="s">
        <v>24</v>
      </c>
      <c r="O210">
        <v>11</v>
      </c>
    </row>
    <row r="211" spans="1:15" hidden="1" x14ac:dyDescent="0.3">
      <c r="A211">
        <f t="shared" si="1"/>
        <v>210</v>
      </c>
      <c r="B211" s="3" t="s">
        <v>271</v>
      </c>
      <c r="C211" s="3" t="s">
        <v>129</v>
      </c>
      <c r="D211" s="2">
        <v>28</v>
      </c>
      <c r="E211" s="2" t="s">
        <v>13</v>
      </c>
      <c r="F211" s="2" t="s">
        <v>21</v>
      </c>
      <c r="G211" s="2">
        <v>2000</v>
      </c>
      <c r="H211" s="2">
        <v>47000</v>
      </c>
      <c r="I211" s="2" t="s">
        <v>22</v>
      </c>
      <c r="J211" s="2">
        <v>5000</v>
      </c>
      <c r="K211" s="2">
        <v>680</v>
      </c>
      <c r="L211" s="2" t="s">
        <v>23</v>
      </c>
      <c r="M211" s="2" t="s">
        <v>79</v>
      </c>
      <c r="N211" s="2" t="s">
        <v>17</v>
      </c>
      <c r="O211">
        <v>8</v>
      </c>
    </row>
    <row r="212" spans="1:15" x14ac:dyDescent="0.3">
      <c r="A212">
        <f t="shared" si="1"/>
        <v>211</v>
      </c>
      <c r="B212" s="3" t="s">
        <v>244</v>
      </c>
      <c r="C212" s="3" t="s">
        <v>243</v>
      </c>
      <c r="D212" s="2">
        <v>31</v>
      </c>
      <c r="E212" s="2" t="s">
        <v>20</v>
      </c>
      <c r="F212" s="2" t="s">
        <v>14</v>
      </c>
      <c r="G212" s="2">
        <v>4000</v>
      </c>
      <c r="H212" s="2">
        <v>55000</v>
      </c>
      <c r="I212" s="2" t="s">
        <v>15</v>
      </c>
      <c r="J212" s="2">
        <v>0</v>
      </c>
      <c r="K212" s="2">
        <v>690</v>
      </c>
      <c r="L212" s="2" t="s">
        <v>27</v>
      </c>
      <c r="M212" s="2" t="s">
        <v>80</v>
      </c>
      <c r="N212" s="2" t="s">
        <v>24</v>
      </c>
      <c r="O212">
        <v>4</v>
      </c>
    </row>
    <row r="213" spans="1:15" hidden="1" x14ac:dyDescent="0.3">
      <c r="A213">
        <f t="shared" si="1"/>
        <v>212</v>
      </c>
      <c r="B213" s="3" t="s">
        <v>124</v>
      </c>
      <c r="C213" s="3" t="s">
        <v>52</v>
      </c>
      <c r="D213" s="2">
        <v>44</v>
      </c>
      <c r="E213" s="2" t="s">
        <v>13</v>
      </c>
      <c r="F213" s="2" t="s">
        <v>21</v>
      </c>
      <c r="G213" s="2">
        <v>6000</v>
      </c>
      <c r="H213" s="2">
        <v>62000</v>
      </c>
      <c r="I213" s="2" t="s">
        <v>22</v>
      </c>
      <c r="J213" s="2">
        <v>10000</v>
      </c>
      <c r="K213" s="2">
        <v>700</v>
      </c>
      <c r="L213" s="2" t="s">
        <v>30</v>
      </c>
      <c r="M213" s="2" t="s">
        <v>80</v>
      </c>
      <c r="N213" s="2" t="s">
        <v>17</v>
      </c>
      <c r="O213">
        <v>13</v>
      </c>
    </row>
    <row r="214" spans="1:15" x14ac:dyDescent="0.3">
      <c r="A214">
        <f t="shared" si="1"/>
        <v>213</v>
      </c>
      <c r="B214" s="3" t="s">
        <v>272</v>
      </c>
      <c r="C214" s="3" t="s">
        <v>143</v>
      </c>
      <c r="D214" s="2">
        <v>39</v>
      </c>
      <c r="E214" s="2" t="s">
        <v>20</v>
      </c>
      <c r="F214" s="2" t="s">
        <v>14</v>
      </c>
      <c r="G214" s="2">
        <v>9000</v>
      </c>
      <c r="H214" s="2">
        <v>67000</v>
      </c>
      <c r="I214" s="2" t="s">
        <v>15</v>
      </c>
      <c r="J214" s="2">
        <v>0</v>
      </c>
      <c r="K214" s="2">
        <v>720</v>
      </c>
      <c r="L214" s="2" t="s">
        <v>16</v>
      </c>
      <c r="M214" s="2" t="s">
        <v>80</v>
      </c>
      <c r="N214" s="2" t="s">
        <v>24</v>
      </c>
      <c r="O214">
        <v>7</v>
      </c>
    </row>
    <row r="215" spans="1:15" hidden="1" x14ac:dyDescent="0.3">
      <c r="A215">
        <f t="shared" si="1"/>
        <v>214</v>
      </c>
      <c r="B215" s="3" t="s">
        <v>248</v>
      </c>
      <c r="C215" s="3" t="s">
        <v>229</v>
      </c>
      <c r="D215" s="2">
        <v>27</v>
      </c>
      <c r="E215" s="2" t="s">
        <v>13</v>
      </c>
      <c r="F215" s="2" t="s">
        <v>21</v>
      </c>
      <c r="G215" s="2">
        <v>2500</v>
      </c>
      <c r="H215" s="2">
        <v>49000</v>
      </c>
      <c r="I215" s="2" t="s">
        <v>22</v>
      </c>
      <c r="J215" s="2">
        <v>7000</v>
      </c>
      <c r="K215" s="2">
        <v>680</v>
      </c>
      <c r="L215" s="2" t="s">
        <v>23</v>
      </c>
      <c r="M215" s="2" t="s">
        <v>81</v>
      </c>
      <c r="N215" s="2" t="s">
        <v>17</v>
      </c>
      <c r="O215">
        <v>4</v>
      </c>
    </row>
    <row r="216" spans="1:15" x14ac:dyDescent="0.3">
      <c r="A216">
        <f t="shared" ref="A216:A279" si="2">ROW()-1</f>
        <v>215</v>
      </c>
      <c r="B216" s="3" t="s">
        <v>273</v>
      </c>
      <c r="C216" s="3" t="s">
        <v>149</v>
      </c>
      <c r="D216" s="2">
        <v>40</v>
      </c>
      <c r="E216" s="2" t="s">
        <v>20</v>
      </c>
      <c r="F216" s="2" t="s">
        <v>14</v>
      </c>
      <c r="G216" s="2">
        <v>7000</v>
      </c>
      <c r="H216" s="2">
        <v>71000</v>
      </c>
      <c r="I216" s="2" t="s">
        <v>15</v>
      </c>
      <c r="J216" s="2">
        <v>0</v>
      </c>
      <c r="K216" s="2">
        <v>710</v>
      </c>
      <c r="L216" s="2" t="s">
        <v>27</v>
      </c>
      <c r="M216" s="2" t="s">
        <v>81</v>
      </c>
      <c r="N216" s="2" t="s">
        <v>24</v>
      </c>
      <c r="O216">
        <v>14</v>
      </c>
    </row>
    <row r="217" spans="1:15" hidden="1" x14ac:dyDescent="0.3">
      <c r="A217">
        <f t="shared" si="2"/>
        <v>216</v>
      </c>
      <c r="B217" s="3" t="s">
        <v>274</v>
      </c>
      <c r="C217" s="3" t="s">
        <v>171</v>
      </c>
      <c r="D217" s="2">
        <v>34</v>
      </c>
      <c r="E217" s="2" t="s">
        <v>13</v>
      </c>
      <c r="F217" s="2" t="s">
        <v>21</v>
      </c>
      <c r="G217" s="2">
        <v>15000</v>
      </c>
      <c r="H217" s="2">
        <v>73000</v>
      </c>
      <c r="I217" s="2" t="s">
        <v>22</v>
      </c>
      <c r="J217" s="2">
        <v>13000</v>
      </c>
      <c r="K217" s="2">
        <v>720</v>
      </c>
      <c r="L217" s="2" t="s">
        <v>30</v>
      </c>
      <c r="M217" s="2" t="s">
        <v>81</v>
      </c>
      <c r="N217" s="2" t="s">
        <v>17</v>
      </c>
      <c r="O217">
        <v>5</v>
      </c>
    </row>
    <row r="218" spans="1:15" x14ac:dyDescent="0.3">
      <c r="A218">
        <f t="shared" si="2"/>
        <v>217</v>
      </c>
      <c r="B218" s="3" t="s">
        <v>211</v>
      </c>
      <c r="C218" s="3" t="s">
        <v>157</v>
      </c>
      <c r="D218" s="2">
        <v>29</v>
      </c>
      <c r="E218" s="2" t="s">
        <v>20</v>
      </c>
      <c r="F218" s="2" t="s">
        <v>14</v>
      </c>
      <c r="G218" s="2">
        <v>2500</v>
      </c>
      <c r="H218" s="2">
        <v>47000</v>
      </c>
      <c r="I218" s="2" t="s">
        <v>15</v>
      </c>
      <c r="J218" s="2">
        <v>0</v>
      </c>
      <c r="K218" s="2">
        <v>680</v>
      </c>
      <c r="L218" s="2" t="s">
        <v>16</v>
      </c>
      <c r="M218" s="2" t="s">
        <v>79</v>
      </c>
      <c r="N218" s="2" t="s">
        <v>24</v>
      </c>
      <c r="O218">
        <v>10</v>
      </c>
    </row>
    <row r="219" spans="1:15" hidden="1" x14ac:dyDescent="0.3">
      <c r="A219">
        <f t="shared" si="2"/>
        <v>218</v>
      </c>
      <c r="B219" s="3" t="s">
        <v>154</v>
      </c>
      <c r="C219" s="3" t="s">
        <v>188</v>
      </c>
      <c r="D219" s="2">
        <v>31</v>
      </c>
      <c r="E219" s="2" t="s">
        <v>13</v>
      </c>
      <c r="F219" s="2" t="s">
        <v>21</v>
      </c>
      <c r="G219" s="2">
        <v>5000</v>
      </c>
      <c r="H219" s="2">
        <v>53000</v>
      </c>
      <c r="I219" s="2" t="s">
        <v>22</v>
      </c>
      <c r="J219" s="2">
        <v>8000</v>
      </c>
      <c r="K219" s="2">
        <v>690</v>
      </c>
      <c r="L219" s="2" t="s">
        <v>23</v>
      </c>
      <c r="M219" s="2" t="s">
        <v>79</v>
      </c>
      <c r="N219" s="2" t="s">
        <v>17</v>
      </c>
      <c r="O219">
        <v>10</v>
      </c>
    </row>
    <row r="220" spans="1:15" x14ac:dyDescent="0.3">
      <c r="A220">
        <f t="shared" si="2"/>
        <v>219</v>
      </c>
      <c r="B220" s="3" t="s">
        <v>160</v>
      </c>
      <c r="C220" s="3" t="s">
        <v>143</v>
      </c>
      <c r="D220" s="2">
        <v>42</v>
      </c>
      <c r="E220" s="2" t="s">
        <v>20</v>
      </c>
      <c r="F220" s="2" t="s">
        <v>14</v>
      </c>
      <c r="G220" s="2">
        <v>6000</v>
      </c>
      <c r="H220" s="2">
        <v>69000</v>
      </c>
      <c r="I220" s="2" t="s">
        <v>15</v>
      </c>
      <c r="J220" s="2">
        <v>0</v>
      </c>
      <c r="K220" s="2">
        <v>720</v>
      </c>
      <c r="L220" s="2" t="s">
        <v>27</v>
      </c>
      <c r="M220" s="2" t="s">
        <v>79</v>
      </c>
      <c r="N220" s="2" t="s">
        <v>24</v>
      </c>
      <c r="O220">
        <v>7</v>
      </c>
    </row>
    <row r="221" spans="1:15" hidden="1" x14ac:dyDescent="0.3">
      <c r="A221">
        <f t="shared" si="2"/>
        <v>220</v>
      </c>
      <c r="B221" s="3" t="s">
        <v>76</v>
      </c>
      <c r="C221" s="3" t="s">
        <v>159</v>
      </c>
      <c r="D221" s="2">
        <v>36</v>
      </c>
      <c r="E221" s="2" t="s">
        <v>13</v>
      </c>
      <c r="F221" s="2" t="s">
        <v>21</v>
      </c>
      <c r="G221" s="2">
        <v>2000</v>
      </c>
      <c r="H221" s="2">
        <v>45000</v>
      </c>
      <c r="I221" s="2" t="s">
        <v>22</v>
      </c>
      <c r="J221" s="2">
        <v>5000</v>
      </c>
      <c r="K221" s="2">
        <v>700</v>
      </c>
      <c r="L221" s="2" t="s">
        <v>30</v>
      </c>
      <c r="M221" s="2" t="s">
        <v>79</v>
      </c>
      <c r="N221" s="2" t="s">
        <v>17</v>
      </c>
      <c r="O221">
        <v>5</v>
      </c>
    </row>
    <row r="222" spans="1:15" x14ac:dyDescent="0.3">
      <c r="A222">
        <f t="shared" si="2"/>
        <v>221</v>
      </c>
      <c r="B222" s="3" t="s">
        <v>275</v>
      </c>
      <c r="C222" s="3" t="s">
        <v>62</v>
      </c>
      <c r="D222" s="2">
        <v>48</v>
      </c>
      <c r="E222" s="2" t="s">
        <v>20</v>
      </c>
      <c r="F222" s="2" t="s">
        <v>14</v>
      </c>
      <c r="G222" s="2">
        <v>8000</v>
      </c>
      <c r="H222" s="2">
        <v>74000</v>
      </c>
      <c r="I222" s="2" t="s">
        <v>15</v>
      </c>
      <c r="J222" s="2">
        <v>0</v>
      </c>
      <c r="K222" s="2">
        <v>680</v>
      </c>
      <c r="L222" s="2" t="s">
        <v>16</v>
      </c>
      <c r="M222" s="2" t="s">
        <v>80</v>
      </c>
      <c r="N222" s="2" t="s">
        <v>24</v>
      </c>
      <c r="O222">
        <v>15</v>
      </c>
    </row>
    <row r="223" spans="1:15" hidden="1" x14ac:dyDescent="0.3">
      <c r="A223">
        <f t="shared" si="2"/>
        <v>222</v>
      </c>
      <c r="B223" s="3" t="s">
        <v>257</v>
      </c>
      <c r="C223" s="3" t="s">
        <v>44</v>
      </c>
      <c r="D223" s="2">
        <v>33</v>
      </c>
      <c r="E223" s="2" t="s">
        <v>13</v>
      </c>
      <c r="F223" s="2" t="s">
        <v>21</v>
      </c>
      <c r="G223" s="2">
        <v>4000</v>
      </c>
      <c r="H223" s="2">
        <v>60000</v>
      </c>
      <c r="I223" s="2" t="s">
        <v>22</v>
      </c>
      <c r="J223" s="2">
        <v>8000</v>
      </c>
      <c r="K223" s="2">
        <v>720</v>
      </c>
      <c r="L223" s="2" t="s">
        <v>23</v>
      </c>
      <c r="M223" s="2" t="s">
        <v>80</v>
      </c>
      <c r="N223" s="2" t="s">
        <v>17</v>
      </c>
      <c r="O223">
        <v>4</v>
      </c>
    </row>
    <row r="224" spans="1:15" x14ac:dyDescent="0.3">
      <c r="A224">
        <f t="shared" si="2"/>
        <v>223</v>
      </c>
      <c r="B224" s="3" t="s">
        <v>276</v>
      </c>
      <c r="C224" s="3" t="s">
        <v>37</v>
      </c>
      <c r="D224" s="2">
        <v>29</v>
      </c>
      <c r="E224" s="2" t="s">
        <v>20</v>
      </c>
      <c r="F224" s="2" t="s">
        <v>14</v>
      </c>
      <c r="G224" s="2">
        <v>3500</v>
      </c>
      <c r="H224" s="2">
        <v>55000</v>
      </c>
      <c r="I224" s="2" t="s">
        <v>15</v>
      </c>
      <c r="J224" s="2">
        <v>0</v>
      </c>
      <c r="K224" s="2">
        <v>690</v>
      </c>
      <c r="L224" s="2" t="s">
        <v>27</v>
      </c>
      <c r="M224" s="2" t="s">
        <v>80</v>
      </c>
      <c r="N224" s="2" t="s">
        <v>24</v>
      </c>
      <c r="O224">
        <v>15</v>
      </c>
    </row>
    <row r="225" spans="1:15" hidden="1" x14ac:dyDescent="0.3">
      <c r="A225">
        <f t="shared" si="2"/>
        <v>224</v>
      </c>
      <c r="B225" s="3" t="s">
        <v>277</v>
      </c>
      <c r="C225" s="3" t="s">
        <v>163</v>
      </c>
      <c r="D225" s="2">
        <v>37</v>
      </c>
      <c r="E225" s="2" t="s">
        <v>13</v>
      </c>
      <c r="F225" s="2" t="s">
        <v>14</v>
      </c>
      <c r="G225" s="2">
        <v>10000</v>
      </c>
      <c r="H225" s="2">
        <v>67000</v>
      </c>
      <c r="I225" s="2" t="s">
        <v>22</v>
      </c>
      <c r="J225" s="2">
        <v>12000</v>
      </c>
      <c r="K225" s="2">
        <v>710</v>
      </c>
      <c r="L225" s="2" t="s">
        <v>30</v>
      </c>
      <c r="M225" s="2" t="s">
        <v>80</v>
      </c>
      <c r="N225" s="2" t="s">
        <v>17</v>
      </c>
      <c r="O225">
        <v>3</v>
      </c>
    </row>
    <row r="226" spans="1:15" x14ac:dyDescent="0.3">
      <c r="A226">
        <f t="shared" si="2"/>
        <v>225</v>
      </c>
      <c r="B226" s="3" t="s">
        <v>278</v>
      </c>
      <c r="C226" s="3" t="s">
        <v>229</v>
      </c>
      <c r="D226" s="2">
        <v>34</v>
      </c>
      <c r="E226" s="2" t="s">
        <v>20</v>
      </c>
      <c r="F226" s="2" t="s">
        <v>14</v>
      </c>
      <c r="G226" s="2">
        <v>3000</v>
      </c>
      <c r="H226" s="2">
        <v>48000</v>
      </c>
      <c r="I226" s="2" t="s">
        <v>15</v>
      </c>
      <c r="J226" s="2">
        <v>0</v>
      </c>
      <c r="K226" s="2">
        <v>680</v>
      </c>
      <c r="L226" s="2" t="s">
        <v>16</v>
      </c>
      <c r="M226" s="2" t="s">
        <v>81</v>
      </c>
      <c r="N226" s="2" t="s">
        <v>24</v>
      </c>
      <c r="O226">
        <v>14</v>
      </c>
    </row>
    <row r="227" spans="1:15" hidden="1" x14ac:dyDescent="0.3">
      <c r="A227">
        <f t="shared" si="2"/>
        <v>226</v>
      </c>
      <c r="B227" s="3" t="s">
        <v>279</v>
      </c>
      <c r="C227" s="3" t="s">
        <v>70</v>
      </c>
      <c r="D227" s="2">
        <v>45</v>
      </c>
      <c r="E227" s="2" t="s">
        <v>13</v>
      </c>
      <c r="F227" s="2" t="s">
        <v>14</v>
      </c>
      <c r="G227" s="2">
        <v>6000</v>
      </c>
      <c r="H227" s="2">
        <v>70000</v>
      </c>
      <c r="I227" s="2" t="s">
        <v>22</v>
      </c>
      <c r="J227" s="2">
        <v>15000</v>
      </c>
      <c r="K227" s="2">
        <v>690</v>
      </c>
      <c r="L227" s="2" t="s">
        <v>23</v>
      </c>
      <c r="M227" s="2" t="s">
        <v>81</v>
      </c>
      <c r="N227" s="2" t="s">
        <v>17</v>
      </c>
      <c r="O227">
        <v>8</v>
      </c>
    </row>
    <row r="228" spans="1:15" x14ac:dyDescent="0.3">
      <c r="A228">
        <f t="shared" si="2"/>
        <v>227</v>
      </c>
      <c r="B228" s="3" t="s">
        <v>280</v>
      </c>
      <c r="C228" s="3" t="s">
        <v>38</v>
      </c>
      <c r="D228" s="2">
        <v>28</v>
      </c>
      <c r="E228" s="2" t="s">
        <v>20</v>
      </c>
      <c r="F228" s="2" t="s">
        <v>14</v>
      </c>
      <c r="G228" s="2">
        <v>5500</v>
      </c>
      <c r="H228" s="2">
        <v>62000</v>
      </c>
      <c r="I228" s="2" t="s">
        <v>15</v>
      </c>
      <c r="J228" s="2">
        <v>0</v>
      </c>
      <c r="K228" s="2">
        <v>700</v>
      </c>
      <c r="L228" s="2" t="s">
        <v>27</v>
      </c>
      <c r="M228" s="2" t="s">
        <v>81</v>
      </c>
      <c r="N228" s="2" t="s">
        <v>24</v>
      </c>
      <c r="O228">
        <v>15</v>
      </c>
    </row>
    <row r="229" spans="1:15" hidden="1" x14ac:dyDescent="0.3">
      <c r="A229">
        <f t="shared" si="2"/>
        <v>228</v>
      </c>
      <c r="B229" s="3" t="s">
        <v>192</v>
      </c>
      <c r="C229" s="3" t="s">
        <v>205</v>
      </c>
      <c r="D229" s="2">
        <v>42</v>
      </c>
      <c r="E229" s="2" t="s">
        <v>13</v>
      </c>
      <c r="F229" s="2" t="s">
        <v>21</v>
      </c>
      <c r="G229" s="2">
        <v>8000</v>
      </c>
      <c r="H229" s="2">
        <v>73000</v>
      </c>
      <c r="I229" s="2" t="s">
        <v>22</v>
      </c>
      <c r="J229" s="2">
        <v>10000</v>
      </c>
      <c r="K229" s="2">
        <v>720</v>
      </c>
      <c r="L229" s="2" t="s">
        <v>30</v>
      </c>
      <c r="M229" s="2" t="s">
        <v>81</v>
      </c>
      <c r="N229" s="2" t="s">
        <v>17</v>
      </c>
      <c r="O229">
        <v>9</v>
      </c>
    </row>
    <row r="230" spans="1:15" x14ac:dyDescent="0.3">
      <c r="A230">
        <f t="shared" si="2"/>
        <v>229</v>
      </c>
      <c r="B230" s="3" t="s">
        <v>281</v>
      </c>
      <c r="C230" s="3" t="s">
        <v>171</v>
      </c>
      <c r="D230" s="2">
        <v>31</v>
      </c>
      <c r="E230" s="2" t="s">
        <v>20</v>
      </c>
      <c r="F230" s="2" t="s">
        <v>14</v>
      </c>
      <c r="G230" s="2">
        <v>1500</v>
      </c>
      <c r="H230" s="2">
        <v>51000</v>
      </c>
      <c r="I230" s="2" t="s">
        <v>15</v>
      </c>
      <c r="J230" s="2">
        <v>0</v>
      </c>
      <c r="K230" s="2">
        <v>680</v>
      </c>
      <c r="L230" s="2" t="s">
        <v>16</v>
      </c>
      <c r="M230" s="2" t="s">
        <v>79</v>
      </c>
      <c r="N230" s="2" t="s">
        <v>24</v>
      </c>
      <c r="O230">
        <v>4</v>
      </c>
    </row>
    <row r="231" spans="1:15" hidden="1" x14ac:dyDescent="0.3">
      <c r="A231">
        <f t="shared" si="2"/>
        <v>230</v>
      </c>
      <c r="B231" s="3" t="s">
        <v>133</v>
      </c>
      <c r="C231" s="3" t="s">
        <v>155</v>
      </c>
      <c r="D231" s="2">
        <v>29</v>
      </c>
      <c r="E231" s="2" t="s">
        <v>13</v>
      </c>
      <c r="F231" s="2" t="s">
        <v>21</v>
      </c>
      <c r="G231" s="2">
        <v>5000</v>
      </c>
      <c r="H231" s="2">
        <v>53000</v>
      </c>
      <c r="I231" s="2" t="s">
        <v>22</v>
      </c>
      <c r="J231" s="2">
        <v>7000</v>
      </c>
      <c r="K231" s="2">
        <v>690</v>
      </c>
      <c r="L231" s="2" t="s">
        <v>23</v>
      </c>
      <c r="M231" s="2" t="s">
        <v>79</v>
      </c>
      <c r="N231" s="2" t="s">
        <v>17</v>
      </c>
      <c r="O231">
        <v>13</v>
      </c>
    </row>
    <row r="232" spans="1:15" x14ac:dyDescent="0.3">
      <c r="A232">
        <f t="shared" si="2"/>
        <v>231</v>
      </c>
      <c r="B232" s="3" t="s">
        <v>282</v>
      </c>
      <c r="C232" s="3" t="s">
        <v>111</v>
      </c>
      <c r="D232" s="2">
        <v>36</v>
      </c>
      <c r="E232" s="2" t="s">
        <v>20</v>
      </c>
      <c r="F232" s="2" t="s">
        <v>14</v>
      </c>
      <c r="G232" s="2">
        <v>6000</v>
      </c>
      <c r="H232" s="2">
        <v>67000</v>
      </c>
      <c r="I232" s="2" t="s">
        <v>15</v>
      </c>
      <c r="J232" s="2">
        <v>0</v>
      </c>
      <c r="K232" s="2">
        <v>710</v>
      </c>
      <c r="L232" s="2" t="s">
        <v>27</v>
      </c>
      <c r="M232" s="2" t="s">
        <v>79</v>
      </c>
      <c r="N232" s="2" t="s">
        <v>24</v>
      </c>
      <c r="O232">
        <v>5</v>
      </c>
    </row>
    <row r="233" spans="1:15" hidden="1" x14ac:dyDescent="0.3">
      <c r="A233">
        <f t="shared" si="2"/>
        <v>232</v>
      </c>
      <c r="B233" s="3" t="s">
        <v>254</v>
      </c>
      <c r="C233" s="3" t="s">
        <v>165</v>
      </c>
      <c r="D233" s="2">
        <v>43</v>
      </c>
      <c r="E233" s="2" t="s">
        <v>13</v>
      </c>
      <c r="F233" s="2" t="s">
        <v>14</v>
      </c>
      <c r="G233" s="2">
        <v>4000</v>
      </c>
      <c r="H233" s="2">
        <v>46000</v>
      </c>
      <c r="I233" s="2" t="s">
        <v>22</v>
      </c>
      <c r="J233" s="2">
        <v>6000</v>
      </c>
      <c r="K233" s="2">
        <v>720</v>
      </c>
      <c r="L233" s="2" t="s">
        <v>30</v>
      </c>
      <c r="M233" s="2" t="s">
        <v>80</v>
      </c>
      <c r="N233" s="2" t="s">
        <v>17</v>
      </c>
      <c r="O233">
        <v>11</v>
      </c>
    </row>
    <row r="234" spans="1:15" x14ac:dyDescent="0.3">
      <c r="A234">
        <f t="shared" si="2"/>
        <v>233</v>
      </c>
      <c r="B234" s="3" t="s">
        <v>134</v>
      </c>
      <c r="C234" s="3" t="s">
        <v>212</v>
      </c>
      <c r="D234" s="2">
        <v>27</v>
      </c>
      <c r="E234" s="2" t="s">
        <v>20</v>
      </c>
      <c r="F234" s="2" t="s">
        <v>14</v>
      </c>
      <c r="G234" s="2">
        <v>2500</v>
      </c>
      <c r="H234" s="2">
        <v>47000</v>
      </c>
      <c r="I234" s="2" t="s">
        <v>15</v>
      </c>
      <c r="J234" s="2">
        <v>0</v>
      </c>
      <c r="K234" s="2">
        <v>670</v>
      </c>
      <c r="L234" s="2" t="s">
        <v>16</v>
      </c>
      <c r="M234" s="2" t="s">
        <v>80</v>
      </c>
      <c r="N234" s="2" t="s">
        <v>24</v>
      </c>
      <c r="O234">
        <v>4</v>
      </c>
    </row>
    <row r="235" spans="1:15" hidden="1" x14ac:dyDescent="0.3">
      <c r="A235">
        <f t="shared" si="2"/>
        <v>234</v>
      </c>
      <c r="B235" s="3" t="s">
        <v>283</v>
      </c>
      <c r="C235" s="3" t="s">
        <v>147</v>
      </c>
      <c r="D235" s="2">
        <v>39</v>
      </c>
      <c r="E235" s="2" t="s">
        <v>13</v>
      </c>
      <c r="F235" s="2" t="s">
        <v>21</v>
      </c>
      <c r="G235" s="2">
        <v>9000</v>
      </c>
      <c r="H235" s="2">
        <v>70000</v>
      </c>
      <c r="I235" s="2" t="s">
        <v>22</v>
      </c>
      <c r="J235" s="2">
        <v>12000</v>
      </c>
      <c r="K235" s="2">
        <v>700</v>
      </c>
      <c r="L235" s="2" t="s">
        <v>23</v>
      </c>
      <c r="M235" s="2" t="s">
        <v>80</v>
      </c>
      <c r="N235" s="2" t="s">
        <v>17</v>
      </c>
      <c r="O235">
        <v>14</v>
      </c>
    </row>
    <row r="236" spans="1:15" x14ac:dyDescent="0.3">
      <c r="A236">
        <f t="shared" si="2"/>
        <v>235</v>
      </c>
      <c r="B236" s="3" t="s">
        <v>273</v>
      </c>
      <c r="C236" s="3" t="s">
        <v>145</v>
      </c>
      <c r="D236" s="2">
        <v>31</v>
      </c>
      <c r="E236" s="2" t="s">
        <v>20</v>
      </c>
      <c r="F236" s="2" t="s">
        <v>14</v>
      </c>
      <c r="G236" s="2">
        <v>5000</v>
      </c>
      <c r="H236" s="2">
        <v>56000</v>
      </c>
      <c r="I236" s="2" t="s">
        <v>15</v>
      </c>
      <c r="J236" s="2">
        <v>0</v>
      </c>
      <c r="K236" s="2">
        <v>680</v>
      </c>
      <c r="L236" s="2" t="s">
        <v>27</v>
      </c>
      <c r="M236" s="2" t="s">
        <v>81</v>
      </c>
      <c r="N236" s="2" t="s">
        <v>24</v>
      </c>
      <c r="O236">
        <v>7</v>
      </c>
    </row>
    <row r="237" spans="1:15" hidden="1" x14ac:dyDescent="0.3">
      <c r="A237">
        <f t="shared" si="2"/>
        <v>236</v>
      </c>
      <c r="B237" s="3" t="s">
        <v>284</v>
      </c>
      <c r="C237" s="3" t="s">
        <v>175</v>
      </c>
      <c r="D237" s="2">
        <v>28</v>
      </c>
      <c r="E237" s="2" t="s">
        <v>13</v>
      </c>
      <c r="F237" s="2" t="s">
        <v>21</v>
      </c>
      <c r="G237" s="2">
        <v>2000</v>
      </c>
      <c r="H237" s="2">
        <v>47000</v>
      </c>
      <c r="I237" s="2" t="s">
        <v>22</v>
      </c>
      <c r="J237" s="2">
        <v>5000</v>
      </c>
      <c r="K237" s="2">
        <v>690</v>
      </c>
      <c r="L237" s="2" t="s">
        <v>30</v>
      </c>
      <c r="M237" s="2" t="s">
        <v>81</v>
      </c>
      <c r="N237" s="2" t="s">
        <v>17</v>
      </c>
      <c r="O237">
        <v>6</v>
      </c>
    </row>
    <row r="238" spans="1:15" x14ac:dyDescent="0.3">
      <c r="A238">
        <f t="shared" si="2"/>
        <v>237</v>
      </c>
      <c r="B238" s="3" t="s">
        <v>140</v>
      </c>
      <c r="C238" s="3" t="s">
        <v>153</v>
      </c>
      <c r="D238" s="2">
        <v>40</v>
      </c>
      <c r="E238" s="2" t="s">
        <v>20</v>
      </c>
      <c r="F238" s="2" t="s">
        <v>14</v>
      </c>
      <c r="G238" s="2">
        <v>7000</v>
      </c>
      <c r="H238" s="2">
        <v>68000</v>
      </c>
      <c r="I238" s="2" t="s">
        <v>15</v>
      </c>
      <c r="J238" s="2">
        <v>0</v>
      </c>
      <c r="K238" s="2">
        <v>710</v>
      </c>
      <c r="L238" s="2" t="s">
        <v>16</v>
      </c>
      <c r="M238" s="2" t="s">
        <v>81</v>
      </c>
      <c r="N238" s="2" t="s">
        <v>24</v>
      </c>
      <c r="O238">
        <v>4</v>
      </c>
    </row>
    <row r="239" spans="1:15" hidden="1" x14ac:dyDescent="0.3">
      <c r="A239">
        <f t="shared" si="2"/>
        <v>238</v>
      </c>
      <c r="B239" s="3" t="s">
        <v>285</v>
      </c>
      <c r="C239" s="3" t="s">
        <v>171</v>
      </c>
      <c r="D239" s="2">
        <v>36</v>
      </c>
      <c r="E239" s="2" t="s">
        <v>13</v>
      </c>
      <c r="F239" s="2" t="s">
        <v>21</v>
      </c>
      <c r="G239" s="2">
        <v>3000</v>
      </c>
      <c r="H239" s="2">
        <v>49000</v>
      </c>
      <c r="I239" s="2" t="s">
        <v>22</v>
      </c>
      <c r="J239" s="2">
        <v>6000</v>
      </c>
      <c r="K239" s="2">
        <v>700</v>
      </c>
      <c r="L239" s="2" t="s">
        <v>23</v>
      </c>
      <c r="M239" s="2" t="s">
        <v>79</v>
      </c>
      <c r="N239" s="2" t="s">
        <v>17</v>
      </c>
      <c r="O239">
        <v>7</v>
      </c>
    </row>
    <row r="240" spans="1:15" x14ac:dyDescent="0.3">
      <c r="A240">
        <f t="shared" si="2"/>
        <v>239</v>
      </c>
      <c r="B240" s="3" t="s">
        <v>69</v>
      </c>
      <c r="C240" s="3" t="s">
        <v>219</v>
      </c>
      <c r="D240" s="2">
        <v>29</v>
      </c>
      <c r="E240" s="2" t="s">
        <v>20</v>
      </c>
      <c r="F240" s="2" t="s">
        <v>14</v>
      </c>
      <c r="G240" s="2">
        <v>2000</v>
      </c>
      <c r="H240" s="2">
        <v>45000</v>
      </c>
      <c r="I240" s="2" t="s">
        <v>15</v>
      </c>
      <c r="J240" s="2">
        <v>0</v>
      </c>
      <c r="K240" s="2">
        <v>670</v>
      </c>
      <c r="L240" s="2" t="s">
        <v>27</v>
      </c>
      <c r="M240" s="2" t="s">
        <v>79</v>
      </c>
      <c r="N240" s="2" t="s">
        <v>24</v>
      </c>
      <c r="O240">
        <v>13</v>
      </c>
    </row>
    <row r="241" spans="1:15" hidden="1" x14ac:dyDescent="0.3">
      <c r="A241">
        <f t="shared" si="2"/>
        <v>240</v>
      </c>
      <c r="B241" s="3" t="s">
        <v>286</v>
      </c>
      <c r="C241" s="3" t="s">
        <v>200</v>
      </c>
      <c r="D241" s="2">
        <v>38</v>
      </c>
      <c r="E241" s="2" t="s">
        <v>13</v>
      </c>
      <c r="F241" s="2" t="s">
        <v>21</v>
      </c>
      <c r="G241" s="2">
        <v>6000</v>
      </c>
      <c r="H241" s="2">
        <v>71000</v>
      </c>
      <c r="I241" s="2" t="s">
        <v>22</v>
      </c>
      <c r="J241" s="2">
        <v>12000</v>
      </c>
      <c r="K241" s="2">
        <v>720</v>
      </c>
      <c r="L241" s="2" t="s">
        <v>30</v>
      </c>
      <c r="M241" s="2" t="s">
        <v>79</v>
      </c>
      <c r="N241" s="2" t="s">
        <v>17</v>
      </c>
      <c r="O241">
        <v>4</v>
      </c>
    </row>
    <row r="242" spans="1:15" x14ac:dyDescent="0.3">
      <c r="A242">
        <f t="shared" si="2"/>
        <v>241</v>
      </c>
      <c r="B242" s="3" t="s">
        <v>160</v>
      </c>
      <c r="C242" s="3" t="s">
        <v>62</v>
      </c>
      <c r="D242" s="2">
        <v>34</v>
      </c>
      <c r="E242" s="2" t="s">
        <v>13</v>
      </c>
      <c r="F242" s="2" t="s">
        <v>14</v>
      </c>
      <c r="G242" s="2">
        <v>2500</v>
      </c>
      <c r="H242" s="2">
        <v>55000</v>
      </c>
      <c r="I242" s="2" t="s">
        <v>15</v>
      </c>
      <c r="J242" s="2">
        <v>0</v>
      </c>
      <c r="K242" s="2">
        <v>720</v>
      </c>
      <c r="L242" s="2" t="s">
        <v>16</v>
      </c>
      <c r="M242" s="2" t="s">
        <v>79</v>
      </c>
      <c r="N242" s="2" t="s">
        <v>17</v>
      </c>
      <c r="O242">
        <v>15</v>
      </c>
    </row>
    <row r="243" spans="1:15" hidden="1" x14ac:dyDescent="0.3">
      <c r="A243">
        <f t="shared" si="2"/>
        <v>242</v>
      </c>
      <c r="B243" s="3" t="s">
        <v>117</v>
      </c>
      <c r="C243" s="3" t="s">
        <v>157</v>
      </c>
      <c r="D243" s="2">
        <v>29</v>
      </c>
      <c r="E243" s="2" t="s">
        <v>20</v>
      </c>
      <c r="F243" s="2" t="s">
        <v>21</v>
      </c>
      <c r="G243" s="2">
        <v>8000</v>
      </c>
      <c r="H243" s="2">
        <v>62000</v>
      </c>
      <c r="I243" s="2" t="s">
        <v>22</v>
      </c>
      <c r="J243" s="2">
        <v>15000</v>
      </c>
      <c r="K243" s="2">
        <v>680</v>
      </c>
      <c r="L243" s="2" t="s">
        <v>23</v>
      </c>
      <c r="M243" s="2" t="s">
        <v>80</v>
      </c>
      <c r="N243" s="2" t="s">
        <v>24</v>
      </c>
      <c r="O243">
        <v>4</v>
      </c>
    </row>
    <row r="244" spans="1:15" x14ac:dyDescent="0.3">
      <c r="A244">
        <f t="shared" si="2"/>
        <v>243</v>
      </c>
      <c r="B244" s="3" t="s">
        <v>207</v>
      </c>
      <c r="C244" s="3" t="s">
        <v>254</v>
      </c>
      <c r="D244" s="2">
        <v>45</v>
      </c>
      <c r="E244" s="2" t="s">
        <v>20</v>
      </c>
      <c r="F244" s="2" t="s">
        <v>14</v>
      </c>
      <c r="G244" s="2">
        <v>12000</v>
      </c>
      <c r="H244" s="2">
        <v>75000</v>
      </c>
      <c r="I244" s="2" t="s">
        <v>15</v>
      </c>
      <c r="J244" s="2">
        <v>0</v>
      </c>
      <c r="K244" s="2">
        <v>750</v>
      </c>
      <c r="L244" s="2" t="s">
        <v>27</v>
      </c>
      <c r="M244" s="2" t="s">
        <v>81</v>
      </c>
      <c r="N244" s="2" t="s">
        <v>17</v>
      </c>
      <c r="O244">
        <v>15</v>
      </c>
    </row>
    <row r="245" spans="1:15" hidden="1" x14ac:dyDescent="0.3">
      <c r="A245">
        <f t="shared" si="2"/>
        <v>244</v>
      </c>
      <c r="B245" s="3" t="s">
        <v>174</v>
      </c>
      <c r="C245" s="3" t="s">
        <v>182</v>
      </c>
      <c r="D245" s="2">
        <v>52</v>
      </c>
      <c r="E245" s="2" t="s">
        <v>13</v>
      </c>
      <c r="F245" s="2" t="s">
        <v>21</v>
      </c>
      <c r="G245" s="2">
        <v>3000</v>
      </c>
      <c r="H245" s="2">
        <v>48000</v>
      </c>
      <c r="I245" s="2" t="s">
        <v>22</v>
      </c>
      <c r="J245" s="2">
        <v>5000</v>
      </c>
      <c r="K245" s="2">
        <v>690</v>
      </c>
      <c r="L245" s="2" t="s">
        <v>30</v>
      </c>
      <c r="M245" s="2" t="s">
        <v>79</v>
      </c>
      <c r="N245" s="2" t="s">
        <v>17</v>
      </c>
      <c r="O245">
        <v>14</v>
      </c>
    </row>
    <row r="246" spans="1:15" x14ac:dyDescent="0.3">
      <c r="A246">
        <f t="shared" si="2"/>
        <v>245</v>
      </c>
      <c r="B246" s="3" t="s">
        <v>218</v>
      </c>
      <c r="C246" s="3" t="s">
        <v>50</v>
      </c>
      <c r="D246" s="2">
        <v>37</v>
      </c>
      <c r="E246" s="2" t="s">
        <v>20</v>
      </c>
      <c r="F246" s="2" t="s">
        <v>14</v>
      </c>
      <c r="G246" s="2">
        <v>5000</v>
      </c>
      <c r="H246" s="2">
        <v>58000</v>
      </c>
      <c r="I246" s="2" t="s">
        <v>15</v>
      </c>
      <c r="J246" s="2">
        <v>0</v>
      </c>
      <c r="K246" s="2">
        <v>710</v>
      </c>
      <c r="L246" s="2" t="s">
        <v>16</v>
      </c>
      <c r="M246" s="2" t="s">
        <v>79</v>
      </c>
      <c r="N246" s="2" t="s">
        <v>24</v>
      </c>
      <c r="O246">
        <v>10</v>
      </c>
    </row>
    <row r="247" spans="1:15" hidden="1" x14ac:dyDescent="0.3">
      <c r="A247">
        <f t="shared" si="2"/>
        <v>246</v>
      </c>
      <c r="B247" s="3" t="s">
        <v>99</v>
      </c>
      <c r="C247" s="3" t="s">
        <v>208</v>
      </c>
      <c r="D247" s="2">
        <v>30</v>
      </c>
      <c r="E247" s="2" t="s">
        <v>13</v>
      </c>
      <c r="F247" s="2" t="s">
        <v>21</v>
      </c>
      <c r="G247" s="2">
        <v>6000</v>
      </c>
      <c r="H247" s="2">
        <v>70000</v>
      </c>
      <c r="I247" s="2" t="s">
        <v>22</v>
      </c>
      <c r="J247" s="2">
        <v>20000</v>
      </c>
      <c r="K247" s="2">
        <v>700</v>
      </c>
      <c r="L247" s="2" t="s">
        <v>23</v>
      </c>
      <c r="M247" s="2" t="s">
        <v>79</v>
      </c>
      <c r="N247" s="2" t="s">
        <v>17</v>
      </c>
      <c r="O247">
        <v>14</v>
      </c>
    </row>
    <row r="248" spans="1:15" x14ac:dyDescent="0.3">
      <c r="A248">
        <f t="shared" si="2"/>
        <v>247</v>
      </c>
      <c r="B248" s="3" t="s">
        <v>130</v>
      </c>
      <c r="C248" s="3" t="s">
        <v>182</v>
      </c>
      <c r="D248" s="2">
        <v>40</v>
      </c>
      <c r="E248" s="2" t="s">
        <v>20</v>
      </c>
      <c r="F248" s="2" t="s">
        <v>14</v>
      </c>
      <c r="G248" s="2">
        <v>15000</v>
      </c>
      <c r="H248" s="2">
        <v>82000</v>
      </c>
      <c r="I248" s="2" t="s">
        <v>15</v>
      </c>
      <c r="J248" s="2">
        <v>0</v>
      </c>
      <c r="K248" s="2">
        <v>730</v>
      </c>
      <c r="L248" s="2" t="s">
        <v>27</v>
      </c>
      <c r="M248" s="2" t="s">
        <v>79</v>
      </c>
      <c r="N248" s="2" t="s">
        <v>24</v>
      </c>
      <c r="O248">
        <v>15</v>
      </c>
    </row>
    <row r="249" spans="1:15" x14ac:dyDescent="0.3">
      <c r="A249">
        <f t="shared" si="2"/>
        <v>248</v>
      </c>
      <c r="B249" s="3" t="s">
        <v>31</v>
      </c>
      <c r="C249" s="3" t="s">
        <v>66</v>
      </c>
      <c r="D249" s="2">
        <v>25</v>
      </c>
      <c r="E249" s="2" t="s">
        <v>13</v>
      </c>
      <c r="F249" s="2" t="s">
        <v>21</v>
      </c>
      <c r="G249" s="2">
        <v>2000</v>
      </c>
      <c r="H249" s="2">
        <v>43000</v>
      </c>
      <c r="I249" s="2" t="s">
        <v>15</v>
      </c>
      <c r="J249" s="2">
        <v>0</v>
      </c>
      <c r="K249" s="2">
        <v>670</v>
      </c>
      <c r="L249" s="2" t="s">
        <v>30</v>
      </c>
      <c r="M249" s="2" t="s">
        <v>80</v>
      </c>
      <c r="N249" s="2" t="s">
        <v>17</v>
      </c>
      <c r="O249">
        <v>13</v>
      </c>
    </row>
    <row r="250" spans="1:15" hidden="1" x14ac:dyDescent="0.3">
      <c r="A250">
        <f t="shared" si="2"/>
        <v>249</v>
      </c>
      <c r="B250" s="3" t="s">
        <v>119</v>
      </c>
      <c r="C250" s="3" t="s">
        <v>141</v>
      </c>
      <c r="D250" s="2">
        <v>31</v>
      </c>
      <c r="E250" s="2" t="s">
        <v>20</v>
      </c>
      <c r="F250" s="2" t="s">
        <v>14</v>
      </c>
      <c r="G250" s="2">
        <v>7000</v>
      </c>
      <c r="H250" s="2">
        <v>55000</v>
      </c>
      <c r="I250" s="2" t="s">
        <v>22</v>
      </c>
      <c r="J250" s="2">
        <v>10000</v>
      </c>
      <c r="K250" s="2">
        <v>720</v>
      </c>
      <c r="L250" s="2" t="s">
        <v>16</v>
      </c>
      <c r="M250" s="2" t="s">
        <v>80</v>
      </c>
      <c r="N250" s="2" t="s">
        <v>17</v>
      </c>
      <c r="O250">
        <v>7</v>
      </c>
    </row>
    <row r="251" spans="1:15" x14ac:dyDescent="0.3">
      <c r="A251">
        <f t="shared" si="2"/>
        <v>250</v>
      </c>
      <c r="B251" s="3" t="s">
        <v>287</v>
      </c>
      <c r="C251" s="3" t="s">
        <v>171</v>
      </c>
      <c r="D251" s="2">
        <v>44</v>
      </c>
      <c r="E251" s="2" t="s">
        <v>13</v>
      </c>
      <c r="F251" s="2" t="s">
        <v>21</v>
      </c>
      <c r="G251" s="2">
        <v>11000</v>
      </c>
      <c r="H251" s="2">
        <v>65000</v>
      </c>
      <c r="I251" s="2" t="s">
        <v>15</v>
      </c>
      <c r="J251" s="2">
        <v>0</v>
      </c>
      <c r="K251" s="2">
        <v>740</v>
      </c>
      <c r="L251" s="2" t="s">
        <v>23</v>
      </c>
      <c r="M251" s="2" t="s">
        <v>81</v>
      </c>
      <c r="N251" s="2" t="s">
        <v>24</v>
      </c>
      <c r="O251">
        <v>5</v>
      </c>
    </row>
    <row r="252" spans="1:15" x14ac:dyDescent="0.3">
      <c r="A252">
        <f t="shared" si="2"/>
        <v>251</v>
      </c>
      <c r="B252" s="3" t="s">
        <v>288</v>
      </c>
      <c r="C252" s="3" t="s">
        <v>219</v>
      </c>
      <c r="D252" s="2">
        <v>28</v>
      </c>
      <c r="E252" s="2" t="s">
        <v>20</v>
      </c>
      <c r="F252" s="2" t="s">
        <v>14</v>
      </c>
      <c r="G252" s="2">
        <v>4500</v>
      </c>
      <c r="H252" s="2">
        <v>47000</v>
      </c>
      <c r="I252" s="2" t="s">
        <v>15</v>
      </c>
      <c r="J252" s="2">
        <v>0</v>
      </c>
      <c r="K252" s="2">
        <v>690</v>
      </c>
      <c r="L252" s="2" t="s">
        <v>27</v>
      </c>
      <c r="M252" s="2" t="s">
        <v>79</v>
      </c>
      <c r="N252" s="2" t="s">
        <v>17</v>
      </c>
      <c r="O252">
        <v>3</v>
      </c>
    </row>
    <row r="253" spans="1:15" hidden="1" x14ac:dyDescent="0.3">
      <c r="A253">
        <f t="shared" si="2"/>
        <v>252</v>
      </c>
      <c r="B253" s="3" t="s">
        <v>192</v>
      </c>
      <c r="C253" s="3" t="s">
        <v>219</v>
      </c>
      <c r="D253" s="2">
        <v>39</v>
      </c>
      <c r="E253" s="2" t="s">
        <v>13</v>
      </c>
      <c r="F253" s="2" t="s">
        <v>21</v>
      </c>
      <c r="G253" s="2">
        <v>10000</v>
      </c>
      <c r="H253" s="2">
        <v>72000</v>
      </c>
      <c r="I253" s="2" t="s">
        <v>22</v>
      </c>
      <c r="J253" s="2">
        <v>12000</v>
      </c>
      <c r="K253" s="2">
        <v>700</v>
      </c>
      <c r="L253" s="2" t="s">
        <v>30</v>
      </c>
      <c r="M253" s="2" t="s">
        <v>81</v>
      </c>
      <c r="N253" s="2" t="s">
        <v>17</v>
      </c>
      <c r="O253">
        <v>8</v>
      </c>
    </row>
    <row r="254" spans="1:15" x14ac:dyDescent="0.3">
      <c r="A254">
        <f t="shared" si="2"/>
        <v>253</v>
      </c>
      <c r="B254" s="3" t="s">
        <v>138</v>
      </c>
      <c r="C254" s="3" t="s">
        <v>214</v>
      </c>
      <c r="D254" s="2">
        <v>26</v>
      </c>
      <c r="E254" s="2" t="s">
        <v>20</v>
      </c>
      <c r="F254" s="2" t="s">
        <v>14</v>
      </c>
      <c r="G254" s="2">
        <v>3500</v>
      </c>
      <c r="H254" s="2">
        <v>53000</v>
      </c>
      <c r="I254" s="2" t="s">
        <v>15</v>
      </c>
      <c r="J254" s="2">
        <v>0</v>
      </c>
      <c r="K254" s="2">
        <v>680</v>
      </c>
      <c r="L254" s="2" t="s">
        <v>16</v>
      </c>
      <c r="M254" s="2" t="s">
        <v>80</v>
      </c>
      <c r="N254" s="2" t="s">
        <v>24</v>
      </c>
      <c r="O254">
        <v>4</v>
      </c>
    </row>
    <row r="255" spans="1:15" hidden="1" x14ac:dyDescent="0.3">
      <c r="A255">
        <f t="shared" si="2"/>
        <v>254</v>
      </c>
      <c r="B255" s="3" t="s">
        <v>289</v>
      </c>
      <c r="C255" s="3" t="s">
        <v>143</v>
      </c>
      <c r="D255" s="2">
        <v>33</v>
      </c>
      <c r="E255" s="2" t="s">
        <v>13</v>
      </c>
      <c r="F255" s="2" t="s">
        <v>21</v>
      </c>
      <c r="G255" s="2">
        <v>8000</v>
      </c>
      <c r="H255" s="2">
        <v>60000</v>
      </c>
      <c r="I255" s="2" t="s">
        <v>22</v>
      </c>
      <c r="J255" s="2">
        <v>8000</v>
      </c>
      <c r="K255" s="2">
        <v>710</v>
      </c>
      <c r="L255" s="2" t="s">
        <v>23</v>
      </c>
      <c r="M255" s="2" t="s">
        <v>79</v>
      </c>
      <c r="N255" s="2" t="s">
        <v>17</v>
      </c>
      <c r="O255">
        <v>3</v>
      </c>
    </row>
    <row r="256" spans="1:15" x14ac:dyDescent="0.3">
      <c r="A256">
        <f t="shared" si="2"/>
        <v>255</v>
      </c>
      <c r="B256" s="3" t="s">
        <v>122</v>
      </c>
      <c r="C256" s="3" t="s">
        <v>26</v>
      </c>
      <c r="D256" s="2">
        <v>46</v>
      </c>
      <c r="E256" s="2" t="s">
        <v>20</v>
      </c>
      <c r="F256" s="2" t="s">
        <v>14</v>
      </c>
      <c r="G256" s="2">
        <v>13000</v>
      </c>
      <c r="H256" s="2">
        <v>85000</v>
      </c>
      <c r="I256" s="2" t="s">
        <v>15</v>
      </c>
      <c r="J256" s="2">
        <v>0</v>
      </c>
      <c r="K256" s="2">
        <v>740</v>
      </c>
      <c r="L256" s="2" t="s">
        <v>27</v>
      </c>
      <c r="M256" s="2" t="s">
        <v>81</v>
      </c>
      <c r="N256" s="2" t="s">
        <v>24</v>
      </c>
      <c r="O256">
        <v>7</v>
      </c>
    </row>
    <row r="257" spans="1:15" hidden="1" x14ac:dyDescent="0.3">
      <c r="A257">
        <f t="shared" si="2"/>
        <v>256</v>
      </c>
      <c r="B257" s="3" t="s">
        <v>93</v>
      </c>
      <c r="C257" s="3" t="s">
        <v>215</v>
      </c>
      <c r="D257" s="2">
        <v>52</v>
      </c>
      <c r="E257" s="2" t="s">
        <v>13</v>
      </c>
      <c r="F257" s="2" t="s">
        <v>21</v>
      </c>
      <c r="G257" s="2">
        <v>4000</v>
      </c>
      <c r="H257" s="2">
        <v>49000</v>
      </c>
      <c r="I257" s="2" t="s">
        <v>22</v>
      </c>
      <c r="J257" s="2">
        <v>7000</v>
      </c>
      <c r="K257" s="2">
        <v>690</v>
      </c>
      <c r="L257" s="2" t="s">
        <v>30</v>
      </c>
      <c r="M257" s="2" t="s">
        <v>79</v>
      </c>
      <c r="N257" s="2" t="s">
        <v>17</v>
      </c>
      <c r="O257">
        <v>12</v>
      </c>
    </row>
    <row r="258" spans="1:15" x14ac:dyDescent="0.3">
      <c r="A258">
        <f t="shared" si="2"/>
        <v>257</v>
      </c>
      <c r="B258" s="3" t="s">
        <v>194</v>
      </c>
      <c r="C258" s="3" t="s">
        <v>173</v>
      </c>
      <c r="D258" s="2">
        <v>24</v>
      </c>
      <c r="E258" s="2" t="s">
        <v>13</v>
      </c>
      <c r="F258" s="2" t="s">
        <v>14</v>
      </c>
      <c r="G258" s="2">
        <v>2200</v>
      </c>
      <c r="H258" s="2">
        <v>45000</v>
      </c>
      <c r="I258" s="2" t="s">
        <v>15</v>
      </c>
      <c r="J258" s="2">
        <v>0</v>
      </c>
      <c r="K258" s="2">
        <v>670</v>
      </c>
      <c r="L258" s="2" t="s">
        <v>16</v>
      </c>
      <c r="M258" s="2" t="s">
        <v>80</v>
      </c>
      <c r="N258" s="2" t="s">
        <v>24</v>
      </c>
      <c r="O258">
        <v>11</v>
      </c>
    </row>
    <row r="259" spans="1:15" hidden="1" x14ac:dyDescent="0.3">
      <c r="A259">
        <f t="shared" si="2"/>
        <v>258</v>
      </c>
      <c r="B259" s="3" t="s">
        <v>110</v>
      </c>
      <c r="C259" s="3" t="s">
        <v>157</v>
      </c>
      <c r="D259" s="2">
        <v>38</v>
      </c>
      <c r="E259" s="2" t="s">
        <v>13</v>
      </c>
      <c r="F259" s="2" t="s">
        <v>21</v>
      </c>
      <c r="G259" s="2">
        <v>15000</v>
      </c>
      <c r="H259" s="2">
        <v>77000</v>
      </c>
      <c r="I259" s="2" t="s">
        <v>22</v>
      </c>
      <c r="J259" s="2">
        <v>15000</v>
      </c>
      <c r="K259" s="2">
        <v>720</v>
      </c>
      <c r="L259" s="2" t="s">
        <v>23</v>
      </c>
      <c r="M259" s="2" t="s">
        <v>81</v>
      </c>
      <c r="N259" s="2" t="s">
        <v>17</v>
      </c>
      <c r="O259">
        <v>3</v>
      </c>
    </row>
    <row r="260" spans="1:15" x14ac:dyDescent="0.3">
      <c r="A260">
        <f t="shared" si="2"/>
        <v>259</v>
      </c>
      <c r="B260" s="3" t="s">
        <v>114</v>
      </c>
      <c r="C260" s="3" t="s">
        <v>40</v>
      </c>
      <c r="D260" s="2">
        <v>27</v>
      </c>
      <c r="E260" s="2" t="s">
        <v>20</v>
      </c>
      <c r="F260" s="2" t="s">
        <v>14</v>
      </c>
      <c r="G260" s="2">
        <v>4000</v>
      </c>
      <c r="H260" s="2">
        <v>50000</v>
      </c>
      <c r="I260" s="2" t="s">
        <v>15</v>
      </c>
      <c r="J260" s="2">
        <v>0</v>
      </c>
      <c r="K260" s="2">
        <v>680</v>
      </c>
      <c r="L260" s="2" t="s">
        <v>27</v>
      </c>
      <c r="M260" s="2" t="s">
        <v>79</v>
      </c>
      <c r="N260" s="2" t="s">
        <v>24</v>
      </c>
      <c r="O260">
        <v>5</v>
      </c>
    </row>
    <row r="261" spans="1:15" hidden="1" x14ac:dyDescent="0.3">
      <c r="A261">
        <f t="shared" si="2"/>
        <v>260</v>
      </c>
      <c r="B261" s="3" t="s">
        <v>35</v>
      </c>
      <c r="C261" s="3" t="s">
        <v>290</v>
      </c>
      <c r="D261" s="2">
        <v>41</v>
      </c>
      <c r="E261" s="2" t="s">
        <v>13</v>
      </c>
      <c r="F261" s="2" t="s">
        <v>21</v>
      </c>
      <c r="G261" s="2">
        <v>9000</v>
      </c>
      <c r="H261" s="2">
        <v>69000</v>
      </c>
      <c r="I261" s="2" t="s">
        <v>22</v>
      </c>
      <c r="J261" s="2">
        <v>12000</v>
      </c>
      <c r="K261" s="2">
        <v>700</v>
      </c>
      <c r="L261" s="2" t="s">
        <v>30</v>
      </c>
      <c r="M261" s="2" t="s">
        <v>81</v>
      </c>
      <c r="N261" s="2" t="s">
        <v>17</v>
      </c>
      <c r="O261">
        <v>3</v>
      </c>
    </row>
    <row r="262" spans="1:15" x14ac:dyDescent="0.3">
      <c r="A262">
        <f t="shared" si="2"/>
        <v>261</v>
      </c>
      <c r="B262" s="3" t="s">
        <v>265</v>
      </c>
      <c r="C262" s="3" t="s">
        <v>204</v>
      </c>
      <c r="D262" s="2">
        <v>32</v>
      </c>
      <c r="E262" s="2" t="s">
        <v>20</v>
      </c>
      <c r="F262" s="2" t="s">
        <v>14</v>
      </c>
      <c r="G262" s="2">
        <v>5500</v>
      </c>
      <c r="H262" s="2">
        <v>54000</v>
      </c>
      <c r="I262" s="2" t="s">
        <v>15</v>
      </c>
      <c r="J262" s="2">
        <v>0</v>
      </c>
      <c r="K262" s="2">
        <v>710</v>
      </c>
      <c r="L262" s="2" t="s">
        <v>16</v>
      </c>
      <c r="M262" s="2" t="s">
        <v>79</v>
      </c>
      <c r="N262" s="2" t="s">
        <v>24</v>
      </c>
      <c r="O262">
        <v>11</v>
      </c>
    </row>
    <row r="263" spans="1:15" hidden="1" x14ac:dyDescent="0.3">
      <c r="A263">
        <f t="shared" si="2"/>
        <v>262</v>
      </c>
      <c r="B263" s="3" t="s">
        <v>178</v>
      </c>
      <c r="C263" s="3" t="s">
        <v>62</v>
      </c>
      <c r="D263" s="2">
        <v>47</v>
      </c>
      <c r="E263" s="2" t="s">
        <v>13</v>
      </c>
      <c r="F263" s="2" t="s">
        <v>21</v>
      </c>
      <c r="G263" s="2">
        <v>7000</v>
      </c>
      <c r="H263" s="2">
        <v>74000</v>
      </c>
      <c r="I263" s="2" t="s">
        <v>22</v>
      </c>
      <c r="J263" s="2">
        <v>10000</v>
      </c>
      <c r="K263" s="2">
        <v>690</v>
      </c>
      <c r="L263" s="2" t="s">
        <v>23</v>
      </c>
      <c r="M263" s="2" t="s">
        <v>80</v>
      </c>
      <c r="N263" s="2" t="s">
        <v>17</v>
      </c>
      <c r="O263">
        <v>11</v>
      </c>
    </row>
    <row r="264" spans="1:15" x14ac:dyDescent="0.3">
      <c r="A264">
        <f t="shared" si="2"/>
        <v>263</v>
      </c>
      <c r="B264" s="3" t="s">
        <v>291</v>
      </c>
      <c r="C264" s="3" t="s">
        <v>143</v>
      </c>
      <c r="D264" s="2">
        <v>35</v>
      </c>
      <c r="E264" s="2" t="s">
        <v>20</v>
      </c>
      <c r="F264" s="2" t="s">
        <v>14</v>
      </c>
      <c r="G264" s="2">
        <v>6000</v>
      </c>
      <c r="H264" s="2">
        <v>68000</v>
      </c>
      <c r="I264" s="2" t="s">
        <v>15</v>
      </c>
      <c r="J264" s="2">
        <v>0</v>
      </c>
      <c r="K264" s="2">
        <v>720</v>
      </c>
      <c r="L264" s="2" t="s">
        <v>27</v>
      </c>
      <c r="M264" s="2" t="s">
        <v>80</v>
      </c>
      <c r="N264" s="2" t="s">
        <v>24</v>
      </c>
      <c r="O264">
        <v>6</v>
      </c>
    </row>
    <row r="265" spans="1:15" hidden="1" x14ac:dyDescent="0.3">
      <c r="A265">
        <f t="shared" si="2"/>
        <v>264</v>
      </c>
      <c r="B265" s="3" t="s">
        <v>292</v>
      </c>
      <c r="C265" s="3" t="s">
        <v>169</v>
      </c>
      <c r="D265" s="2">
        <v>29</v>
      </c>
      <c r="E265" s="2" t="s">
        <v>13</v>
      </c>
      <c r="F265" s="2" t="s">
        <v>21</v>
      </c>
      <c r="G265" s="2">
        <v>2500</v>
      </c>
      <c r="H265" s="2">
        <v>45000</v>
      </c>
      <c r="I265" s="2" t="s">
        <v>22</v>
      </c>
      <c r="J265" s="2">
        <v>5000</v>
      </c>
      <c r="K265" s="2">
        <v>670</v>
      </c>
      <c r="L265" s="2" t="s">
        <v>30</v>
      </c>
      <c r="M265" s="2" t="s">
        <v>80</v>
      </c>
      <c r="N265" s="2" t="s">
        <v>17</v>
      </c>
      <c r="O265">
        <v>6</v>
      </c>
    </row>
    <row r="266" spans="1:15" x14ac:dyDescent="0.3">
      <c r="A266">
        <f t="shared" si="2"/>
        <v>265</v>
      </c>
      <c r="B266" s="3" t="s">
        <v>37</v>
      </c>
      <c r="C266" s="3" t="s">
        <v>19</v>
      </c>
      <c r="D266" s="2">
        <v>42</v>
      </c>
      <c r="E266" s="2" t="s">
        <v>20</v>
      </c>
      <c r="F266" s="2" t="s">
        <v>14</v>
      </c>
      <c r="G266" s="2">
        <v>11000</v>
      </c>
      <c r="H266" s="2">
        <v>80000</v>
      </c>
      <c r="I266" s="2" t="s">
        <v>15</v>
      </c>
      <c r="J266" s="2">
        <v>0</v>
      </c>
      <c r="K266" s="2">
        <v>740</v>
      </c>
      <c r="L266" s="2" t="s">
        <v>16</v>
      </c>
      <c r="M266" s="2" t="s">
        <v>81</v>
      </c>
      <c r="N266" s="2" t="s">
        <v>24</v>
      </c>
      <c r="O266">
        <v>5</v>
      </c>
    </row>
    <row r="267" spans="1:15" hidden="1" x14ac:dyDescent="0.3">
      <c r="A267">
        <f t="shared" si="2"/>
        <v>266</v>
      </c>
      <c r="B267" s="3" t="s">
        <v>92</v>
      </c>
      <c r="C267" s="3" t="s">
        <v>26</v>
      </c>
      <c r="D267" s="2">
        <v>50</v>
      </c>
      <c r="E267" s="2" t="s">
        <v>13</v>
      </c>
      <c r="F267" s="2" t="s">
        <v>21</v>
      </c>
      <c r="G267" s="2">
        <v>3000</v>
      </c>
      <c r="H267" s="2">
        <v>47000</v>
      </c>
      <c r="I267" s="2" t="s">
        <v>22</v>
      </c>
      <c r="J267" s="2">
        <v>8000</v>
      </c>
      <c r="K267" s="2">
        <v>680</v>
      </c>
      <c r="L267" s="2" t="s">
        <v>23</v>
      </c>
      <c r="M267" s="2" t="s">
        <v>81</v>
      </c>
      <c r="N267" s="2" t="s">
        <v>17</v>
      </c>
      <c r="O267">
        <v>4</v>
      </c>
    </row>
    <row r="268" spans="1:15" x14ac:dyDescent="0.3">
      <c r="A268">
        <f t="shared" si="2"/>
        <v>267</v>
      </c>
      <c r="B268" s="3" t="s">
        <v>11</v>
      </c>
      <c r="C268" s="3" t="s">
        <v>29</v>
      </c>
      <c r="D268" s="2">
        <v>28</v>
      </c>
      <c r="E268" s="2" t="s">
        <v>20</v>
      </c>
      <c r="F268" s="2" t="s">
        <v>14</v>
      </c>
      <c r="G268" s="2">
        <v>4000</v>
      </c>
      <c r="H268" s="2">
        <v>53000</v>
      </c>
      <c r="I268" s="2" t="s">
        <v>15</v>
      </c>
      <c r="J268" s="2">
        <v>0</v>
      </c>
      <c r="K268" s="2">
        <v>690</v>
      </c>
      <c r="L268" s="2" t="s">
        <v>27</v>
      </c>
      <c r="M268" s="2" t="s">
        <v>79</v>
      </c>
      <c r="N268" s="2" t="s">
        <v>24</v>
      </c>
      <c r="O268">
        <v>6</v>
      </c>
    </row>
    <row r="269" spans="1:15" hidden="1" x14ac:dyDescent="0.3">
      <c r="A269">
        <f t="shared" si="2"/>
        <v>268</v>
      </c>
      <c r="B269" s="3" t="s">
        <v>93</v>
      </c>
      <c r="C269" s="3" t="s">
        <v>94</v>
      </c>
      <c r="D269" s="2">
        <v>36</v>
      </c>
      <c r="E269" s="2" t="s">
        <v>13</v>
      </c>
      <c r="F269" s="2" t="s">
        <v>21</v>
      </c>
      <c r="G269" s="2">
        <v>9000</v>
      </c>
      <c r="H269" s="2">
        <v>71000</v>
      </c>
      <c r="I269" s="2" t="s">
        <v>22</v>
      </c>
      <c r="J269" s="2">
        <v>13000</v>
      </c>
      <c r="K269" s="2">
        <v>700</v>
      </c>
      <c r="L269" s="2" t="s">
        <v>30</v>
      </c>
      <c r="M269" s="2" t="s">
        <v>80</v>
      </c>
      <c r="N269" s="2" t="s">
        <v>17</v>
      </c>
      <c r="O269">
        <v>5</v>
      </c>
    </row>
    <row r="270" spans="1:15" x14ac:dyDescent="0.3">
      <c r="A270">
        <f t="shared" si="2"/>
        <v>269</v>
      </c>
      <c r="B270" s="3" t="s">
        <v>95</v>
      </c>
      <c r="C270" s="3" t="s">
        <v>96</v>
      </c>
      <c r="D270" s="2">
        <v>41</v>
      </c>
      <c r="E270" s="2" t="s">
        <v>20</v>
      </c>
      <c r="F270" s="2" t="s">
        <v>14</v>
      </c>
      <c r="G270" s="2">
        <v>8000</v>
      </c>
      <c r="H270" s="2">
        <v>67000</v>
      </c>
      <c r="I270" s="2" t="s">
        <v>15</v>
      </c>
      <c r="J270" s="2">
        <v>0</v>
      </c>
      <c r="K270" s="2">
        <v>710</v>
      </c>
      <c r="L270" s="2" t="s">
        <v>16</v>
      </c>
      <c r="M270" s="2" t="s">
        <v>81</v>
      </c>
      <c r="N270" s="2" t="s">
        <v>24</v>
      </c>
      <c r="O270">
        <v>14</v>
      </c>
    </row>
    <row r="271" spans="1:15" hidden="1" x14ac:dyDescent="0.3">
      <c r="A271">
        <f t="shared" si="2"/>
        <v>270</v>
      </c>
      <c r="B271" s="3" t="s">
        <v>97</v>
      </c>
      <c r="C271" s="3" t="s">
        <v>98</v>
      </c>
      <c r="D271" s="2">
        <v>30</v>
      </c>
      <c r="E271" s="2" t="s">
        <v>13</v>
      </c>
      <c r="F271" s="2" t="s">
        <v>21</v>
      </c>
      <c r="G271" s="2">
        <v>5000</v>
      </c>
      <c r="H271" s="2">
        <v>55000</v>
      </c>
      <c r="I271" s="2" t="s">
        <v>22</v>
      </c>
      <c r="J271" s="2">
        <v>7000</v>
      </c>
      <c r="K271" s="2">
        <v>690</v>
      </c>
      <c r="L271" s="2" t="s">
        <v>23</v>
      </c>
      <c r="M271" s="2" t="s">
        <v>81</v>
      </c>
      <c r="N271" s="2" t="s">
        <v>17</v>
      </c>
      <c r="O271">
        <v>12</v>
      </c>
    </row>
    <row r="272" spans="1:15" x14ac:dyDescent="0.3">
      <c r="A272">
        <f t="shared" si="2"/>
        <v>271</v>
      </c>
      <c r="B272" s="3" t="s">
        <v>28</v>
      </c>
      <c r="C272" s="3" t="s">
        <v>32</v>
      </c>
      <c r="D272" s="2">
        <v>29</v>
      </c>
      <c r="E272" s="2" t="s">
        <v>20</v>
      </c>
      <c r="F272" s="2" t="s">
        <v>14</v>
      </c>
      <c r="G272" s="2">
        <v>3000</v>
      </c>
      <c r="H272" s="2">
        <v>48000</v>
      </c>
      <c r="I272" s="2" t="s">
        <v>15</v>
      </c>
      <c r="J272" s="2">
        <v>0</v>
      </c>
      <c r="K272" s="2">
        <v>670</v>
      </c>
      <c r="L272" s="2" t="s">
        <v>27</v>
      </c>
      <c r="M272" s="2" t="s">
        <v>79</v>
      </c>
      <c r="N272" s="2" t="s">
        <v>24</v>
      </c>
      <c r="O272">
        <v>11</v>
      </c>
    </row>
    <row r="273" spans="1:15" hidden="1" x14ac:dyDescent="0.3">
      <c r="A273">
        <f t="shared" si="2"/>
        <v>272</v>
      </c>
      <c r="B273" s="3" t="s">
        <v>99</v>
      </c>
      <c r="C273" s="3" t="s">
        <v>100</v>
      </c>
      <c r="D273" s="2">
        <v>34</v>
      </c>
      <c r="E273" s="2" t="s">
        <v>13</v>
      </c>
      <c r="F273" s="2" t="s">
        <v>21</v>
      </c>
      <c r="G273" s="2">
        <v>11000</v>
      </c>
      <c r="H273" s="2">
        <v>62000</v>
      </c>
      <c r="I273" s="2" t="s">
        <v>22</v>
      </c>
      <c r="J273" s="2">
        <v>12000</v>
      </c>
      <c r="K273" s="2">
        <v>720</v>
      </c>
      <c r="L273" s="2" t="s">
        <v>30</v>
      </c>
      <c r="M273" s="2" t="s">
        <v>79</v>
      </c>
      <c r="N273" s="2" t="s">
        <v>17</v>
      </c>
      <c r="O273">
        <v>8</v>
      </c>
    </row>
    <row r="274" spans="1:15" x14ac:dyDescent="0.3">
      <c r="A274">
        <f t="shared" si="2"/>
        <v>273</v>
      </c>
      <c r="B274" s="3" t="s">
        <v>33</v>
      </c>
      <c r="C274" s="3" t="s">
        <v>101</v>
      </c>
      <c r="D274" s="2">
        <v>37</v>
      </c>
      <c r="E274" s="2" t="s">
        <v>20</v>
      </c>
      <c r="F274" s="2" t="s">
        <v>14</v>
      </c>
      <c r="G274" s="2">
        <v>5500</v>
      </c>
      <c r="H274" s="2">
        <v>69000</v>
      </c>
      <c r="I274" s="2" t="s">
        <v>15</v>
      </c>
      <c r="J274" s="2">
        <v>0</v>
      </c>
      <c r="K274" s="2">
        <v>710</v>
      </c>
      <c r="L274" s="2" t="s">
        <v>16</v>
      </c>
      <c r="M274" s="2" t="s">
        <v>79</v>
      </c>
      <c r="N274" s="2" t="s">
        <v>24</v>
      </c>
      <c r="O274">
        <v>4</v>
      </c>
    </row>
    <row r="275" spans="1:15" hidden="1" x14ac:dyDescent="0.3">
      <c r="A275">
        <f t="shared" si="2"/>
        <v>274</v>
      </c>
      <c r="B275" s="3" t="s">
        <v>102</v>
      </c>
      <c r="C275" s="3" t="s">
        <v>38</v>
      </c>
      <c r="D275" s="2">
        <v>45</v>
      </c>
      <c r="E275" s="2" t="s">
        <v>13</v>
      </c>
      <c r="F275" s="2" t="s">
        <v>14</v>
      </c>
      <c r="G275" s="2">
        <v>7000</v>
      </c>
      <c r="H275" s="2">
        <v>74000</v>
      </c>
      <c r="I275" s="2" t="s">
        <v>22</v>
      </c>
      <c r="J275" s="2">
        <v>15000</v>
      </c>
      <c r="K275" s="2">
        <v>680</v>
      </c>
      <c r="L275" s="2" t="s">
        <v>23</v>
      </c>
      <c r="M275" s="2" t="s">
        <v>79</v>
      </c>
      <c r="N275" s="2" t="s">
        <v>17</v>
      </c>
      <c r="O275">
        <v>13</v>
      </c>
    </row>
    <row r="276" spans="1:15" x14ac:dyDescent="0.3">
      <c r="A276">
        <f t="shared" si="2"/>
        <v>275</v>
      </c>
      <c r="B276" s="3" t="s">
        <v>103</v>
      </c>
      <c r="C276" s="3" t="s">
        <v>34</v>
      </c>
      <c r="D276" s="2">
        <v>40</v>
      </c>
      <c r="E276" s="2" t="s">
        <v>20</v>
      </c>
      <c r="F276" s="2" t="s">
        <v>14</v>
      </c>
      <c r="G276" s="2">
        <v>2000</v>
      </c>
      <c r="H276" s="2">
        <v>50000</v>
      </c>
      <c r="I276" s="2" t="s">
        <v>15</v>
      </c>
      <c r="J276" s="2">
        <v>0</v>
      </c>
      <c r="K276" s="2">
        <v>720</v>
      </c>
      <c r="L276" s="2" t="s">
        <v>27</v>
      </c>
      <c r="M276" s="2" t="s">
        <v>79</v>
      </c>
      <c r="N276" s="2" t="s">
        <v>24</v>
      </c>
      <c r="O276">
        <v>7</v>
      </c>
    </row>
    <row r="277" spans="1:15" hidden="1" x14ac:dyDescent="0.3">
      <c r="A277">
        <f t="shared" si="2"/>
        <v>276</v>
      </c>
      <c r="B277" s="3" t="s">
        <v>104</v>
      </c>
      <c r="C277" s="3" t="s">
        <v>40</v>
      </c>
      <c r="D277" s="2">
        <v>27</v>
      </c>
      <c r="E277" s="2" t="s">
        <v>13</v>
      </c>
      <c r="F277" s="2" t="s">
        <v>21</v>
      </c>
      <c r="G277" s="2">
        <v>6000</v>
      </c>
      <c r="H277" s="2">
        <v>55000</v>
      </c>
      <c r="I277" s="2" t="s">
        <v>22</v>
      </c>
      <c r="J277" s="2">
        <v>10000</v>
      </c>
      <c r="K277" s="2">
        <v>690</v>
      </c>
      <c r="L277" s="2" t="s">
        <v>30</v>
      </c>
      <c r="M277" s="2" t="s">
        <v>79</v>
      </c>
      <c r="N277" s="2" t="s">
        <v>17</v>
      </c>
      <c r="O277">
        <v>4</v>
      </c>
    </row>
    <row r="278" spans="1:15" x14ac:dyDescent="0.3">
      <c r="A278">
        <f t="shared" si="2"/>
        <v>277</v>
      </c>
      <c r="B278" s="3" t="s">
        <v>105</v>
      </c>
      <c r="C278" s="3" t="s">
        <v>106</v>
      </c>
      <c r="D278" s="2">
        <v>31</v>
      </c>
      <c r="E278" s="2" t="s">
        <v>20</v>
      </c>
      <c r="F278" s="2" t="s">
        <v>14</v>
      </c>
      <c r="G278" s="2">
        <v>3500</v>
      </c>
      <c r="H278" s="2">
        <v>62000</v>
      </c>
      <c r="I278" s="2" t="s">
        <v>15</v>
      </c>
      <c r="J278" s="2">
        <v>0</v>
      </c>
      <c r="K278" s="2">
        <v>680</v>
      </c>
      <c r="L278" s="2" t="s">
        <v>16</v>
      </c>
      <c r="M278" s="2" t="s">
        <v>81</v>
      </c>
      <c r="N278" s="2" t="s">
        <v>24</v>
      </c>
      <c r="O278">
        <v>14</v>
      </c>
    </row>
    <row r="279" spans="1:15" hidden="1" x14ac:dyDescent="0.3">
      <c r="A279">
        <f t="shared" si="2"/>
        <v>278</v>
      </c>
      <c r="B279" s="3" t="s">
        <v>107</v>
      </c>
      <c r="C279" s="3" t="s">
        <v>42</v>
      </c>
      <c r="D279" s="2">
        <v>53</v>
      </c>
      <c r="E279" s="2" t="s">
        <v>13</v>
      </c>
      <c r="F279" s="2" t="s">
        <v>21</v>
      </c>
      <c r="G279" s="2">
        <v>4000</v>
      </c>
      <c r="H279" s="2">
        <v>48000</v>
      </c>
      <c r="I279" s="2" t="s">
        <v>22</v>
      </c>
      <c r="J279" s="2">
        <v>5000</v>
      </c>
      <c r="K279" s="2">
        <v>710</v>
      </c>
      <c r="L279" s="2" t="s">
        <v>23</v>
      </c>
      <c r="M279" s="2" t="s">
        <v>81</v>
      </c>
      <c r="N279" s="2" t="s">
        <v>17</v>
      </c>
      <c r="O279">
        <v>5</v>
      </c>
    </row>
    <row r="280" spans="1:15" x14ac:dyDescent="0.3">
      <c r="A280">
        <f t="shared" ref="A280:A303" si="3">ROW()-1</f>
        <v>279</v>
      </c>
      <c r="B280" s="3" t="s">
        <v>108</v>
      </c>
      <c r="C280" s="3" t="s">
        <v>109</v>
      </c>
      <c r="D280" s="2">
        <v>28</v>
      </c>
      <c r="E280" s="2" t="s">
        <v>20</v>
      </c>
      <c r="F280" s="2" t="s">
        <v>14</v>
      </c>
      <c r="G280" s="2">
        <v>5500</v>
      </c>
      <c r="H280" s="2">
        <v>59000</v>
      </c>
      <c r="I280" s="2" t="s">
        <v>15</v>
      </c>
      <c r="J280" s="2">
        <v>0</v>
      </c>
      <c r="K280" s="2">
        <v>700</v>
      </c>
      <c r="L280" s="2" t="s">
        <v>27</v>
      </c>
      <c r="M280" s="2" t="s">
        <v>81</v>
      </c>
      <c r="N280" s="2" t="s">
        <v>24</v>
      </c>
      <c r="O280">
        <v>10</v>
      </c>
    </row>
    <row r="281" spans="1:15" hidden="1" x14ac:dyDescent="0.3">
      <c r="A281">
        <f t="shared" si="3"/>
        <v>280</v>
      </c>
      <c r="B281" s="3" t="s">
        <v>110</v>
      </c>
      <c r="C281" s="3" t="s">
        <v>111</v>
      </c>
      <c r="D281" s="2">
        <v>46</v>
      </c>
      <c r="E281" s="2" t="s">
        <v>13</v>
      </c>
      <c r="F281" s="2" t="s">
        <v>21</v>
      </c>
      <c r="G281" s="2">
        <v>9000</v>
      </c>
      <c r="H281" s="2">
        <v>73000</v>
      </c>
      <c r="I281" s="2" t="s">
        <v>22</v>
      </c>
      <c r="J281" s="2">
        <v>13000</v>
      </c>
      <c r="K281" s="2">
        <v>720</v>
      </c>
      <c r="L281" s="2" t="s">
        <v>30</v>
      </c>
      <c r="M281" s="2" t="s">
        <v>81</v>
      </c>
      <c r="N281" s="2" t="s">
        <v>17</v>
      </c>
      <c r="O281">
        <v>10</v>
      </c>
    </row>
    <row r="282" spans="1:15" x14ac:dyDescent="0.3">
      <c r="A282">
        <f t="shared" si="3"/>
        <v>281</v>
      </c>
      <c r="B282" s="3" t="s">
        <v>42</v>
      </c>
      <c r="C282" s="3" t="s">
        <v>112</v>
      </c>
      <c r="D282" s="2">
        <v>39</v>
      </c>
      <c r="E282" s="2" t="s">
        <v>20</v>
      </c>
      <c r="F282" s="2" t="s">
        <v>14</v>
      </c>
      <c r="G282" s="2">
        <v>4000</v>
      </c>
      <c r="H282" s="2">
        <v>65000</v>
      </c>
      <c r="I282" s="2" t="s">
        <v>15</v>
      </c>
      <c r="J282" s="2">
        <v>0</v>
      </c>
      <c r="K282" s="2">
        <v>680</v>
      </c>
      <c r="L282" s="2" t="s">
        <v>16</v>
      </c>
      <c r="M282" s="2" t="s">
        <v>81</v>
      </c>
      <c r="N282" s="2" t="s">
        <v>24</v>
      </c>
      <c r="O282">
        <v>7</v>
      </c>
    </row>
    <row r="283" spans="1:15" hidden="1" x14ac:dyDescent="0.3">
      <c r="A283">
        <f t="shared" si="3"/>
        <v>282</v>
      </c>
      <c r="B283" s="3" t="s">
        <v>31</v>
      </c>
      <c r="C283" s="3" t="s">
        <v>113</v>
      </c>
      <c r="D283" s="2">
        <v>27</v>
      </c>
      <c r="E283" s="2" t="s">
        <v>13</v>
      </c>
      <c r="F283" s="2" t="s">
        <v>21</v>
      </c>
      <c r="G283" s="2">
        <v>8000</v>
      </c>
      <c r="H283" s="2">
        <v>60000</v>
      </c>
      <c r="I283" s="2" t="s">
        <v>22</v>
      </c>
      <c r="J283" s="2">
        <v>8000</v>
      </c>
      <c r="K283" s="2">
        <v>710</v>
      </c>
      <c r="L283" s="2" t="s">
        <v>23</v>
      </c>
      <c r="M283" s="2" t="s">
        <v>81</v>
      </c>
      <c r="N283" s="2" t="s">
        <v>17</v>
      </c>
      <c r="O283">
        <v>5</v>
      </c>
    </row>
    <row r="284" spans="1:15" x14ac:dyDescent="0.3">
      <c r="A284">
        <f t="shared" si="3"/>
        <v>283</v>
      </c>
      <c r="B284" s="3" t="s">
        <v>114</v>
      </c>
      <c r="C284" s="3" t="s">
        <v>77</v>
      </c>
      <c r="D284" s="2">
        <v>34</v>
      </c>
      <c r="E284" s="2" t="s">
        <v>20</v>
      </c>
      <c r="F284" s="2" t="s">
        <v>14</v>
      </c>
      <c r="G284" s="2">
        <v>2500</v>
      </c>
      <c r="H284" s="2">
        <v>53000</v>
      </c>
      <c r="I284" s="2" t="s">
        <v>15</v>
      </c>
      <c r="J284" s="2">
        <v>0</v>
      </c>
      <c r="K284" s="2">
        <v>690</v>
      </c>
      <c r="L284" s="2" t="s">
        <v>27</v>
      </c>
      <c r="M284" s="2" t="s">
        <v>80</v>
      </c>
      <c r="N284" s="2" t="s">
        <v>24</v>
      </c>
      <c r="O284">
        <v>15</v>
      </c>
    </row>
    <row r="285" spans="1:15" hidden="1" x14ac:dyDescent="0.3">
      <c r="A285">
        <f t="shared" si="3"/>
        <v>284</v>
      </c>
      <c r="B285" s="3" t="s">
        <v>115</v>
      </c>
      <c r="C285" s="3" t="s">
        <v>44</v>
      </c>
      <c r="D285" s="2">
        <v>32</v>
      </c>
      <c r="E285" s="2" t="s">
        <v>13</v>
      </c>
      <c r="F285" s="2" t="s">
        <v>21</v>
      </c>
      <c r="G285" s="2">
        <v>12000</v>
      </c>
      <c r="H285" s="2">
        <v>68000</v>
      </c>
      <c r="I285" s="2" t="s">
        <v>22</v>
      </c>
      <c r="J285" s="2">
        <v>15000</v>
      </c>
      <c r="K285" s="2">
        <v>720</v>
      </c>
      <c r="L285" s="2" t="s">
        <v>30</v>
      </c>
      <c r="M285" s="2" t="s">
        <v>80</v>
      </c>
      <c r="N285" s="2" t="s">
        <v>17</v>
      </c>
      <c r="O285">
        <v>4</v>
      </c>
    </row>
    <row r="286" spans="1:15" x14ac:dyDescent="0.3">
      <c r="A286">
        <f t="shared" si="3"/>
        <v>285</v>
      </c>
      <c r="B286" s="3" t="s">
        <v>116</v>
      </c>
      <c r="C286" s="3" t="s">
        <v>36</v>
      </c>
      <c r="D286" s="2">
        <v>49</v>
      </c>
      <c r="E286" s="2" t="s">
        <v>20</v>
      </c>
      <c r="F286" s="2" t="s">
        <v>14</v>
      </c>
      <c r="G286" s="2">
        <v>7000</v>
      </c>
      <c r="H286" s="2">
        <v>71000</v>
      </c>
      <c r="I286" s="2" t="s">
        <v>15</v>
      </c>
      <c r="J286" s="2">
        <v>0</v>
      </c>
      <c r="K286" s="2">
        <v>680</v>
      </c>
      <c r="L286" s="2" t="s">
        <v>16</v>
      </c>
      <c r="M286" s="2" t="s">
        <v>80</v>
      </c>
      <c r="N286" s="2" t="s">
        <v>24</v>
      </c>
      <c r="O286">
        <v>15</v>
      </c>
    </row>
    <row r="287" spans="1:15" hidden="1" x14ac:dyDescent="0.3">
      <c r="A287">
        <f t="shared" si="3"/>
        <v>286</v>
      </c>
      <c r="B287" s="3" t="s">
        <v>117</v>
      </c>
      <c r="C287" s="3" t="s">
        <v>46</v>
      </c>
      <c r="D287" s="2">
        <v>24</v>
      </c>
      <c r="E287" s="2" t="s">
        <v>13</v>
      </c>
      <c r="F287" s="2" t="s">
        <v>21</v>
      </c>
      <c r="G287" s="2">
        <v>5000</v>
      </c>
      <c r="H287" s="2">
        <v>56000</v>
      </c>
      <c r="I287" s="2" t="s">
        <v>22</v>
      </c>
      <c r="J287" s="2">
        <v>10000</v>
      </c>
      <c r="K287" s="2">
        <v>700</v>
      </c>
      <c r="L287" s="2" t="s">
        <v>23</v>
      </c>
      <c r="M287" s="2" t="s">
        <v>80</v>
      </c>
      <c r="N287" s="2" t="s">
        <v>17</v>
      </c>
      <c r="O287">
        <v>3</v>
      </c>
    </row>
    <row r="288" spans="1:15" x14ac:dyDescent="0.3">
      <c r="A288">
        <f t="shared" si="3"/>
        <v>287</v>
      </c>
      <c r="B288" s="3" t="s">
        <v>53</v>
      </c>
      <c r="C288" s="3" t="s">
        <v>48</v>
      </c>
      <c r="D288" s="2">
        <v>29</v>
      </c>
      <c r="E288" s="2" t="s">
        <v>20</v>
      </c>
      <c r="F288" s="2" t="s">
        <v>14</v>
      </c>
      <c r="G288" s="2">
        <v>1500</v>
      </c>
      <c r="H288" s="2">
        <v>45000</v>
      </c>
      <c r="I288" s="2" t="s">
        <v>15</v>
      </c>
      <c r="J288" s="2">
        <v>0</v>
      </c>
      <c r="K288" s="2">
        <v>670</v>
      </c>
      <c r="L288" s="2" t="s">
        <v>27</v>
      </c>
      <c r="M288" s="2" t="s">
        <v>80</v>
      </c>
      <c r="N288" s="2" t="s">
        <v>24</v>
      </c>
      <c r="O288">
        <v>14</v>
      </c>
    </row>
    <row r="289" spans="1:15" hidden="1" x14ac:dyDescent="0.3">
      <c r="A289">
        <f t="shared" si="3"/>
        <v>288</v>
      </c>
      <c r="B289" s="3" t="s">
        <v>118</v>
      </c>
      <c r="C289" s="3" t="s">
        <v>50</v>
      </c>
      <c r="D289" s="2">
        <v>43</v>
      </c>
      <c r="E289" s="2" t="s">
        <v>13</v>
      </c>
      <c r="F289" s="2" t="s">
        <v>21</v>
      </c>
      <c r="G289" s="2">
        <v>11000</v>
      </c>
      <c r="H289" s="2">
        <v>74000</v>
      </c>
      <c r="I289" s="2" t="s">
        <v>22</v>
      </c>
      <c r="J289" s="2">
        <v>12000</v>
      </c>
      <c r="K289" s="2">
        <v>720</v>
      </c>
      <c r="L289" s="2" t="s">
        <v>30</v>
      </c>
      <c r="M289" s="2" t="s">
        <v>80</v>
      </c>
      <c r="N289" s="2" t="s">
        <v>17</v>
      </c>
      <c r="O289">
        <v>8</v>
      </c>
    </row>
    <row r="290" spans="1:15" x14ac:dyDescent="0.3">
      <c r="A290">
        <f t="shared" si="3"/>
        <v>289</v>
      </c>
      <c r="B290" s="3" t="s">
        <v>119</v>
      </c>
      <c r="C290" s="3" t="s">
        <v>120</v>
      </c>
      <c r="D290" s="2">
        <v>36</v>
      </c>
      <c r="E290" s="2" t="s">
        <v>20</v>
      </c>
      <c r="F290" s="2" t="s">
        <v>14</v>
      </c>
      <c r="G290" s="2">
        <v>8000</v>
      </c>
      <c r="H290" s="2">
        <v>63000</v>
      </c>
      <c r="I290" s="2" t="s">
        <v>15</v>
      </c>
      <c r="J290" s="2">
        <v>0</v>
      </c>
      <c r="K290" s="2">
        <v>710</v>
      </c>
      <c r="L290" s="2" t="s">
        <v>16</v>
      </c>
      <c r="M290" s="2" t="s">
        <v>79</v>
      </c>
      <c r="N290" s="2" t="s">
        <v>24</v>
      </c>
      <c r="O290">
        <v>15</v>
      </c>
    </row>
    <row r="291" spans="1:15" hidden="1" x14ac:dyDescent="0.3">
      <c r="A291">
        <f t="shared" si="3"/>
        <v>290</v>
      </c>
      <c r="B291" s="3" t="s">
        <v>121</v>
      </c>
      <c r="C291" s="3" t="s">
        <v>52</v>
      </c>
      <c r="D291" s="2">
        <v>28</v>
      </c>
      <c r="E291" s="2" t="s">
        <v>13</v>
      </c>
      <c r="F291" s="2" t="s">
        <v>21</v>
      </c>
      <c r="G291" s="2">
        <v>2000</v>
      </c>
      <c r="H291" s="2">
        <v>47000</v>
      </c>
      <c r="I291" s="2" t="s">
        <v>22</v>
      </c>
      <c r="J291" s="2">
        <v>5000</v>
      </c>
      <c r="K291" s="2">
        <v>680</v>
      </c>
      <c r="L291" s="2" t="s">
        <v>23</v>
      </c>
      <c r="M291" s="2" t="s">
        <v>79</v>
      </c>
      <c r="N291" s="2" t="s">
        <v>17</v>
      </c>
      <c r="O291">
        <v>9</v>
      </c>
    </row>
    <row r="292" spans="1:15" x14ac:dyDescent="0.3">
      <c r="A292">
        <f t="shared" si="3"/>
        <v>291</v>
      </c>
      <c r="B292" s="3" t="s">
        <v>122</v>
      </c>
      <c r="C292" s="3" t="s">
        <v>123</v>
      </c>
      <c r="D292" s="2">
        <v>31</v>
      </c>
      <c r="E292" s="2" t="s">
        <v>20</v>
      </c>
      <c r="F292" s="2" t="s">
        <v>14</v>
      </c>
      <c r="G292" s="2">
        <v>4000</v>
      </c>
      <c r="H292" s="2">
        <v>55000</v>
      </c>
      <c r="I292" s="2" t="s">
        <v>15</v>
      </c>
      <c r="J292" s="2">
        <v>0</v>
      </c>
      <c r="K292" s="2">
        <v>690</v>
      </c>
      <c r="L292" s="2" t="s">
        <v>27</v>
      </c>
      <c r="M292" s="2" t="s">
        <v>80</v>
      </c>
      <c r="N292" s="2" t="s">
        <v>24</v>
      </c>
      <c r="O292">
        <v>4</v>
      </c>
    </row>
    <row r="293" spans="1:15" hidden="1" x14ac:dyDescent="0.3">
      <c r="A293">
        <f t="shared" si="3"/>
        <v>292</v>
      </c>
      <c r="B293" s="3" t="s">
        <v>124</v>
      </c>
      <c r="C293" s="3" t="s">
        <v>54</v>
      </c>
      <c r="D293" s="2">
        <v>44</v>
      </c>
      <c r="E293" s="2" t="s">
        <v>13</v>
      </c>
      <c r="F293" s="2" t="s">
        <v>21</v>
      </c>
      <c r="G293" s="2">
        <v>6000</v>
      </c>
      <c r="H293" s="2">
        <v>62000</v>
      </c>
      <c r="I293" s="2" t="s">
        <v>22</v>
      </c>
      <c r="J293" s="2">
        <v>10000</v>
      </c>
      <c r="K293" s="2">
        <v>700</v>
      </c>
      <c r="L293" s="2" t="s">
        <v>30</v>
      </c>
      <c r="M293" s="2" t="s">
        <v>80</v>
      </c>
      <c r="N293" s="2" t="s">
        <v>17</v>
      </c>
      <c r="O293">
        <v>13</v>
      </c>
    </row>
    <row r="294" spans="1:15" x14ac:dyDescent="0.3">
      <c r="A294">
        <f t="shared" si="3"/>
        <v>293</v>
      </c>
      <c r="B294" s="3" t="s">
        <v>125</v>
      </c>
      <c r="C294" s="3" t="s">
        <v>58</v>
      </c>
      <c r="D294" s="2">
        <v>39</v>
      </c>
      <c r="E294" s="2" t="s">
        <v>20</v>
      </c>
      <c r="F294" s="2" t="s">
        <v>14</v>
      </c>
      <c r="G294" s="2">
        <v>9000</v>
      </c>
      <c r="H294" s="2">
        <v>67000</v>
      </c>
      <c r="I294" s="2" t="s">
        <v>15</v>
      </c>
      <c r="J294" s="2">
        <v>0</v>
      </c>
      <c r="K294" s="2">
        <v>720</v>
      </c>
      <c r="L294" s="2" t="s">
        <v>16</v>
      </c>
      <c r="M294" s="2" t="s">
        <v>80</v>
      </c>
      <c r="N294" s="2" t="s">
        <v>24</v>
      </c>
      <c r="O294">
        <v>5</v>
      </c>
    </row>
    <row r="295" spans="1:15" hidden="1" x14ac:dyDescent="0.3">
      <c r="A295">
        <f t="shared" si="3"/>
        <v>294</v>
      </c>
      <c r="B295" s="3" t="s">
        <v>126</v>
      </c>
      <c r="C295" s="3" t="s">
        <v>56</v>
      </c>
      <c r="D295" s="2">
        <v>27</v>
      </c>
      <c r="E295" s="2" t="s">
        <v>13</v>
      </c>
      <c r="F295" s="2" t="s">
        <v>21</v>
      </c>
      <c r="G295" s="2">
        <v>2500</v>
      </c>
      <c r="H295" s="2">
        <v>49000</v>
      </c>
      <c r="I295" s="2" t="s">
        <v>22</v>
      </c>
      <c r="J295" s="2">
        <v>7000</v>
      </c>
      <c r="K295" s="2">
        <v>680</v>
      </c>
      <c r="L295" s="2" t="s">
        <v>23</v>
      </c>
      <c r="M295" s="2" t="s">
        <v>81</v>
      </c>
      <c r="N295" s="2" t="s">
        <v>17</v>
      </c>
      <c r="O295">
        <v>11</v>
      </c>
    </row>
    <row r="296" spans="1:15" x14ac:dyDescent="0.3">
      <c r="A296">
        <f t="shared" si="3"/>
        <v>295</v>
      </c>
      <c r="B296" s="3" t="s">
        <v>127</v>
      </c>
      <c r="C296" s="3" t="s">
        <v>60</v>
      </c>
      <c r="D296" s="2">
        <v>40</v>
      </c>
      <c r="E296" s="2" t="s">
        <v>20</v>
      </c>
      <c r="F296" s="2" t="s">
        <v>14</v>
      </c>
      <c r="G296" s="2">
        <v>7000</v>
      </c>
      <c r="H296" s="2">
        <v>71000</v>
      </c>
      <c r="I296" s="2" t="s">
        <v>15</v>
      </c>
      <c r="J296" s="2">
        <v>0</v>
      </c>
      <c r="K296" s="2">
        <v>710</v>
      </c>
      <c r="L296" s="2" t="s">
        <v>27</v>
      </c>
      <c r="M296" s="2" t="s">
        <v>81</v>
      </c>
      <c r="N296" s="2" t="s">
        <v>24</v>
      </c>
      <c r="O296">
        <v>4</v>
      </c>
    </row>
    <row r="297" spans="1:15" hidden="1" x14ac:dyDescent="0.3">
      <c r="A297">
        <f t="shared" si="3"/>
        <v>296</v>
      </c>
      <c r="B297" s="3" t="s">
        <v>128</v>
      </c>
      <c r="C297" s="3" t="s">
        <v>129</v>
      </c>
      <c r="D297" s="2">
        <v>34</v>
      </c>
      <c r="E297" s="2" t="s">
        <v>13</v>
      </c>
      <c r="F297" s="2" t="s">
        <v>21</v>
      </c>
      <c r="G297" s="2">
        <v>15000</v>
      </c>
      <c r="H297" s="2">
        <v>73000</v>
      </c>
      <c r="I297" s="2" t="s">
        <v>22</v>
      </c>
      <c r="J297" s="2">
        <v>13000</v>
      </c>
      <c r="K297" s="2">
        <v>720</v>
      </c>
      <c r="L297" s="2" t="s">
        <v>30</v>
      </c>
      <c r="M297" s="2" t="s">
        <v>81</v>
      </c>
      <c r="N297" s="2" t="s">
        <v>17</v>
      </c>
      <c r="O297">
        <v>14</v>
      </c>
    </row>
    <row r="298" spans="1:15" x14ac:dyDescent="0.3">
      <c r="A298">
        <f t="shared" si="3"/>
        <v>297</v>
      </c>
      <c r="B298" s="3" t="s">
        <v>130</v>
      </c>
      <c r="C298" s="3" t="s">
        <v>62</v>
      </c>
      <c r="D298" s="2">
        <v>29</v>
      </c>
      <c r="E298" s="2" t="s">
        <v>20</v>
      </c>
      <c r="F298" s="2" t="s">
        <v>14</v>
      </c>
      <c r="G298" s="2">
        <v>2500</v>
      </c>
      <c r="H298" s="2">
        <v>47000</v>
      </c>
      <c r="I298" s="2" t="s">
        <v>15</v>
      </c>
      <c r="J298" s="2">
        <v>0</v>
      </c>
      <c r="K298" s="2">
        <v>680</v>
      </c>
      <c r="L298" s="2" t="s">
        <v>16</v>
      </c>
      <c r="M298" s="2" t="s">
        <v>79</v>
      </c>
      <c r="N298" s="2" t="s">
        <v>24</v>
      </c>
      <c r="O298">
        <v>7</v>
      </c>
    </row>
    <row r="299" spans="1:15" hidden="1" x14ac:dyDescent="0.3">
      <c r="A299">
        <f t="shared" si="3"/>
        <v>298</v>
      </c>
      <c r="B299" s="3" t="s">
        <v>131</v>
      </c>
      <c r="C299" s="3" t="s">
        <v>64</v>
      </c>
      <c r="D299" s="2">
        <v>31</v>
      </c>
      <c r="E299" s="2" t="s">
        <v>13</v>
      </c>
      <c r="F299" s="2" t="s">
        <v>21</v>
      </c>
      <c r="G299" s="2">
        <v>5000</v>
      </c>
      <c r="H299" s="2">
        <v>53000</v>
      </c>
      <c r="I299" s="2" t="s">
        <v>22</v>
      </c>
      <c r="J299" s="2">
        <v>8000</v>
      </c>
      <c r="K299" s="2">
        <v>690</v>
      </c>
      <c r="L299" s="2" t="s">
        <v>23</v>
      </c>
      <c r="M299" s="2" t="s">
        <v>79</v>
      </c>
      <c r="N299" s="2" t="s">
        <v>17</v>
      </c>
      <c r="O299">
        <v>6</v>
      </c>
    </row>
    <row r="300" spans="1:15" x14ac:dyDescent="0.3">
      <c r="A300">
        <f t="shared" si="3"/>
        <v>299</v>
      </c>
      <c r="B300" s="3" t="s">
        <v>132</v>
      </c>
      <c r="C300" s="3" t="s">
        <v>68</v>
      </c>
      <c r="D300" s="2">
        <v>42</v>
      </c>
      <c r="E300" s="2" t="s">
        <v>20</v>
      </c>
      <c r="F300" s="2" t="s">
        <v>14</v>
      </c>
      <c r="G300" s="2">
        <v>6000</v>
      </c>
      <c r="H300" s="2">
        <v>69000</v>
      </c>
      <c r="I300" s="2" t="s">
        <v>15</v>
      </c>
      <c r="J300" s="2">
        <v>0</v>
      </c>
      <c r="K300" s="2">
        <v>720</v>
      </c>
      <c r="L300" s="2" t="s">
        <v>27</v>
      </c>
      <c r="M300" s="2" t="s">
        <v>79</v>
      </c>
      <c r="N300" s="2" t="s">
        <v>24</v>
      </c>
      <c r="O300">
        <v>4</v>
      </c>
    </row>
    <row r="301" spans="1:15" hidden="1" x14ac:dyDescent="0.3">
      <c r="A301">
        <f t="shared" si="3"/>
        <v>300</v>
      </c>
      <c r="B301" s="3" t="s">
        <v>133</v>
      </c>
      <c r="C301" s="3" t="s">
        <v>66</v>
      </c>
      <c r="D301" s="2">
        <v>36</v>
      </c>
      <c r="E301" s="2" t="s">
        <v>13</v>
      </c>
      <c r="F301" s="2" t="s">
        <v>21</v>
      </c>
      <c r="G301" s="2">
        <v>2000</v>
      </c>
      <c r="H301" s="2">
        <v>45000</v>
      </c>
      <c r="I301" s="2" t="s">
        <v>22</v>
      </c>
      <c r="J301" s="2">
        <v>5000</v>
      </c>
      <c r="K301" s="2">
        <v>700</v>
      </c>
      <c r="L301" s="2" t="s">
        <v>30</v>
      </c>
      <c r="M301" s="2" t="s">
        <v>79</v>
      </c>
      <c r="N301" s="2" t="s">
        <v>17</v>
      </c>
      <c r="O301">
        <v>7</v>
      </c>
    </row>
    <row r="302" spans="1:15" x14ac:dyDescent="0.3">
      <c r="A302">
        <f t="shared" si="3"/>
        <v>301</v>
      </c>
      <c r="B302" s="3" t="s">
        <v>134</v>
      </c>
      <c r="C302" s="3" t="s">
        <v>135</v>
      </c>
      <c r="D302" s="2">
        <v>48</v>
      </c>
      <c r="E302" s="2" t="s">
        <v>20</v>
      </c>
      <c r="F302" s="2" t="s">
        <v>14</v>
      </c>
      <c r="G302" s="2">
        <v>8000</v>
      </c>
      <c r="H302" s="2">
        <v>74000</v>
      </c>
      <c r="I302" s="2" t="s">
        <v>15</v>
      </c>
      <c r="J302" s="2">
        <v>0</v>
      </c>
      <c r="K302" s="2">
        <v>680</v>
      </c>
      <c r="L302" s="2" t="s">
        <v>16</v>
      </c>
      <c r="M302" s="2" t="s">
        <v>80</v>
      </c>
      <c r="N302" s="2" t="s">
        <v>24</v>
      </c>
      <c r="O302">
        <v>13</v>
      </c>
    </row>
    <row r="303" spans="1:15" hidden="1" x14ac:dyDescent="0.3">
      <c r="A303">
        <f t="shared" si="3"/>
        <v>302</v>
      </c>
      <c r="B303" s="3" t="s">
        <v>136</v>
      </c>
      <c r="C303" s="3" t="s">
        <v>70</v>
      </c>
      <c r="D303" s="2">
        <v>33</v>
      </c>
      <c r="E303" s="2" t="s">
        <v>13</v>
      </c>
      <c r="F303" s="2" t="s">
        <v>21</v>
      </c>
      <c r="G303" s="2">
        <v>4000</v>
      </c>
      <c r="H303" s="2">
        <v>60000</v>
      </c>
      <c r="I303" s="2" t="s">
        <v>22</v>
      </c>
      <c r="J303" s="2">
        <v>8000</v>
      </c>
      <c r="K303" s="2">
        <v>720</v>
      </c>
      <c r="L303" s="2" t="s">
        <v>23</v>
      </c>
      <c r="M303" s="2" t="s">
        <v>80</v>
      </c>
      <c r="N303" s="2" t="s">
        <v>17</v>
      </c>
      <c r="O303">
        <v>4</v>
      </c>
    </row>
    <row r="304" spans="1:15" x14ac:dyDescent="0.3">
      <c r="A304">
        <v>303</v>
      </c>
      <c r="B304" s="3" t="s">
        <v>154</v>
      </c>
      <c r="C304" s="3" t="s">
        <v>188</v>
      </c>
      <c r="D304" s="2">
        <v>36</v>
      </c>
      <c r="E304" s="2" t="s">
        <v>13</v>
      </c>
      <c r="F304" s="2" t="s">
        <v>14</v>
      </c>
      <c r="G304" s="2">
        <v>2500</v>
      </c>
      <c r="H304" s="2">
        <v>55000</v>
      </c>
      <c r="I304" s="2" t="s">
        <v>15</v>
      </c>
      <c r="J304" s="2">
        <v>0</v>
      </c>
      <c r="K304" s="2">
        <v>720</v>
      </c>
      <c r="L304" s="2" t="s">
        <v>16</v>
      </c>
      <c r="M304" s="2" t="s">
        <v>79</v>
      </c>
      <c r="N304" s="2" t="s">
        <v>24</v>
      </c>
      <c r="O304">
        <v>15</v>
      </c>
    </row>
    <row r="305" spans="1:15" hidden="1" x14ac:dyDescent="0.3">
      <c r="A305">
        <f t="shared" ref="A305:A350" si="4">ROW()-1</f>
        <v>304</v>
      </c>
      <c r="B305" s="3" t="s">
        <v>160</v>
      </c>
      <c r="C305" s="3" t="s">
        <v>143</v>
      </c>
      <c r="D305" s="2">
        <v>29</v>
      </c>
      <c r="E305" s="2" t="s">
        <v>20</v>
      </c>
      <c r="F305" s="2" t="s">
        <v>21</v>
      </c>
      <c r="G305" s="2">
        <v>8000</v>
      </c>
      <c r="H305" s="2">
        <v>62000</v>
      </c>
      <c r="I305" s="2" t="s">
        <v>22</v>
      </c>
      <c r="J305" s="2">
        <v>0</v>
      </c>
      <c r="K305" s="2">
        <v>680</v>
      </c>
      <c r="L305" s="2" t="s">
        <v>23</v>
      </c>
      <c r="M305" s="2" t="s">
        <v>80</v>
      </c>
      <c r="N305" s="2" t="s">
        <v>17</v>
      </c>
      <c r="O305">
        <v>4</v>
      </c>
    </row>
    <row r="306" spans="1:15" x14ac:dyDescent="0.3">
      <c r="A306">
        <f t="shared" si="4"/>
        <v>305</v>
      </c>
      <c r="B306" s="3" t="s">
        <v>76</v>
      </c>
      <c r="C306" s="3" t="s">
        <v>159</v>
      </c>
      <c r="D306" s="2">
        <v>38</v>
      </c>
      <c r="E306" s="2" t="s">
        <v>20</v>
      </c>
      <c r="F306" s="2" t="s">
        <v>14</v>
      </c>
      <c r="G306" s="2">
        <v>12000</v>
      </c>
      <c r="H306" s="2">
        <v>75000</v>
      </c>
      <c r="I306" s="2" t="s">
        <v>15</v>
      </c>
      <c r="J306" s="2">
        <v>0</v>
      </c>
      <c r="K306" s="2">
        <v>750</v>
      </c>
      <c r="L306" s="2" t="s">
        <v>27</v>
      </c>
      <c r="M306" s="2" t="s">
        <v>81</v>
      </c>
      <c r="N306" s="2" t="s">
        <v>24</v>
      </c>
      <c r="O306">
        <v>15</v>
      </c>
    </row>
    <row r="307" spans="1:15" hidden="1" x14ac:dyDescent="0.3">
      <c r="A307">
        <f t="shared" si="4"/>
        <v>306</v>
      </c>
      <c r="B307" s="3" t="s">
        <v>275</v>
      </c>
      <c r="C307" s="3" t="s">
        <v>62</v>
      </c>
      <c r="D307" s="2">
        <v>34</v>
      </c>
      <c r="E307" s="2" t="s">
        <v>13</v>
      </c>
      <c r="F307" s="2" t="s">
        <v>21</v>
      </c>
      <c r="G307" s="2">
        <v>3000</v>
      </c>
      <c r="H307" s="2">
        <v>48000</v>
      </c>
      <c r="I307" s="2" t="s">
        <v>22</v>
      </c>
      <c r="J307" s="2">
        <v>0</v>
      </c>
      <c r="K307" s="2">
        <v>690</v>
      </c>
      <c r="L307" s="2" t="s">
        <v>30</v>
      </c>
      <c r="M307" s="2" t="s">
        <v>79</v>
      </c>
      <c r="N307" s="2" t="s">
        <v>17</v>
      </c>
      <c r="O307">
        <v>14</v>
      </c>
    </row>
    <row r="308" spans="1:15" x14ac:dyDescent="0.3">
      <c r="A308">
        <f t="shared" si="4"/>
        <v>307</v>
      </c>
      <c r="B308" s="3" t="s">
        <v>257</v>
      </c>
      <c r="C308" s="3" t="s">
        <v>44</v>
      </c>
      <c r="D308" s="2">
        <v>29</v>
      </c>
      <c r="E308" s="2" t="s">
        <v>20</v>
      </c>
      <c r="F308" s="2" t="s">
        <v>14</v>
      </c>
      <c r="G308" s="2">
        <v>5000</v>
      </c>
      <c r="H308" s="2">
        <v>58000</v>
      </c>
      <c r="I308" s="2" t="s">
        <v>15</v>
      </c>
      <c r="J308" s="2">
        <v>0</v>
      </c>
      <c r="K308" s="2">
        <v>710</v>
      </c>
      <c r="L308" s="2" t="s">
        <v>16</v>
      </c>
      <c r="M308" s="2" t="s">
        <v>79</v>
      </c>
      <c r="N308" s="2" t="s">
        <v>24</v>
      </c>
      <c r="O308">
        <v>10</v>
      </c>
    </row>
    <row r="309" spans="1:15" hidden="1" x14ac:dyDescent="0.3">
      <c r="A309">
        <f t="shared" si="4"/>
        <v>308</v>
      </c>
      <c r="B309" s="3" t="s">
        <v>276</v>
      </c>
      <c r="C309" s="3" t="s">
        <v>37</v>
      </c>
      <c r="D309" s="2">
        <v>45</v>
      </c>
      <c r="E309" s="2" t="s">
        <v>13</v>
      </c>
      <c r="F309" s="2" t="s">
        <v>21</v>
      </c>
      <c r="G309" s="2">
        <v>6000</v>
      </c>
      <c r="H309" s="2">
        <v>70000</v>
      </c>
      <c r="I309" s="2" t="s">
        <v>22</v>
      </c>
      <c r="J309" s="2">
        <v>0</v>
      </c>
      <c r="K309" s="2">
        <v>700</v>
      </c>
      <c r="L309" s="2" t="s">
        <v>23</v>
      </c>
      <c r="M309" s="2" t="s">
        <v>79</v>
      </c>
      <c r="N309" s="2" t="s">
        <v>17</v>
      </c>
      <c r="O309">
        <v>14</v>
      </c>
    </row>
    <row r="310" spans="1:15" x14ac:dyDescent="0.3">
      <c r="A310">
        <f t="shared" si="4"/>
        <v>309</v>
      </c>
      <c r="B310" s="3" t="s">
        <v>277</v>
      </c>
      <c r="C310" s="3" t="s">
        <v>163</v>
      </c>
      <c r="D310" s="2">
        <v>52</v>
      </c>
      <c r="E310" s="2" t="s">
        <v>20</v>
      </c>
      <c r="F310" s="2" t="s">
        <v>14</v>
      </c>
      <c r="G310" s="2">
        <v>15000</v>
      </c>
      <c r="H310" s="2">
        <v>82000</v>
      </c>
      <c r="I310" s="2" t="s">
        <v>15</v>
      </c>
      <c r="J310" s="2">
        <v>0</v>
      </c>
      <c r="K310" s="2">
        <v>730</v>
      </c>
      <c r="L310" s="2" t="s">
        <v>27</v>
      </c>
      <c r="M310" s="2" t="s">
        <v>79</v>
      </c>
      <c r="N310" s="2" t="s">
        <v>24</v>
      </c>
      <c r="O310">
        <v>15</v>
      </c>
    </row>
    <row r="311" spans="1:15" x14ac:dyDescent="0.3">
      <c r="A311">
        <f t="shared" si="4"/>
        <v>310</v>
      </c>
      <c r="B311" s="3" t="s">
        <v>278</v>
      </c>
      <c r="C311" s="3" t="s">
        <v>229</v>
      </c>
      <c r="D311" s="2">
        <v>37</v>
      </c>
      <c r="E311" s="2" t="s">
        <v>13</v>
      </c>
      <c r="F311" s="2" t="s">
        <v>21</v>
      </c>
      <c r="G311" s="2">
        <v>2000</v>
      </c>
      <c r="H311" s="2">
        <v>43000</v>
      </c>
      <c r="I311" s="2" t="s">
        <v>15</v>
      </c>
      <c r="J311" s="2">
        <v>0</v>
      </c>
      <c r="K311" s="2">
        <v>670</v>
      </c>
      <c r="L311" s="2" t="s">
        <v>30</v>
      </c>
      <c r="M311" s="2" t="s">
        <v>80</v>
      </c>
      <c r="N311" s="2" t="s">
        <v>17</v>
      </c>
      <c r="O311">
        <v>13</v>
      </c>
    </row>
    <row r="312" spans="1:15" hidden="1" x14ac:dyDescent="0.3">
      <c r="A312">
        <f t="shared" si="4"/>
        <v>311</v>
      </c>
      <c r="B312" s="3" t="s">
        <v>279</v>
      </c>
      <c r="C312" s="3" t="s">
        <v>70</v>
      </c>
      <c r="D312" s="2">
        <v>30</v>
      </c>
      <c r="E312" s="2" t="s">
        <v>20</v>
      </c>
      <c r="F312" s="2" t="s">
        <v>14</v>
      </c>
      <c r="G312" s="2">
        <v>7000</v>
      </c>
      <c r="H312" s="2">
        <v>55000</v>
      </c>
      <c r="I312" s="2" t="s">
        <v>22</v>
      </c>
      <c r="J312" s="2">
        <v>13000</v>
      </c>
      <c r="K312" s="2">
        <v>720</v>
      </c>
      <c r="L312" s="2" t="s">
        <v>16</v>
      </c>
      <c r="M312" s="2" t="s">
        <v>80</v>
      </c>
      <c r="N312" s="2" t="s">
        <v>24</v>
      </c>
      <c r="O312">
        <v>7</v>
      </c>
    </row>
    <row r="313" spans="1:15" x14ac:dyDescent="0.3">
      <c r="A313">
        <f t="shared" si="4"/>
        <v>312</v>
      </c>
      <c r="B313" s="3" t="s">
        <v>280</v>
      </c>
      <c r="C313" s="3" t="s">
        <v>38</v>
      </c>
      <c r="D313" s="2">
        <v>40</v>
      </c>
      <c r="E313" s="2" t="s">
        <v>13</v>
      </c>
      <c r="F313" s="2" t="s">
        <v>21</v>
      </c>
      <c r="G313" s="2">
        <v>11000</v>
      </c>
      <c r="H313" s="2">
        <v>65000</v>
      </c>
      <c r="I313" s="2" t="s">
        <v>15</v>
      </c>
      <c r="J313" s="2">
        <v>0</v>
      </c>
      <c r="K313" s="2">
        <v>740</v>
      </c>
      <c r="L313" s="2" t="s">
        <v>23</v>
      </c>
      <c r="M313" s="2" t="s">
        <v>81</v>
      </c>
      <c r="N313" s="2" t="s">
        <v>17</v>
      </c>
      <c r="O313">
        <v>5</v>
      </c>
    </row>
    <row r="314" spans="1:15" x14ac:dyDescent="0.3">
      <c r="A314">
        <f t="shared" si="4"/>
        <v>313</v>
      </c>
      <c r="B314" s="3" t="s">
        <v>192</v>
      </c>
      <c r="C314" s="3" t="s">
        <v>205</v>
      </c>
      <c r="D314" s="2">
        <v>25</v>
      </c>
      <c r="E314" s="2" t="s">
        <v>20</v>
      </c>
      <c r="F314" s="2" t="s">
        <v>14</v>
      </c>
      <c r="G314" s="2">
        <v>4500</v>
      </c>
      <c r="H314" s="2">
        <v>47000</v>
      </c>
      <c r="I314" s="2" t="s">
        <v>15</v>
      </c>
      <c r="J314" s="2">
        <v>0</v>
      </c>
      <c r="K314" s="2">
        <v>690</v>
      </c>
      <c r="L314" s="2" t="s">
        <v>27</v>
      </c>
      <c r="M314" s="2" t="s">
        <v>79</v>
      </c>
      <c r="N314" s="2" t="s">
        <v>24</v>
      </c>
      <c r="O314">
        <v>3</v>
      </c>
    </row>
    <row r="315" spans="1:15" hidden="1" x14ac:dyDescent="0.3">
      <c r="A315">
        <f t="shared" si="4"/>
        <v>314</v>
      </c>
      <c r="B315" s="3" t="s">
        <v>281</v>
      </c>
      <c r="C315" s="3" t="s">
        <v>171</v>
      </c>
      <c r="D315" s="2">
        <v>31</v>
      </c>
      <c r="E315" s="2" t="s">
        <v>13</v>
      </c>
      <c r="F315" s="2" t="s">
        <v>21</v>
      </c>
      <c r="G315" s="2">
        <v>10000</v>
      </c>
      <c r="H315" s="2">
        <v>72000</v>
      </c>
      <c r="I315" s="2" t="s">
        <v>22</v>
      </c>
      <c r="J315" s="2">
        <v>0</v>
      </c>
      <c r="K315" s="2">
        <v>700</v>
      </c>
      <c r="L315" s="2" t="s">
        <v>30</v>
      </c>
      <c r="M315" s="2" t="s">
        <v>81</v>
      </c>
      <c r="N315" s="2" t="s">
        <v>17</v>
      </c>
      <c r="O315">
        <v>8</v>
      </c>
    </row>
    <row r="316" spans="1:15" x14ac:dyDescent="0.3">
      <c r="A316">
        <f t="shared" si="4"/>
        <v>315</v>
      </c>
      <c r="B316" s="3" t="s">
        <v>133</v>
      </c>
      <c r="C316" s="3" t="s">
        <v>155</v>
      </c>
      <c r="D316" s="2">
        <v>44</v>
      </c>
      <c r="E316" s="2" t="s">
        <v>20</v>
      </c>
      <c r="F316" s="2" t="s">
        <v>14</v>
      </c>
      <c r="G316" s="2">
        <v>3500</v>
      </c>
      <c r="H316" s="2">
        <v>53000</v>
      </c>
      <c r="I316" s="2" t="s">
        <v>15</v>
      </c>
      <c r="J316" s="2">
        <v>0</v>
      </c>
      <c r="K316" s="2">
        <v>680</v>
      </c>
      <c r="L316" s="2" t="s">
        <v>16</v>
      </c>
      <c r="M316" s="2" t="s">
        <v>80</v>
      </c>
      <c r="N316" s="2" t="s">
        <v>24</v>
      </c>
      <c r="O316">
        <v>4</v>
      </c>
    </row>
    <row r="317" spans="1:15" hidden="1" x14ac:dyDescent="0.3">
      <c r="A317">
        <f t="shared" si="4"/>
        <v>316</v>
      </c>
      <c r="B317" s="3" t="s">
        <v>282</v>
      </c>
      <c r="C317" s="3" t="s">
        <v>111</v>
      </c>
      <c r="D317" s="2">
        <v>28</v>
      </c>
      <c r="E317" s="2" t="s">
        <v>13</v>
      </c>
      <c r="F317" s="2" t="s">
        <v>21</v>
      </c>
      <c r="G317" s="2">
        <v>8000</v>
      </c>
      <c r="H317" s="2">
        <v>60000</v>
      </c>
      <c r="I317" s="2" t="s">
        <v>22</v>
      </c>
      <c r="J317" s="2">
        <v>0</v>
      </c>
      <c r="K317" s="2">
        <v>710</v>
      </c>
      <c r="L317" s="2" t="s">
        <v>23</v>
      </c>
      <c r="M317" s="2" t="s">
        <v>79</v>
      </c>
      <c r="N317" s="2" t="s">
        <v>17</v>
      </c>
      <c r="O317">
        <v>3</v>
      </c>
    </row>
    <row r="318" spans="1:15" x14ac:dyDescent="0.3">
      <c r="A318">
        <f t="shared" si="4"/>
        <v>317</v>
      </c>
      <c r="B318" s="3" t="s">
        <v>254</v>
      </c>
      <c r="C318" s="3" t="s">
        <v>165</v>
      </c>
      <c r="D318" s="2">
        <v>39</v>
      </c>
      <c r="E318" s="2" t="s">
        <v>20</v>
      </c>
      <c r="F318" s="2" t="s">
        <v>14</v>
      </c>
      <c r="G318" s="2">
        <v>13000</v>
      </c>
      <c r="H318" s="2">
        <v>85000</v>
      </c>
      <c r="I318" s="2" t="s">
        <v>15</v>
      </c>
      <c r="J318" s="2">
        <v>0</v>
      </c>
      <c r="K318" s="2">
        <v>740</v>
      </c>
      <c r="L318" s="2" t="s">
        <v>27</v>
      </c>
      <c r="M318" s="2" t="s">
        <v>81</v>
      </c>
      <c r="N318" s="2" t="s">
        <v>24</v>
      </c>
      <c r="O318">
        <v>7</v>
      </c>
    </row>
    <row r="319" spans="1:15" hidden="1" x14ac:dyDescent="0.3">
      <c r="A319">
        <f t="shared" si="4"/>
        <v>318</v>
      </c>
      <c r="B319" s="3" t="s">
        <v>134</v>
      </c>
      <c r="C319" s="3" t="s">
        <v>212</v>
      </c>
      <c r="D319" s="2">
        <v>26</v>
      </c>
      <c r="E319" s="2" t="s">
        <v>13</v>
      </c>
      <c r="F319" s="2" t="s">
        <v>21</v>
      </c>
      <c r="G319" s="2">
        <v>4000</v>
      </c>
      <c r="H319" s="2">
        <v>49000</v>
      </c>
      <c r="I319" s="2" t="s">
        <v>22</v>
      </c>
      <c r="J319" s="2">
        <v>0</v>
      </c>
      <c r="K319" s="2">
        <v>690</v>
      </c>
      <c r="L319" s="2" t="s">
        <v>30</v>
      </c>
      <c r="M319" s="2" t="s">
        <v>79</v>
      </c>
      <c r="N319" s="2" t="s">
        <v>17</v>
      </c>
      <c r="O319">
        <v>12</v>
      </c>
    </row>
    <row r="320" spans="1:15" x14ac:dyDescent="0.3">
      <c r="A320">
        <f t="shared" si="4"/>
        <v>319</v>
      </c>
      <c r="B320" s="3" t="s">
        <v>283</v>
      </c>
      <c r="C320" s="3" t="s">
        <v>147</v>
      </c>
      <c r="D320" s="2">
        <v>33</v>
      </c>
      <c r="E320" s="2" t="s">
        <v>13</v>
      </c>
      <c r="F320" s="2" t="s">
        <v>14</v>
      </c>
      <c r="G320" s="2">
        <v>2200</v>
      </c>
      <c r="H320" s="2">
        <v>45000</v>
      </c>
      <c r="I320" s="2" t="s">
        <v>15</v>
      </c>
      <c r="J320" s="2">
        <v>0</v>
      </c>
      <c r="K320" s="2">
        <v>670</v>
      </c>
      <c r="L320" s="2" t="s">
        <v>16</v>
      </c>
      <c r="M320" s="2" t="s">
        <v>80</v>
      </c>
      <c r="N320" s="2" t="s">
        <v>24</v>
      </c>
      <c r="O320">
        <v>11</v>
      </c>
    </row>
    <row r="321" spans="1:15" hidden="1" x14ac:dyDescent="0.3">
      <c r="A321">
        <f t="shared" si="4"/>
        <v>320</v>
      </c>
      <c r="B321" s="3" t="s">
        <v>273</v>
      </c>
      <c r="C321" s="3" t="s">
        <v>145</v>
      </c>
      <c r="D321" s="2">
        <v>46</v>
      </c>
      <c r="E321" s="2" t="s">
        <v>13</v>
      </c>
      <c r="F321" s="2" t="s">
        <v>21</v>
      </c>
      <c r="G321" s="2">
        <v>15000</v>
      </c>
      <c r="H321" s="2">
        <v>77000</v>
      </c>
      <c r="I321" s="2" t="s">
        <v>22</v>
      </c>
      <c r="J321" s="2">
        <v>0</v>
      </c>
      <c r="K321" s="2">
        <v>720</v>
      </c>
      <c r="L321" s="2" t="s">
        <v>23</v>
      </c>
      <c r="M321" s="2" t="s">
        <v>81</v>
      </c>
      <c r="N321" s="2" t="s">
        <v>17</v>
      </c>
      <c r="O321">
        <v>3</v>
      </c>
    </row>
    <row r="322" spans="1:15" x14ac:dyDescent="0.3">
      <c r="A322">
        <f t="shared" si="4"/>
        <v>321</v>
      </c>
      <c r="B322" s="3" t="s">
        <v>284</v>
      </c>
      <c r="C322" s="3" t="s">
        <v>175</v>
      </c>
      <c r="D322" s="2">
        <v>52</v>
      </c>
      <c r="E322" s="2" t="s">
        <v>20</v>
      </c>
      <c r="F322" s="2" t="s">
        <v>14</v>
      </c>
      <c r="G322" s="2">
        <v>4000</v>
      </c>
      <c r="H322" s="2">
        <v>50000</v>
      </c>
      <c r="I322" s="2" t="s">
        <v>15</v>
      </c>
      <c r="J322" s="2">
        <v>0</v>
      </c>
      <c r="K322" s="2">
        <v>680</v>
      </c>
      <c r="L322" s="2" t="s">
        <v>27</v>
      </c>
      <c r="M322" s="2" t="s">
        <v>79</v>
      </c>
      <c r="N322" s="2" t="s">
        <v>24</v>
      </c>
      <c r="O322">
        <v>5</v>
      </c>
    </row>
    <row r="323" spans="1:15" hidden="1" x14ac:dyDescent="0.3">
      <c r="A323">
        <f t="shared" si="4"/>
        <v>322</v>
      </c>
      <c r="B323" s="3" t="s">
        <v>140</v>
      </c>
      <c r="C323" s="3" t="s">
        <v>153</v>
      </c>
      <c r="D323" s="2">
        <v>24</v>
      </c>
      <c r="E323" s="2" t="s">
        <v>13</v>
      </c>
      <c r="F323" s="2" t="s">
        <v>14</v>
      </c>
      <c r="G323" s="2">
        <v>9000</v>
      </c>
      <c r="H323" s="2">
        <v>69000</v>
      </c>
      <c r="I323" s="2" t="s">
        <v>22</v>
      </c>
      <c r="J323" s="2">
        <v>0</v>
      </c>
      <c r="K323" s="2">
        <v>700</v>
      </c>
      <c r="L323" s="2" t="s">
        <v>30</v>
      </c>
      <c r="M323" s="2" t="s">
        <v>81</v>
      </c>
      <c r="N323" s="2" t="s">
        <v>17</v>
      </c>
      <c r="O323">
        <v>3</v>
      </c>
    </row>
    <row r="324" spans="1:15" x14ac:dyDescent="0.3">
      <c r="A324">
        <f t="shared" si="4"/>
        <v>323</v>
      </c>
      <c r="B324" s="3" t="s">
        <v>285</v>
      </c>
      <c r="C324" s="3" t="s">
        <v>171</v>
      </c>
      <c r="D324" s="2">
        <v>38</v>
      </c>
      <c r="E324" s="2" t="s">
        <v>20</v>
      </c>
      <c r="F324" s="2" t="s">
        <v>21</v>
      </c>
      <c r="G324" s="2">
        <v>5500</v>
      </c>
      <c r="H324" s="2">
        <v>54000</v>
      </c>
      <c r="I324" s="2" t="s">
        <v>15</v>
      </c>
      <c r="J324" s="2">
        <v>0</v>
      </c>
      <c r="K324" s="2">
        <v>710</v>
      </c>
      <c r="L324" s="2" t="s">
        <v>16</v>
      </c>
      <c r="M324" s="2" t="s">
        <v>79</v>
      </c>
      <c r="N324" s="2" t="s">
        <v>24</v>
      </c>
      <c r="O324">
        <v>11</v>
      </c>
    </row>
    <row r="325" spans="1:15" hidden="1" x14ac:dyDescent="0.3">
      <c r="A325">
        <f t="shared" si="4"/>
        <v>324</v>
      </c>
      <c r="B325" s="3" t="s">
        <v>69</v>
      </c>
      <c r="C325" s="3" t="s">
        <v>219</v>
      </c>
      <c r="D325" s="2">
        <v>27</v>
      </c>
      <c r="E325" s="2" t="s">
        <v>13</v>
      </c>
      <c r="F325" s="2" t="s">
        <v>14</v>
      </c>
      <c r="G325" s="2">
        <v>7000</v>
      </c>
      <c r="H325" s="2">
        <v>74000</v>
      </c>
      <c r="I325" s="2" t="s">
        <v>22</v>
      </c>
      <c r="J325" s="2">
        <v>0</v>
      </c>
      <c r="K325" s="2">
        <v>690</v>
      </c>
      <c r="L325" s="2" t="s">
        <v>23</v>
      </c>
      <c r="M325" s="2" t="s">
        <v>80</v>
      </c>
      <c r="N325" s="2" t="s">
        <v>17</v>
      </c>
      <c r="O325">
        <v>11</v>
      </c>
    </row>
    <row r="326" spans="1:15" x14ac:dyDescent="0.3">
      <c r="A326">
        <f t="shared" si="4"/>
        <v>325</v>
      </c>
      <c r="B326" s="3" t="s">
        <v>286</v>
      </c>
      <c r="C326" s="3" t="s">
        <v>200</v>
      </c>
      <c r="D326" s="2">
        <v>41</v>
      </c>
      <c r="E326" s="2" t="s">
        <v>20</v>
      </c>
      <c r="F326" s="2" t="s">
        <v>21</v>
      </c>
      <c r="G326" s="2">
        <v>6000</v>
      </c>
      <c r="H326" s="2">
        <v>68000</v>
      </c>
      <c r="I326" s="2" t="s">
        <v>15</v>
      </c>
      <c r="J326" s="2">
        <v>0</v>
      </c>
      <c r="K326" s="2">
        <v>720</v>
      </c>
      <c r="L326" s="2" t="s">
        <v>27</v>
      </c>
      <c r="M326" s="2" t="s">
        <v>80</v>
      </c>
      <c r="N326" s="2" t="s">
        <v>24</v>
      </c>
      <c r="O326">
        <v>6</v>
      </c>
    </row>
    <row r="327" spans="1:15" hidden="1" x14ac:dyDescent="0.3">
      <c r="A327">
        <f t="shared" si="4"/>
        <v>326</v>
      </c>
      <c r="B327" s="3" t="s">
        <v>160</v>
      </c>
      <c r="C327" s="3" t="s">
        <v>62</v>
      </c>
      <c r="D327" s="2">
        <v>32</v>
      </c>
      <c r="E327" s="2" t="s">
        <v>13</v>
      </c>
      <c r="F327" s="2" t="s">
        <v>14</v>
      </c>
      <c r="G327" s="2">
        <v>2500</v>
      </c>
      <c r="H327" s="2">
        <v>45000</v>
      </c>
      <c r="I327" s="2" t="s">
        <v>22</v>
      </c>
      <c r="J327" s="2">
        <v>0</v>
      </c>
      <c r="K327" s="2">
        <v>670</v>
      </c>
      <c r="L327" s="2" t="s">
        <v>30</v>
      </c>
      <c r="M327" s="2" t="s">
        <v>80</v>
      </c>
      <c r="N327" s="2" t="s">
        <v>17</v>
      </c>
      <c r="O327">
        <v>6</v>
      </c>
    </row>
    <row r="328" spans="1:15" x14ac:dyDescent="0.3">
      <c r="A328">
        <f t="shared" si="4"/>
        <v>327</v>
      </c>
      <c r="B328" s="3" t="s">
        <v>117</v>
      </c>
      <c r="C328" s="3" t="s">
        <v>157</v>
      </c>
      <c r="D328" s="2">
        <v>47</v>
      </c>
      <c r="E328" s="2" t="s">
        <v>20</v>
      </c>
      <c r="F328" s="2" t="s">
        <v>21</v>
      </c>
      <c r="G328" s="2">
        <v>11000</v>
      </c>
      <c r="H328" s="2">
        <v>80000</v>
      </c>
      <c r="I328" s="2" t="s">
        <v>15</v>
      </c>
      <c r="J328" s="2">
        <v>0</v>
      </c>
      <c r="K328" s="2">
        <v>740</v>
      </c>
      <c r="L328" s="2" t="s">
        <v>16</v>
      </c>
      <c r="M328" s="2" t="s">
        <v>81</v>
      </c>
      <c r="N328" s="2" t="s">
        <v>24</v>
      </c>
      <c r="O328">
        <v>5</v>
      </c>
    </row>
    <row r="329" spans="1:15" hidden="1" x14ac:dyDescent="0.3">
      <c r="A329">
        <f t="shared" si="4"/>
        <v>328</v>
      </c>
      <c r="B329" s="3" t="s">
        <v>207</v>
      </c>
      <c r="C329" s="3" t="s">
        <v>254</v>
      </c>
      <c r="D329" s="2">
        <v>35</v>
      </c>
      <c r="E329" s="2" t="s">
        <v>13</v>
      </c>
      <c r="F329" s="2" t="s">
        <v>14</v>
      </c>
      <c r="G329" s="2">
        <v>3000</v>
      </c>
      <c r="H329" s="2">
        <v>47000</v>
      </c>
      <c r="I329" s="2" t="s">
        <v>22</v>
      </c>
      <c r="J329" s="2">
        <v>0</v>
      </c>
      <c r="K329" s="2">
        <v>680</v>
      </c>
      <c r="L329" s="2" t="s">
        <v>23</v>
      </c>
      <c r="M329" s="2" t="s">
        <v>81</v>
      </c>
      <c r="N329" s="2" t="s">
        <v>17</v>
      </c>
      <c r="O329">
        <v>4</v>
      </c>
    </row>
    <row r="330" spans="1:15" x14ac:dyDescent="0.3">
      <c r="A330">
        <f t="shared" si="4"/>
        <v>329</v>
      </c>
      <c r="B330" s="3" t="s">
        <v>174</v>
      </c>
      <c r="C330" s="3" t="s">
        <v>182</v>
      </c>
      <c r="D330" s="2">
        <v>29</v>
      </c>
      <c r="E330" s="2" t="s">
        <v>20</v>
      </c>
      <c r="F330" s="2" t="s">
        <v>21</v>
      </c>
      <c r="G330" s="2">
        <v>4000</v>
      </c>
      <c r="H330" s="2">
        <v>53000</v>
      </c>
      <c r="I330" s="2" t="s">
        <v>15</v>
      </c>
      <c r="J330" s="2">
        <v>0</v>
      </c>
      <c r="K330" s="2">
        <v>690</v>
      </c>
      <c r="L330" s="2" t="s">
        <v>27</v>
      </c>
      <c r="M330" s="2" t="s">
        <v>79</v>
      </c>
      <c r="N330" s="2" t="s">
        <v>24</v>
      </c>
      <c r="O330">
        <v>6</v>
      </c>
    </row>
    <row r="331" spans="1:15" hidden="1" x14ac:dyDescent="0.3">
      <c r="A331">
        <f t="shared" si="4"/>
        <v>330</v>
      </c>
      <c r="B331" s="3" t="s">
        <v>218</v>
      </c>
      <c r="C331" s="3" t="s">
        <v>50</v>
      </c>
      <c r="D331" s="2">
        <v>42</v>
      </c>
      <c r="E331" s="2" t="s">
        <v>13</v>
      </c>
      <c r="F331" s="2" t="s">
        <v>14</v>
      </c>
      <c r="G331" s="2">
        <v>9000</v>
      </c>
      <c r="H331" s="2">
        <v>71000</v>
      </c>
      <c r="I331" s="2" t="s">
        <v>22</v>
      </c>
      <c r="J331" s="2">
        <v>0</v>
      </c>
      <c r="K331" s="2">
        <v>700</v>
      </c>
      <c r="L331" s="2" t="s">
        <v>30</v>
      </c>
      <c r="M331" s="2" t="s">
        <v>80</v>
      </c>
      <c r="N331" s="2" t="s">
        <v>17</v>
      </c>
      <c r="O331">
        <v>5</v>
      </c>
    </row>
    <row r="332" spans="1:15" x14ac:dyDescent="0.3">
      <c r="A332">
        <f t="shared" si="4"/>
        <v>331</v>
      </c>
      <c r="B332" s="3" t="s">
        <v>99</v>
      </c>
      <c r="C332" s="3" t="s">
        <v>208</v>
      </c>
      <c r="D332" s="2">
        <v>50</v>
      </c>
      <c r="E332" s="2" t="s">
        <v>20</v>
      </c>
      <c r="F332" s="2" t="s">
        <v>21</v>
      </c>
      <c r="G332" s="2">
        <v>8000</v>
      </c>
      <c r="H332" s="2">
        <v>67000</v>
      </c>
      <c r="I332" s="2" t="s">
        <v>15</v>
      </c>
      <c r="J332" s="2">
        <v>0</v>
      </c>
      <c r="K332" s="2">
        <v>710</v>
      </c>
      <c r="L332" s="2" t="s">
        <v>16</v>
      </c>
      <c r="M332" s="2" t="s">
        <v>81</v>
      </c>
      <c r="N332" s="2" t="s">
        <v>24</v>
      </c>
      <c r="O332">
        <v>14</v>
      </c>
    </row>
    <row r="333" spans="1:15" hidden="1" x14ac:dyDescent="0.3">
      <c r="A333">
        <f t="shared" si="4"/>
        <v>332</v>
      </c>
      <c r="B333" s="3" t="s">
        <v>130</v>
      </c>
      <c r="C333" s="3" t="s">
        <v>182</v>
      </c>
      <c r="D333" s="2">
        <v>28</v>
      </c>
      <c r="E333" s="2" t="s">
        <v>13</v>
      </c>
      <c r="F333" s="2" t="s">
        <v>14</v>
      </c>
      <c r="G333" s="2">
        <v>5000</v>
      </c>
      <c r="H333" s="2">
        <v>55000</v>
      </c>
      <c r="I333" s="2" t="s">
        <v>22</v>
      </c>
      <c r="J333" s="2">
        <v>0</v>
      </c>
      <c r="K333" s="2">
        <v>690</v>
      </c>
      <c r="L333" s="2" t="s">
        <v>23</v>
      </c>
      <c r="M333" s="2" t="s">
        <v>81</v>
      </c>
      <c r="N333" s="2" t="s">
        <v>17</v>
      </c>
      <c r="O333">
        <v>12</v>
      </c>
    </row>
    <row r="334" spans="1:15" x14ac:dyDescent="0.3">
      <c r="A334">
        <f t="shared" si="4"/>
        <v>333</v>
      </c>
      <c r="B334" s="3" t="s">
        <v>31</v>
      </c>
      <c r="C334" s="3" t="s">
        <v>66</v>
      </c>
      <c r="D334" s="2">
        <v>36</v>
      </c>
      <c r="E334" s="2" t="s">
        <v>20</v>
      </c>
      <c r="F334" s="2" t="s">
        <v>21</v>
      </c>
      <c r="G334" s="2">
        <v>3000</v>
      </c>
      <c r="H334" s="2">
        <v>48000</v>
      </c>
      <c r="I334" s="2" t="s">
        <v>15</v>
      </c>
      <c r="J334" s="2">
        <v>0</v>
      </c>
      <c r="K334" s="2">
        <v>670</v>
      </c>
      <c r="L334" s="2" t="s">
        <v>27</v>
      </c>
      <c r="M334" s="2" t="s">
        <v>79</v>
      </c>
      <c r="N334" s="2" t="s">
        <v>24</v>
      </c>
      <c r="O334">
        <v>11</v>
      </c>
    </row>
    <row r="335" spans="1:15" hidden="1" x14ac:dyDescent="0.3">
      <c r="A335">
        <f t="shared" si="4"/>
        <v>334</v>
      </c>
      <c r="B335" s="3" t="s">
        <v>119</v>
      </c>
      <c r="C335" s="3" t="s">
        <v>141</v>
      </c>
      <c r="D335" s="2">
        <v>41</v>
      </c>
      <c r="E335" s="2" t="s">
        <v>13</v>
      </c>
      <c r="F335" s="2" t="s">
        <v>14</v>
      </c>
      <c r="G335" s="2">
        <v>11000</v>
      </c>
      <c r="H335" s="2">
        <v>62000</v>
      </c>
      <c r="I335" s="2" t="s">
        <v>22</v>
      </c>
      <c r="J335" s="2">
        <v>0</v>
      </c>
      <c r="K335" s="2">
        <v>720</v>
      </c>
      <c r="L335" s="2" t="s">
        <v>30</v>
      </c>
      <c r="M335" s="2" t="s">
        <v>79</v>
      </c>
      <c r="N335" s="2" t="s">
        <v>17</v>
      </c>
      <c r="O335">
        <v>8</v>
      </c>
    </row>
    <row r="336" spans="1:15" x14ac:dyDescent="0.3">
      <c r="A336">
        <f t="shared" si="4"/>
        <v>335</v>
      </c>
      <c r="B336" s="3" t="s">
        <v>287</v>
      </c>
      <c r="C336" s="3" t="s">
        <v>171</v>
      </c>
      <c r="D336" s="2">
        <v>30</v>
      </c>
      <c r="E336" s="2" t="s">
        <v>20</v>
      </c>
      <c r="F336" s="2" t="s">
        <v>21</v>
      </c>
      <c r="G336" s="2">
        <v>5500</v>
      </c>
      <c r="H336" s="2">
        <v>69000</v>
      </c>
      <c r="I336" s="2" t="s">
        <v>15</v>
      </c>
      <c r="J336" s="2">
        <v>0</v>
      </c>
      <c r="K336" s="2">
        <v>710</v>
      </c>
      <c r="L336" s="2" t="s">
        <v>16</v>
      </c>
      <c r="M336" s="2" t="s">
        <v>79</v>
      </c>
      <c r="N336" s="2" t="s">
        <v>24</v>
      </c>
      <c r="O336">
        <v>4</v>
      </c>
    </row>
    <row r="337" spans="1:15" hidden="1" x14ac:dyDescent="0.3">
      <c r="A337">
        <f t="shared" si="4"/>
        <v>336</v>
      </c>
      <c r="B337" s="3" t="s">
        <v>288</v>
      </c>
      <c r="C337" s="3" t="s">
        <v>219</v>
      </c>
      <c r="D337" s="2">
        <v>29</v>
      </c>
      <c r="E337" s="2" t="s">
        <v>13</v>
      </c>
      <c r="F337" s="2" t="s">
        <v>14</v>
      </c>
      <c r="G337" s="2">
        <v>7000</v>
      </c>
      <c r="H337" s="2">
        <v>74000</v>
      </c>
      <c r="I337" s="2" t="s">
        <v>22</v>
      </c>
      <c r="J337" s="2">
        <v>0</v>
      </c>
      <c r="K337" s="2">
        <v>680</v>
      </c>
      <c r="L337" s="2" t="s">
        <v>23</v>
      </c>
      <c r="M337" s="2" t="s">
        <v>79</v>
      </c>
      <c r="N337" s="2" t="s">
        <v>17</v>
      </c>
      <c r="O337">
        <v>13</v>
      </c>
    </row>
    <row r="338" spans="1:15" x14ac:dyDescent="0.3">
      <c r="A338">
        <f t="shared" si="4"/>
        <v>337</v>
      </c>
      <c r="B338" s="3" t="s">
        <v>192</v>
      </c>
      <c r="C338" s="3" t="s">
        <v>219</v>
      </c>
      <c r="D338" s="2">
        <v>34</v>
      </c>
      <c r="E338" s="2" t="s">
        <v>20</v>
      </c>
      <c r="F338" s="2" t="s">
        <v>21</v>
      </c>
      <c r="G338" s="2">
        <v>2000</v>
      </c>
      <c r="H338" s="2">
        <v>50000</v>
      </c>
      <c r="I338" s="2" t="s">
        <v>15</v>
      </c>
      <c r="J338" s="2">
        <v>0</v>
      </c>
      <c r="K338" s="2">
        <v>720</v>
      </c>
      <c r="L338" s="2" t="s">
        <v>27</v>
      </c>
      <c r="M338" s="2" t="s">
        <v>79</v>
      </c>
      <c r="N338" s="2" t="s">
        <v>24</v>
      </c>
      <c r="O338">
        <v>7</v>
      </c>
    </row>
    <row r="339" spans="1:15" hidden="1" x14ac:dyDescent="0.3">
      <c r="A339">
        <f t="shared" si="4"/>
        <v>338</v>
      </c>
      <c r="B339" s="3" t="s">
        <v>138</v>
      </c>
      <c r="C339" s="3" t="s">
        <v>214</v>
      </c>
      <c r="D339" s="2">
        <v>37</v>
      </c>
      <c r="E339" s="2" t="s">
        <v>13</v>
      </c>
      <c r="F339" s="2" t="s">
        <v>14</v>
      </c>
      <c r="G339" s="2">
        <v>6000</v>
      </c>
      <c r="H339" s="2">
        <v>55000</v>
      </c>
      <c r="I339" s="2" t="s">
        <v>22</v>
      </c>
      <c r="J339" s="2">
        <v>0</v>
      </c>
      <c r="K339" s="2">
        <v>690</v>
      </c>
      <c r="L339" s="2" t="s">
        <v>30</v>
      </c>
      <c r="M339" s="2" t="s">
        <v>79</v>
      </c>
      <c r="N339" s="2" t="s">
        <v>17</v>
      </c>
      <c r="O339">
        <v>4</v>
      </c>
    </row>
    <row r="340" spans="1:15" x14ac:dyDescent="0.3">
      <c r="A340">
        <f t="shared" si="4"/>
        <v>339</v>
      </c>
      <c r="B340" s="3" t="s">
        <v>289</v>
      </c>
      <c r="C340" s="3" t="s">
        <v>143</v>
      </c>
      <c r="D340" s="2">
        <v>45</v>
      </c>
      <c r="E340" s="2" t="s">
        <v>20</v>
      </c>
      <c r="F340" s="2" t="s">
        <v>21</v>
      </c>
      <c r="G340" s="2">
        <v>3500</v>
      </c>
      <c r="H340" s="2">
        <v>62000</v>
      </c>
      <c r="I340" s="2" t="s">
        <v>15</v>
      </c>
      <c r="J340" s="2">
        <v>0</v>
      </c>
      <c r="K340" s="2">
        <v>680</v>
      </c>
      <c r="L340" s="2" t="s">
        <v>16</v>
      </c>
      <c r="M340" s="2" t="s">
        <v>81</v>
      </c>
      <c r="N340" s="2" t="s">
        <v>24</v>
      </c>
      <c r="O340">
        <v>14</v>
      </c>
    </row>
    <row r="341" spans="1:15" hidden="1" x14ac:dyDescent="0.3">
      <c r="A341">
        <f t="shared" si="4"/>
        <v>340</v>
      </c>
      <c r="B341" s="3" t="s">
        <v>122</v>
      </c>
      <c r="C341" s="3" t="s">
        <v>26</v>
      </c>
      <c r="D341" s="2">
        <v>40</v>
      </c>
      <c r="E341" s="2" t="s">
        <v>13</v>
      </c>
      <c r="F341" s="2" t="s">
        <v>14</v>
      </c>
      <c r="G341" s="2">
        <v>4000</v>
      </c>
      <c r="H341" s="2">
        <v>48000</v>
      </c>
      <c r="I341" s="2" t="s">
        <v>22</v>
      </c>
      <c r="J341" s="2">
        <v>0</v>
      </c>
      <c r="K341" s="2">
        <v>710</v>
      </c>
      <c r="L341" s="2" t="s">
        <v>23</v>
      </c>
      <c r="M341" s="2" t="s">
        <v>81</v>
      </c>
      <c r="N341" s="2" t="s">
        <v>17</v>
      </c>
      <c r="O341">
        <v>5</v>
      </c>
    </row>
    <row r="342" spans="1:15" x14ac:dyDescent="0.3">
      <c r="A342">
        <f t="shared" si="4"/>
        <v>341</v>
      </c>
      <c r="B342" s="3" t="s">
        <v>93</v>
      </c>
      <c r="C342" s="3" t="s">
        <v>215</v>
      </c>
      <c r="D342" s="2">
        <v>27</v>
      </c>
      <c r="E342" s="2" t="s">
        <v>20</v>
      </c>
      <c r="F342" s="2" t="s">
        <v>14</v>
      </c>
      <c r="G342" s="2">
        <v>5500</v>
      </c>
      <c r="H342" s="2">
        <v>59000</v>
      </c>
      <c r="I342" s="2" t="s">
        <v>15</v>
      </c>
      <c r="J342" s="2">
        <v>0</v>
      </c>
      <c r="K342" s="2">
        <v>700</v>
      </c>
      <c r="L342" s="2" t="s">
        <v>27</v>
      </c>
      <c r="M342" s="2" t="s">
        <v>81</v>
      </c>
      <c r="N342" s="2" t="s">
        <v>24</v>
      </c>
      <c r="O342">
        <v>10</v>
      </c>
    </row>
    <row r="343" spans="1:15" hidden="1" x14ac:dyDescent="0.3">
      <c r="A343">
        <f t="shared" si="4"/>
        <v>342</v>
      </c>
      <c r="B343" s="3" t="s">
        <v>194</v>
      </c>
      <c r="C343" s="3" t="s">
        <v>173</v>
      </c>
      <c r="D343" s="2">
        <v>31</v>
      </c>
      <c r="E343" s="2" t="s">
        <v>13</v>
      </c>
      <c r="F343" s="2" t="s">
        <v>21</v>
      </c>
      <c r="G343" s="2">
        <v>9000</v>
      </c>
      <c r="H343" s="2">
        <v>73000</v>
      </c>
      <c r="I343" s="2" t="s">
        <v>22</v>
      </c>
      <c r="J343" s="2">
        <v>0</v>
      </c>
      <c r="K343" s="2">
        <v>720</v>
      </c>
      <c r="L343" s="2" t="s">
        <v>30</v>
      </c>
      <c r="M343" s="2" t="s">
        <v>81</v>
      </c>
      <c r="N343" s="2" t="s">
        <v>17</v>
      </c>
      <c r="O343">
        <v>10</v>
      </c>
    </row>
    <row r="344" spans="1:15" x14ac:dyDescent="0.3">
      <c r="A344">
        <f t="shared" si="4"/>
        <v>343</v>
      </c>
      <c r="B344" s="3" t="s">
        <v>110</v>
      </c>
      <c r="C344" s="3" t="s">
        <v>157</v>
      </c>
      <c r="D344" s="2">
        <v>53</v>
      </c>
      <c r="E344" s="2" t="s">
        <v>20</v>
      </c>
      <c r="F344" s="2" t="s">
        <v>14</v>
      </c>
      <c r="G344" s="2">
        <v>4000</v>
      </c>
      <c r="H344" s="2">
        <v>65000</v>
      </c>
      <c r="I344" s="2" t="s">
        <v>15</v>
      </c>
      <c r="J344" s="2">
        <v>0</v>
      </c>
      <c r="K344" s="2">
        <v>680</v>
      </c>
      <c r="L344" s="2" t="s">
        <v>16</v>
      </c>
      <c r="M344" s="2" t="s">
        <v>81</v>
      </c>
      <c r="N344" s="2" t="s">
        <v>24</v>
      </c>
      <c r="O344">
        <v>7</v>
      </c>
    </row>
    <row r="345" spans="1:15" hidden="1" x14ac:dyDescent="0.3">
      <c r="A345">
        <f t="shared" si="4"/>
        <v>344</v>
      </c>
      <c r="B345" s="3" t="s">
        <v>114</v>
      </c>
      <c r="C345" s="3" t="s">
        <v>40</v>
      </c>
      <c r="D345" s="2">
        <v>28</v>
      </c>
      <c r="E345" s="2" t="s">
        <v>13</v>
      </c>
      <c r="F345" s="2" t="s">
        <v>21</v>
      </c>
      <c r="G345" s="2">
        <v>8000</v>
      </c>
      <c r="H345" s="2">
        <v>60000</v>
      </c>
      <c r="I345" s="2" t="s">
        <v>22</v>
      </c>
      <c r="J345" s="2">
        <v>0</v>
      </c>
      <c r="K345" s="2">
        <v>710</v>
      </c>
      <c r="L345" s="2" t="s">
        <v>23</v>
      </c>
      <c r="M345" s="2" t="s">
        <v>81</v>
      </c>
      <c r="N345" s="2" t="s">
        <v>17</v>
      </c>
      <c r="O345">
        <v>5</v>
      </c>
    </row>
    <row r="346" spans="1:15" x14ac:dyDescent="0.3">
      <c r="A346">
        <f t="shared" si="4"/>
        <v>345</v>
      </c>
      <c r="B346" s="3" t="s">
        <v>35</v>
      </c>
      <c r="C346" s="3" t="s">
        <v>290</v>
      </c>
      <c r="D346" s="2">
        <v>46</v>
      </c>
      <c r="E346" s="2" t="s">
        <v>20</v>
      </c>
      <c r="F346" s="2" t="s">
        <v>14</v>
      </c>
      <c r="G346" s="2">
        <v>2500</v>
      </c>
      <c r="H346" s="2">
        <v>53000</v>
      </c>
      <c r="I346" s="2" t="s">
        <v>15</v>
      </c>
      <c r="J346" s="2">
        <v>0</v>
      </c>
      <c r="K346" s="2">
        <v>690</v>
      </c>
      <c r="L346" s="2" t="s">
        <v>27</v>
      </c>
      <c r="M346" s="2" t="s">
        <v>80</v>
      </c>
      <c r="N346" s="2" t="s">
        <v>24</v>
      </c>
      <c r="O346">
        <v>15</v>
      </c>
    </row>
    <row r="347" spans="1:15" hidden="1" x14ac:dyDescent="0.3">
      <c r="A347">
        <f t="shared" si="4"/>
        <v>346</v>
      </c>
      <c r="B347" s="3" t="s">
        <v>265</v>
      </c>
      <c r="C347" s="3" t="s">
        <v>204</v>
      </c>
      <c r="D347" s="2">
        <v>39</v>
      </c>
      <c r="E347" s="2" t="s">
        <v>13</v>
      </c>
      <c r="F347" s="2" t="s">
        <v>21</v>
      </c>
      <c r="G347" s="2">
        <v>12000</v>
      </c>
      <c r="H347" s="2">
        <v>68000</v>
      </c>
      <c r="I347" s="2" t="s">
        <v>22</v>
      </c>
      <c r="J347" s="2">
        <v>0</v>
      </c>
      <c r="K347" s="2">
        <v>720</v>
      </c>
      <c r="L347" s="2" t="s">
        <v>30</v>
      </c>
      <c r="M347" s="2" t="s">
        <v>80</v>
      </c>
      <c r="N347" s="2" t="s">
        <v>17</v>
      </c>
      <c r="O347">
        <v>4</v>
      </c>
    </row>
    <row r="348" spans="1:15" x14ac:dyDescent="0.3">
      <c r="A348">
        <f t="shared" si="4"/>
        <v>347</v>
      </c>
      <c r="B348" s="3" t="s">
        <v>178</v>
      </c>
      <c r="C348" s="3" t="s">
        <v>62</v>
      </c>
      <c r="D348" s="2">
        <v>27</v>
      </c>
      <c r="E348" s="2" t="s">
        <v>20</v>
      </c>
      <c r="F348" s="2" t="s">
        <v>14</v>
      </c>
      <c r="G348" s="2">
        <v>7000</v>
      </c>
      <c r="H348" s="2">
        <v>71000</v>
      </c>
      <c r="I348" s="2" t="s">
        <v>15</v>
      </c>
      <c r="J348" s="2">
        <v>0</v>
      </c>
      <c r="K348" s="2">
        <v>680</v>
      </c>
      <c r="L348" s="2" t="s">
        <v>16</v>
      </c>
      <c r="M348" s="2" t="s">
        <v>80</v>
      </c>
      <c r="N348" s="2" t="s">
        <v>24</v>
      </c>
      <c r="O348">
        <v>15</v>
      </c>
    </row>
    <row r="349" spans="1:15" hidden="1" x14ac:dyDescent="0.3">
      <c r="A349">
        <f t="shared" si="4"/>
        <v>348</v>
      </c>
      <c r="B349" s="3" t="s">
        <v>291</v>
      </c>
      <c r="C349" s="3" t="s">
        <v>143</v>
      </c>
      <c r="D349" s="2">
        <v>34</v>
      </c>
      <c r="E349" s="2" t="s">
        <v>13</v>
      </c>
      <c r="F349" s="2" t="s">
        <v>21</v>
      </c>
      <c r="G349" s="2">
        <v>5000</v>
      </c>
      <c r="H349" s="2">
        <v>56000</v>
      </c>
      <c r="I349" s="2" t="s">
        <v>22</v>
      </c>
      <c r="J349" s="2">
        <v>0</v>
      </c>
      <c r="K349" s="2">
        <v>700</v>
      </c>
      <c r="L349" s="2" t="s">
        <v>23</v>
      </c>
      <c r="M349" s="2" t="s">
        <v>80</v>
      </c>
      <c r="N349" s="2" t="s">
        <v>17</v>
      </c>
      <c r="O349">
        <v>3</v>
      </c>
    </row>
    <row r="350" spans="1:15" x14ac:dyDescent="0.3">
      <c r="A350">
        <f t="shared" si="4"/>
        <v>349</v>
      </c>
      <c r="B350" s="3" t="s">
        <v>292</v>
      </c>
      <c r="C350" s="3" t="s">
        <v>169</v>
      </c>
      <c r="D350" s="2">
        <v>32</v>
      </c>
      <c r="E350" s="2" t="s">
        <v>20</v>
      </c>
      <c r="F350" s="2" t="s">
        <v>14</v>
      </c>
      <c r="G350" s="2">
        <v>1500</v>
      </c>
      <c r="H350" s="2">
        <v>45000</v>
      </c>
      <c r="I350" s="2" t="s">
        <v>15</v>
      </c>
      <c r="J350" s="2">
        <v>0</v>
      </c>
      <c r="K350" s="2">
        <v>670</v>
      </c>
      <c r="L350" s="2" t="s">
        <v>27</v>
      </c>
      <c r="M350" s="2" t="s">
        <v>80</v>
      </c>
      <c r="N350" s="2" t="s">
        <v>24</v>
      </c>
      <c r="O350">
        <v>14</v>
      </c>
    </row>
    <row r="351" spans="1:15" x14ac:dyDescent="0.3">
      <c r="N351" s="2"/>
    </row>
  </sheetData>
  <autoFilter ref="A1:O350" xr:uid="{E3075A48-2E15-4298-B56E-AE87CA2BDF5E}">
    <filterColumn colId="8">
      <filters>
        <filter val="No"/>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B4C2-1F08-45FC-A2BA-FDB9A4A05521}">
  <dimension ref="B2:B32"/>
  <sheetViews>
    <sheetView workbookViewId="0">
      <selection activeCell="H10" sqref="H10"/>
    </sheetView>
  </sheetViews>
  <sheetFormatPr defaultRowHeight="14.4" x14ac:dyDescent="0.3"/>
  <sheetData>
    <row r="2" spans="2:2" ht="18" x14ac:dyDescent="0.3">
      <c r="B2" s="5" t="s">
        <v>295</v>
      </c>
    </row>
    <row r="3" spans="2:2" x14ac:dyDescent="0.3">
      <c r="B3" s="11" t="s">
        <v>296</v>
      </c>
    </row>
    <row r="4" spans="2:2" x14ac:dyDescent="0.3">
      <c r="B4" s="11" t="s">
        <v>297</v>
      </c>
    </row>
    <row r="5" spans="2:2" x14ac:dyDescent="0.3">
      <c r="B5" s="11" t="s">
        <v>396</v>
      </c>
    </row>
    <row r="6" spans="2:2" x14ac:dyDescent="0.3">
      <c r="B6" s="11" t="s">
        <v>300</v>
      </c>
    </row>
    <row r="7" spans="2:2" x14ac:dyDescent="0.3">
      <c r="B7" s="11" t="s">
        <v>298</v>
      </c>
    </row>
    <row r="8" spans="2:2" x14ac:dyDescent="0.3">
      <c r="B8" s="11" t="s">
        <v>299</v>
      </c>
    </row>
    <row r="9" spans="2:2" x14ac:dyDescent="0.3">
      <c r="B9" s="4" t="s">
        <v>383</v>
      </c>
    </row>
    <row r="10" spans="2:2" x14ac:dyDescent="0.3">
      <c r="B10" s="4"/>
    </row>
    <row r="11" spans="2:2" ht="18" x14ac:dyDescent="0.3">
      <c r="B11" s="5" t="s">
        <v>301</v>
      </c>
    </row>
    <row r="12" spans="2:2" x14ac:dyDescent="0.3">
      <c r="B12" s="4" t="s">
        <v>302</v>
      </c>
    </row>
    <row r="13" spans="2:2" x14ac:dyDescent="0.3">
      <c r="B13" s="4" t="s">
        <v>303</v>
      </c>
    </row>
    <row r="14" spans="2:2" s="12" customFormat="1" x14ac:dyDescent="0.3">
      <c r="B14" s="4" t="s">
        <v>304</v>
      </c>
    </row>
    <row r="15" spans="2:2" x14ac:dyDescent="0.3">
      <c r="B15" s="4" t="s">
        <v>305</v>
      </c>
    </row>
    <row r="16" spans="2:2" x14ac:dyDescent="0.3">
      <c r="B16" s="4" t="s">
        <v>306</v>
      </c>
    </row>
    <row r="17" spans="2:2" x14ac:dyDescent="0.3">
      <c r="B17" s="4" t="s">
        <v>307</v>
      </c>
    </row>
    <row r="20" spans="2:2" ht="18" x14ac:dyDescent="0.3">
      <c r="B20" s="5" t="s">
        <v>308</v>
      </c>
    </row>
    <row r="21" spans="2:2" x14ac:dyDescent="0.3">
      <c r="B21" s="4" t="s">
        <v>309</v>
      </c>
    </row>
    <row r="22" spans="2:2" x14ac:dyDescent="0.3">
      <c r="B22" s="4" t="s">
        <v>311</v>
      </c>
    </row>
    <row r="23" spans="2:2" x14ac:dyDescent="0.3">
      <c r="B23" s="4" t="s">
        <v>312</v>
      </c>
    </row>
    <row r="24" spans="2:2" x14ac:dyDescent="0.3">
      <c r="B24" s="4" t="s">
        <v>310</v>
      </c>
    </row>
    <row r="25" spans="2:2" x14ac:dyDescent="0.3">
      <c r="B25" s="4" t="s">
        <v>313</v>
      </c>
    </row>
    <row r="26" spans="2:2" x14ac:dyDescent="0.3">
      <c r="B26" s="4" t="s">
        <v>314</v>
      </c>
    </row>
    <row r="27" spans="2:2" x14ac:dyDescent="0.3">
      <c r="B27" s="4" t="s">
        <v>315</v>
      </c>
    </row>
    <row r="31" spans="2:2" x14ac:dyDescent="0.3">
      <c r="B31" s="4"/>
    </row>
    <row r="32" spans="2:2" ht="18" x14ac:dyDescent="0.3">
      <c r="B32"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7125-AE9F-4D1A-9D4A-A1F55FA49A86}">
  <dimension ref="A1:P376"/>
  <sheetViews>
    <sheetView workbookViewId="0">
      <selection activeCell="B26" sqref="B26"/>
    </sheetView>
  </sheetViews>
  <sheetFormatPr defaultRowHeight="14.4" x14ac:dyDescent="0.3"/>
  <sheetData>
    <row r="1" spans="1:9" ht="18" x14ac:dyDescent="0.35">
      <c r="B1" s="6" t="s">
        <v>317</v>
      </c>
    </row>
    <row r="2" spans="1:9" x14ac:dyDescent="0.3">
      <c r="A2" t="s">
        <v>82</v>
      </c>
      <c r="B2" t="s">
        <v>316</v>
      </c>
    </row>
    <row r="3" spans="1:9" x14ac:dyDescent="0.3">
      <c r="A3" t="s">
        <v>318</v>
      </c>
      <c r="B3" t="s">
        <v>367</v>
      </c>
    </row>
    <row r="4" spans="1:9" x14ac:dyDescent="0.3">
      <c r="B4" t="s">
        <v>368</v>
      </c>
      <c r="F4" s="7">
        <f>AVERAGE(Dataset!H2:H350)</f>
        <v>60260.744985673351</v>
      </c>
    </row>
    <row r="7" spans="1:9" x14ac:dyDescent="0.3">
      <c r="A7" t="s">
        <v>83</v>
      </c>
      <c r="B7" t="s">
        <v>319</v>
      </c>
    </row>
    <row r="8" spans="1:9" x14ac:dyDescent="0.3">
      <c r="A8" t="s">
        <v>320</v>
      </c>
      <c r="B8" t="s">
        <v>339</v>
      </c>
      <c r="F8" s="7">
        <f>MEDIAN(Dataset!G2:G350)</f>
        <v>5500</v>
      </c>
    </row>
    <row r="10" spans="1:9" x14ac:dyDescent="0.3">
      <c r="A10" t="s">
        <v>84</v>
      </c>
      <c r="B10" t="s">
        <v>328</v>
      </c>
    </row>
    <row r="11" spans="1:9" x14ac:dyDescent="0.3">
      <c r="A11" t="s">
        <v>321</v>
      </c>
      <c r="B11" t="s">
        <v>329</v>
      </c>
      <c r="I11" s="7">
        <f>COUNT(Dataset!G2:G350)</f>
        <v>349</v>
      </c>
    </row>
    <row r="12" spans="1:9" x14ac:dyDescent="0.3">
      <c r="B12" t="s">
        <v>335</v>
      </c>
      <c r="I12" s="7">
        <f>SMALL(Dataset!G2:G350,1)</f>
        <v>1500</v>
      </c>
    </row>
    <row r="14" spans="1:9" x14ac:dyDescent="0.3">
      <c r="A14" s="9" t="s">
        <v>85</v>
      </c>
      <c r="B14" t="s">
        <v>330</v>
      </c>
    </row>
    <row r="15" spans="1:9" x14ac:dyDescent="0.3">
      <c r="A15" t="s">
        <v>322</v>
      </c>
      <c r="B15" t="s">
        <v>331</v>
      </c>
      <c r="I15" s="7">
        <f>SUM(Dataset!H2:H350)</f>
        <v>21031000</v>
      </c>
    </row>
    <row r="16" spans="1:9" x14ac:dyDescent="0.3">
      <c r="B16" t="s">
        <v>336</v>
      </c>
      <c r="I16" s="7">
        <f>MAX(Dataset!H2:H350)</f>
        <v>85000</v>
      </c>
    </row>
    <row r="17" spans="1:16" x14ac:dyDescent="0.3">
      <c r="B17" t="s">
        <v>337</v>
      </c>
      <c r="I17" s="7">
        <f>LARGE(Dataset!G2:G350,1)</f>
        <v>15000</v>
      </c>
    </row>
    <row r="20" spans="1:16" x14ac:dyDescent="0.3">
      <c r="A20" t="s">
        <v>86</v>
      </c>
      <c r="B20" t="s">
        <v>323</v>
      </c>
    </row>
    <row r="21" spans="1:16" x14ac:dyDescent="0.3">
      <c r="A21" t="s">
        <v>324</v>
      </c>
      <c r="B21" t="s">
        <v>338</v>
      </c>
      <c r="F21" s="7">
        <f>_xlfn.MODE.SNGL(Dataset!K2:K350)</f>
        <v>720</v>
      </c>
    </row>
    <row r="23" spans="1:16" x14ac:dyDescent="0.3">
      <c r="A23" t="s">
        <v>87</v>
      </c>
      <c r="B23" t="s">
        <v>327</v>
      </c>
    </row>
    <row r="24" spans="1:16" x14ac:dyDescent="0.3">
      <c r="A24" t="s">
        <v>325</v>
      </c>
      <c r="B24" s="2" t="s">
        <v>373</v>
      </c>
      <c r="H24" s="7" cm="1">
        <f t="array" ref="H24">SMALL(IF(Dataset!M2:M350=Dataset!M6,Dataset!G2:G350),1)</f>
        <v>1500</v>
      </c>
      <c r="P24" s="9"/>
    </row>
    <row r="26" spans="1:16" x14ac:dyDescent="0.3">
      <c r="A26" t="s">
        <v>88</v>
      </c>
      <c r="B26" t="s">
        <v>383</v>
      </c>
    </row>
    <row r="27" spans="1:16" x14ac:dyDescent="0.3">
      <c r="B27" t="s">
        <v>376</v>
      </c>
      <c r="C27" t="s">
        <v>377</v>
      </c>
      <c r="D27" t="s">
        <v>378</v>
      </c>
      <c r="F27" s="7" t="s">
        <v>379</v>
      </c>
      <c r="G27" s="7" t="s">
        <v>375</v>
      </c>
      <c r="H27" s="7" t="s">
        <v>374</v>
      </c>
      <c r="I27" s="7" t="s">
        <v>380</v>
      </c>
      <c r="J27" s="7" t="s">
        <v>381</v>
      </c>
      <c r="K27" s="7" t="s">
        <v>384</v>
      </c>
    </row>
    <row r="28" spans="1:16" x14ac:dyDescent="0.3">
      <c r="A28" t="s">
        <v>326</v>
      </c>
      <c r="B28" s="2">
        <v>55000</v>
      </c>
      <c r="C28" s="2">
        <v>0</v>
      </c>
      <c r="D28" t="e">
        <f>B28/C28</f>
        <v>#DIV/0!</v>
      </c>
      <c r="F28" t="b">
        <f>ISERROR(D28)</f>
        <v>1</v>
      </c>
      <c r="G28" t="str">
        <f>IFERROR(D28,"error")</f>
        <v>error</v>
      </c>
      <c r="H28" t="e">
        <f>ISODD(D28)</f>
        <v>#DIV/0!</v>
      </c>
      <c r="I28" t="e">
        <f>ISEVEN(D28)</f>
        <v>#DIV/0!</v>
      </c>
      <c r="J28" t="b">
        <f>ISNUMBER(D28)</f>
        <v>0</v>
      </c>
      <c r="K28" t="b">
        <f>ISTEXT(D28)</f>
        <v>0</v>
      </c>
    </row>
    <row r="29" spans="1:16" x14ac:dyDescent="0.3">
      <c r="B29" s="2">
        <v>62000</v>
      </c>
      <c r="C29" s="2">
        <v>15000</v>
      </c>
      <c r="D29">
        <f t="shared" ref="D29:D92" si="0">B29/C29</f>
        <v>4.1333333333333337</v>
      </c>
      <c r="F29" t="b">
        <f t="shared" ref="F29:F92" si="1">ISERROR(D29)</f>
        <v>0</v>
      </c>
      <c r="G29">
        <f t="shared" ref="G29:G92" si="2">IFERROR(D29,"error")</f>
        <v>4.1333333333333337</v>
      </c>
      <c r="H29" t="b">
        <f t="shared" ref="H29:H92" si="3">ISODD(D29)</f>
        <v>0</v>
      </c>
      <c r="I29" t="b">
        <f t="shared" ref="I29:I30" si="4">ISEVEN(D29)</f>
        <v>1</v>
      </c>
      <c r="J29" t="b">
        <f t="shared" ref="J29:J92" si="5">ISNUMBER(D29)</f>
        <v>1</v>
      </c>
      <c r="K29" t="b">
        <f t="shared" ref="K29:K92" si="6">ISTEXT(D29)</f>
        <v>0</v>
      </c>
    </row>
    <row r="30" spans="1:16" x14ac:dyDescent="0.3">
      <c r="B30" s="2">
        <v>75000</v>
      </c>
      <c r="C30" s="2">
        <v>0</v>
      </c>
      <c r="D30" t="e">
        <f t="shared" si="0"/>
        <v>#DIV/0!</v>
      </c>
      <c r="F30" t="b">
        <f t="shared" si="1"/>
        <v>1</v>
      </c>
      <c r="G30" t="str">
        <f t="shared" si="2"/>
        <v>error</v>
      </c>
      <c r="H30" t="e">
        <f t="shared" si="3"/>
        <v>#DIV/0!</v>
      </c>
      <c r="I30" t="e">
        <f t="shared" si="4"/>
        <v>#DIV/0!</v>
      </c>
      <c r="J30" t="b">
        <f t="shared" si="5"/>
        <v>0</v>
      </c>
      <c r="K30" t="b">
        <f t="shared" si="6"/>
        <v>0</v>
      </c>
    </row>
    <row r="31" spans="1:16" x14ac:dyDescent="0.3">
      <c r="B31" s="2">
        <v>48000</v>
      </c>
      <c r="C31" s="2">
        <v>5000</v>
      </c>
      <c r="D31">
        <f t="shared" si="0"/>
        <v>9.6</v>
      </c>
      <c r="F31" t="b">
        <f t="shared" si="1"/>
        <v>0</v>
      </c>
      <c r="G31">
        <f t="shared" si="2"/>
        <v>9.6</v>
      </c>
      <c r="H31" t="b">
        <f t="shared" si="3"/>
        <v>1</v>
      </c>
      <c r="I31" t="b">
        <f>ISEVEN(D31)</f>
        <v>0</v>
      </c>
      <c r="J31" t="b">
        <f t="shared" si="5"/>
        <v>1</v>
      </c>
      <c r="K31" t="b">
        <f t="shared" si="6"/>
        <v>0</v>
      </c>
    </row>
    <row r="32" spans="1:16" x14ac:dyDescent="0.3">
      <c r="B32" s="2">
        <v>58000</v>
      </c>
      <c r="C32" s="2">
        <v>0</v>
      </c>
      <c r="D32" t="e">
        <f t="shared" si="0"/>
        <v>#DIV/0!</v>
      </c>
      <c r="F32" t="b">
        <f t="shared" si="1"/>
        <v>1</v>
      </c>
      <c r="G32" t="str">
        <f t="shared" si="2"/>
        <v>error</v>
      </c>
      <c r="H32" t="e">
        <f t="shared" si="3"/>
        <v>#DIV/0!</v>
      </c>
      <c r="I32" t="e">
        <f t="shared" ref="I32:I95" si="7">ISEVEN(D32)</f>
        <v>#DIV/0!</v>
      </c>
      <c r="J32" t="b">
        <f t="shared" si="5"/>
        <v>0</v>
      </c>
      <c r="K32" t="b">
        <f t="shared" si="6"/>
        <v>0</v>
      </c>
    </row>
    <row r="33" spans="1:11" x14ac:dyDescent="0.3">
      <c r="B33" s="2">
        <v>70000</v>
      </c>
      <c r="C33" s="2">
        <v>20000</v>
      </c>
      <c r="D33">
        <f t="shared" si="0"/>
        <v>3.5</v>
      </c>
      <c r="F33" t="b">
        <f t="shared" si="1"/>
        <v>0</v>
      </c>
      <c r="G33">
        <f t="shared" si="2"/>
        <v>3.5</v>
      </c>
      <c r="H33" t="b">
        <f t="shared" si="3"/>
        <v>1</v>
      </c>
      <c r="I33" t="b">
        <f t="shared" si="7"/>
        <v>0</v>
      </c>
      <c r="J33" t="b">
        <f t="shared" si="5"/>
        <v>1</v>
      </c>
      <c r="K33" t="b">
        <f t="shared" si="6"/>
        <v>0</v>
      </c>
    </row>
    <row r="34" spans="1:11" x14ac:dyDescent="0.3">
      <c r="B34" s="2">
        <v>82000</v>
      </c>
      <c r="C34" s="2">
        <v>0</v>
      </c>
      <c r="D34" t="e">
        <f t="shared" si="0"/>
        <v>#DIV/0!</v>
      </c>
      <c r="F34" t="b">
        <f t="shared" si="1"/>
        <v>1</v>
      </c>
      <c r="G34" t="str">
        <f t="shared" si="2"/>
        <v>error</v>
      </c>
      <c r="H34" t="e">
        <f t="shared" si="3"/>
        <v>#DIV/0!</v>
      </c>
      <c r="I34" t="e">
        <f t="shared" si="7"/>
        <v>#DIV/0!</v>
      </c>
      <c r="J34" t="b">
        <f t="shared" si="5"/>
        <v>0</v>
      </c>
      <c r="K34" t="b">
        <f t="shared" si="6"/>
        <v>0</v>
      </c>
    </row>
    <row r="35" spans="1:11" x14ac:dyDescent="0.3">
      <c r="B35" s="2">
        <v>43000</v>
      </c>
      <c r="C35" s="2">
        <v>0</v>
      </c>
      <c r="D35" t="e">
        <f t="shared" si="0"/>
        <v>#DIV/0!</v>
      </c>
      <c r="F35" t="b">
        <f t="shared" si="1"/>
        <v>1</v>
      </c>
      <c r="G35" t="str">
        <f t="shared" si="2"/>
        <v>error</v>
      </c>
      <c r="H35" t="e">
        <f t="shared" si="3"/>
        <v>#DIV/0!</v>
      </c>
      <c r="I35" t="e">
        <f t="shared" si="7"/>
        <v>#DIV/0!</v>
      </c>
      <c r="J35" t="b">
        <f t="shared" si="5"/>
        <v>0</v>
      </c>
      <c r="K35" t="b">
        <f t="shared" si="6"/>
        <v>0</v>
      </c>
    </row>
    <row r="36" spans="1:11" x14ac:dyDescent="0.3">
      <c r="A36" s="9"/>
      <c r="B36" s="2">
        <v>55000</v>
      </c>
      <c r="C36" s="2">
        <v>10000</v>
      </c>
      <c r="D36">
        <f t="shared" si="0"/>
        <v>5.5</v>
      </c>
      <c r="F36" t="b">
        <f t="shared" si="1"/>
        <v>0</v>
      </c>
      <c r="G36">
        <f t="shared" si="2"/>
        <v>5.5</v>
      </c>
      <c r="H36" t="b">
        <f t="shared" si="3"/>
        <v>1</v>
      </c>
      <c r="I36" t="b">
        <f t="shared" si="7"/>
        <v>0</v>
      </c>
      <c r="J36" t="b">
        <f t="shared" si="5"/>
        <v>1</v>
      </c>
      <c r="K36" t="b">
        <f t="shared" si="6"/>
        <v>0</v>
      </c>
    </row>
    <row r="37" spans="1:11" x14ac:dyDescent="0.3">
      <c r="B37" s="2">
        <v>65000</v>
      </c>
      <c r="C37" s="2">
        <v>0</v>
      </c>
      <c r="D37" t="e">
        <f t="shared" si="0"/>
        <v>#DIV/0!</v>
      </c>
      <c r="F37" t="b">
        <f t="shared" si="1"/>
        <v>1</v>
      </c>
      <c r="G37" t="str">
        <f t="shared" si="2"/>
        <v>error</v>
      </c>
      <c r="H37" t="e">
        <f t="shared" si="3"/>
        <v>#DIV/0!</v>
      </c>
      <c r="I37" t="e">
        <f t="shared" si="7"/>
        <v>#DIV/0!</v>
      </c>
      <c r="J37" t="b">
        <f t="shared" si="5"/>
        <v>0</v>
      </c>
      <c r="K37" t="b">
        <f t="shared" si="6"/>
        <v>0</v>
      </c>
    </row>
    <row r="38" spans="1:11" x14ac:dyDescent="0.3">
      <c r="B38" s="2">
        <v>47000</v>
      </c>
      <c r="C38" s="2">
        <v>0</v>
      </c>
      <c r="D38" t="e">
        <f t="shared" si="0"/>
        <v>#DIV/0!</v>
      </c>
      <c r="F38" t="b">
        <f t="shared" si="1"/>
        <v>1</v>
      </c>
      <c r="G38" t="str">
        <f t="shared" si="2"/>
        <v>error</v>
      </c>
      <c r="H38" t="e">
        <f t="shared" si="3"/>
        <v>#DIV/0!</v>
      </c>
      <c r="I38" t="e">
        <f t="shared" si="7"/>
        <v>#DIV/0!</v>
      </c>
      <c r="J38" t="b">
        <f t="shared" si="5"/>
        <v>0</v>
      </c>
      <c r="K38" t="b">
        <f t="shared" si="6"/>
        <v>0</v>
      </c>
    </row>
    <row r="39" spans="1:11" x14ac:dyDescent="0.3">
      <c r="B39" s="2">
        <v>72000</v>
      </c>
      <c r="C39" s="2">
        <v>12000</v>
      </c>
      <c r="D39">
        <f t="shared" si="0"/>
        <v>6</v>
      </c>
      <c r="F39" t="b">
        <f t="shared" si="1"/>
        <v>0</v>
      </c>
      <c r="G39">
        <f t="shared" si="2"/>
        <v>6</v>
      </c>
      <c r="H39" t="b">
        <f t="shared" si="3"/>
        <v>0</v>
      </c>
      <c r="I39" t="b">
        <f t="shared" si="7"/>
        <v>1</v>
      </c>
      <c r="J39" t="b">
        <f t="shared" si="5"/>
        <v>1</v>
      </c>
      <c r="K39" t="b">
        <f t="shared" si="6"/>
        <v>0</v>
      </c>
    </row>
    <row r="40" spans="1:11" x14ac:dyDescent="0.3">
      <c r="B40" s="2">
        <v>53000</v>
      </c>
      <c r="C40" s="2">
        <v>0</v>
      </c>
      <c r="D40" t="e">
        <f t="shared" si="0"/>
        <v>#DIV/0!</v>
      </c>
      <c r="F40" t="b">
        <f t="shared" si="1"/>
        <v>1</v>
      </c>
      <c r="G40" t="str">
        <f t="shared" si="2"/>
        <v>error</v>
      </c>
      <c r="H40" t="e">
        <f t="shared" si="3"/>
        <v>#DIV/0!</v>
      </c>
      <c r="I40" t="e">
        <f t="shared" si="7"/>
        <v>#DIV/0!</v>
      </c>
      <c r="J40" t="b">
        <f t="shared" si="5"/>
        <v>0</v>
      </c>
      <c r="K40" t="b">
        <f t="shared" si="6"/>
        <v>0</v>
      </c>
    </row>
    <row r="41" spans="1:11" x14ac:dyDescent="0.3">
      <c r="B41" s="2">
        <v>60000</v>
      </c>
      <c r="C41" s="2">
        <v>8000</v>
      </c>
      <c r="D41">
        <f t="shared" si="0"/>
        <v>7.5</v>
      </c>
      <c r="F41" t="b">
        <f t="shared" si="1"/>
        <v>0</v>
      </c>
      <c r="G41">
        <f t="shared" si="2"/>
        <v>7.5</v>
      </c>
      <c r="H41" t="b">
        <f t="shared" si="3"/>
        <v>1</v>
      </c>
      <c r="I41" t="b">
        <f t="shared" si="7"/>
        <v>0</v>
      </c>
      <c r="J41" t="b">
        <f t="shared" si="5"/>
        <v>1</v>
      </c>
      <c r="K41" t="b">
        <f t="shared" si="6"/>
        <v>0</v>
      </c>
    </row>
    <row r="42" spans="1:11" x14ac:dyDescent="0.3">
      <c r="B42" s="2">
        <v>85000</v>
      </c>
      <c r="C42" s="2">
        <v>0</v>
      </c>
      <c r="D42" t="e">
        <f t="shared" si="0"/>
        <v>#DIV/0!</v>
      </c>
      <c r="F42" t="b">
        <f t="shared" si="1"/>
        <v>1</v>
      </c>
      <c r="G42" t="str">
        <f t="shared" si="2"/>
        <v>error</v>
      </c>
      <c r="H42" t="e">
        <f t="shared" si="3"/>
        <v>#DIV/0!</v>
      </c>
      <c r="I42" t="e">
        <f t="shared" si="7"/>
        <v>#DIV/0!</v>
      </c>
      <c r="J42" t="b">
        <f t="shared" si="5"/>
        <v>0</v>
      </c>
      <c r="K42" t="b">
        <f t="shared" si="6"/>
        <v>0</v>
      </c>
    </row>
    <row r="43" spans="1:11" x14ac:dyDescent="0.3">
      <c r="B43" s="2">
        <v>49000</v>
      </c>
      <c r="C43" s="2">
        <v>7000</v>
      </c>
      <c r="D43">
        <f t="shared" si="0"/>
        <v>7</v>
      </c>
      <c r="F43" t="b">
        <f t="shared" si="1"/>
        <v>0</v>
      </c>
      <c r="G43">
        <f t="shared" si="2"/>
        <v>7</v>
      </c>
      <c r="H43" t="b">
        <f t="shared" si="3"/>
        <v>1</v>
      </c>
      <c r="I43" t="b">
        <f t="shared" si="7"/>
        <v>0</v>
      </c>
      <c r="J43" t="b">
        <f t="shared" si="5"/>
        <v>1</v>
      </c>
      <c r="K43" t="b">
        <f t="shared" si="6"/>
        <v>0</v>
      </c>
    </row>
    <row r="44" spans="1:11" x14ac:dyDescent="0.3">
      <c r="B44" s="2">
        <v>45000</v>
      </c>
      <c r="C44" s="2">
        <v>0</v>
      </c>
      <c r="D44" t="e">
        <f t="shared" si="0"/>
        <v>#DIV/0!</v>
      </c>
      <c r="F44" t="b">
        <f t="shared" si="1"/>
        <v>1</v>
      </c>
      <c r="G44" t="str">
        <f t="shared" si="2"/>
        <v>error</v>
      </c>
      <c r="H44" t="e">
        <f t="shared" si="3"/>
        <v>#DIV/0!</v>
      </c>
      <c r="I44" t="e">
        <f t="shared" si="7"/>
        <v>#DIV/0!</v>
      </c>
      <c r="J44" t="b">
        <f t="shared" si="5"/>
        <v>0</v>
      </c>
      <c r="K44" t="b">
        <f t="shared" si="6"/>
        <v>0</v>
      </c>
    </row>
    <row r="45" spans="1:11" x14ac:dyDescent="0.3">
      <c r="B45" s="2">
        <v>77000</v>
      </c>
      <c r="C45" s="2">
        <v>15000</v>
      </c>
      <c r="D45">
        <f t="shared" si="0"/>
        <v>5.1333333333333337</v>
      </c>
      <c r="F45" t="b">
        <f t="shared" si="1"/>
        <v>0</v>
      </c>
      <c r="G45">
        <f t="shared" si="2"/>
        <v>5.1333333333333337</v>
      </c>
      <c r="H45" t="b">
        <f t="shared" si="3"/>
        <v>1</v>
      </c>
      <c r="I45" t="b">
        <f t="shared" si="7"/>
        <v>0</v>
      </c>
      <c r="J45" t="b">
        <f t="shared" si="5"/>
        <v>1</v>
      </c>
      <c r="K45" t="b">
        <f t="shared" si="6"/>
        <v>0</v>
      </c>
    </row>
    <row r="46" spans="1:11" x14ac:dyDescent="0.3">
      <c r="B46" s="2">
        <v>50000</v>
      </c>
      <c r="C46" s="2">
        <v>0</v>
      </c>
      <c r="D46" t="e">
        <f t="shared" si="0"/>
        <v>#DIV/0!</v>
      </c>
      <c r="F46" t="b">
        <f t="shared" si="1"/>
        <v>1</v>
      </c>
      <c r="G46" t="str">
        <f t="shared" si="2"/>
        <v>error</v>
      </c>
      <c r="H46" t="e">
        <f t="shared" si="3"/>
        <v>#DIV/0!</v>
      </c>
      <c r="I46" t="e">
        <f t="shared" si="7"/>
        <v>#DIV/0!</v>
      </c>
      <c r="J46" t="b">
        <f t="shared" si="5"/>
        <v>0</v>
      </c>
      <c r="K46" t="b">
        <f t="shared" si="6"/>
        <v>0</v>
      </c>
    </row>
    <row r="47" spans="1:11" x14ac:dyDescent="0.3">
      <c r="B47" s="2">
        <v>69000</v>
      </c>
      <c r="C47" s="2">
        <v>12000</v>
      </c>
      <c r="D47">
        <f t="shared" si="0"/>
        <v>5.75</v>
      </c>
      <c r="F47" t="b">
        <f t="shared" si="1"/>
        <v>0</v>
      </c>
      <c r="G47">
        <f t="shared" si="2"/>
        <v>5.75</v>
      </c>
      <c r="H47" t="b">
        <f t="shared" si="3"/>
        <v>1</v>
      </c>
      <c r="I47" t="b">
        <f t="shared" si="7"/>
        <v>0</v>
      </c>
      <c r="J47" t="b">
        <f t="shared" si="5"/>
        <v>1</v>
      </c>
      <c r="K47" t="b">
        <f t="shared" si="6"/>
        <v>0</v>
      </c>
    </row>
    <row r="48" spans="1:11" x14ac:dyDescent="0.3">
      <c r="B48" s="2">
        <v>54000</v>
      </c>
      <c r="C48" s="2">
        <v>0</v>
      </c>
      <c r="D48" t="e">
        <f t="shared" si="0"/>
        <v>#DIV/0!</v>
      </c>
      <c r="F48" t="b">
        <f t="shared" si="1"/>
        <v>1</v>
      </c>
      <c r="G48" t="str">
        <f t="shared" si="2"/>
        <v>error</v>
      </c>
      <c r="H48" t="e">
        <f t="shared" si="3"/>
        <v>#DIV/0!</v>
      </c>
      <c r="I48" t="e">
        <f t="shared" si="7"/>
        <v>#DIV/0!</v>
      </c>
      <c r="J48" t="b">
        <f t="shared" si="5"/>
        <v>0</v>
      </c>
      <c r="K48" t="b">
        <f t="shared" si="6"/>
        <v>0</v>
      </c>
    </row>
    <row r="49" spans="2:11" x14ac:dyDescent="0.3">
      <c r="B49" s="2">
        <v>74000</v>
      </c>
      <c r="C49" s="2">
        <v>10000</v>
      </c>
      <c r="D49">
        <f t="shared" si="0"/>
        <v>7.4</v>
      </c>
      <c r="F49" t="b">
        <f t="shared" si="1"/>
        <v>0</v>
      </c>
      <c r="G49">
        <f t="shared" si="2"/>
        <v>7.4</v>
      </c>
      <c r="H49" t="b">
        <f t="shared" si="3"/>
        <v>1</v>
      </c>
      <c r="I49" t="b">
        <f t="shared" si="7"/>
        <v>0</v>
      </c>
      <c r="J49" t="b">
        <f t="shared" si="5"/>
        <v>1</v>
      </c>
      <c r="K49" t="b">
        <f t="shared" si="6"/>
        <v>0</v>
      </c>
    </row>
    <row r="50" spans="2:11" x14ac:dyDescent="0.3">
      <c r="B50" s="2">
        <v>68000</v>
      </c>
      <c r="C50" s="2">
        <v>0</v>
      </c>
      <c r="D50" t="e">
        <f t="shared" si="0"/>
        <v>#DIV/0!</v>
      </c>
      <c r="F50" t="b">
        <f t="shared" si="1"/>
        <v>1</v>
      </c>
      <c r="G50" t="str">
        <f t="shared" si="2"/>
        <v>error</v>
      </c>
      <c r="H50" t="e">
        <f t="shared" si="3"/>
        <v>#DIV/0!</v>
      </c>
      <c r="I50" t="e">
        <f t="shared" si="7"/>
        <v>#DIV/0!</v>
      </c>
      <c r="J50" t="b">
        <f t="shared" si="5"/>
        <v>0</v>
      </c>
      <c r="K50" t="b">
        <f t="shared" si="6"/>
        <v>0</v>
      </c>
    </row>
    <row r="51" spans="2:11" x14ac:dyDescent="0.3">
      <c r="B51" s="2">
        <v>45000</v>
      </c>
      <c r="C51" s="2">
        <v>5000</v>
      </c>
      <c r="D51">
        <f t="shared" si="0"/>
        <v>9</v>
      </c>
      <c r="F51" t="b">
        <f t="shared" si="1"/>
        <v>0</v>
      </c>
      <c r="G51">
        <f t="shared" si="2"/>
        <v>9</v>
      </c>
      <c r="H51" t="b">
        <f t="shared" si="3"/>
        <v>1</v>
      </c>
      <c r="I51" t="b">
        <f t="shared" si="7"/>
        <v>0</v>
      </c>
      <c r="J51" t="b">
        <f t="shared" si="5"/>
        <v>1</v>
      </c>
      <c r="K51" t="b">
        <f t="shared" si="6"/>
        <v>0</v>
      </c>
    </row>
    <row r="52" spans="2:11" x14ac:dyDescent="0.3">
      <c r="B52" s="2">
        <v>80000</v>
      </c>
      <c r="C52" s="2">
        <v>0</v>
      </c>
      <c r="D52" t="e">
        <f t="shared" si="0"/>
        <v>#DIV/0!</v>
      </c>
      <c r="F52" t="b">
        <f t="shared" si="1"/>
        <v>1</v>
      </c>
      <c r="G52" t="str">
        <f t="shared" si="2"/>
        <v>error</v>
      </c>
      <c r="H52" t="e">
        <f t="shared" si="3"/>
        <v>#DIV/0!</v>
      </c>
      <c r="I52" t="e">
        <f t="shared" si="7"/>
        <v>#DIV/0!</v>
      </c>
      <c r="J52" t="b">
        <f t="shared" si="5"/>
        <v>0</v>
      </c>
      <c r="K52" t="b">
        <f t="shared" si="6"/>
        <v>0</v>
      </c>
    </row>
    <row r="53" spans="2:11" x14ac:dyDescent="0.3">
      <c r="B53" s="2">
        <v>47000</v>
      </c>
      <c r="C53" s="2">
        <v>8000</v>
      </c>
      <c r="D53">
        <f t="shared" si="0"/>
        <v>5.875</v>
      </c>
      <c r="F53" t="b">
        <f t="shared" si="1"/>
        <v>0</v>
      </c>
      <c r="G53">
        <f t="shared" si="2"/>
        <v>5.875</v>
      </c>
      <c r="H53" t="b">
        <f t="shared" si="3"/>
        <v>1</v>
      </c>
      <c r="I53" t="b">
        <f t="shared" si="7"/>
        <v>0</v>
      </c>
      <c r="J53" t="b">
        <f t="shared" si="5"/>
        <v>1</v>
      </c>
      <c r="K53" t="b">
        <f t="shared" si="6"/>
        <v>0</v>
      </c>
    </row>
    <row r="54" spans="2:11" x14ac:dyDescent="0.3">
      <c r="B54" s="2">
        <v>53000</v>
      </c>
      <c r="C54" s="2">
        <v>0</v>
      </c>
      <c r="D54" t="e">
        <f t="shared" si="0"/>
        <v>#DIV/0!</v>
      </c>
      <c r="F54" t="b">
        <f t="shared" si="1"/>
        <v>1</v>
      </c>
      <c r="G54" t="str">
        <f t="shared" si="2"/>
        <v>error</v>
      </c>
      <c r="H54" t="e">
        <f t="shared" si="3"/>
        <v>#DIV/0!</v>
      </c>
      <c r="I54" t="e">
        <f t="shared" si="7"/>
        <v>#DIV/0!</v>
      </c>
      <c r="J54" t="b">
        <f t="shared" si="5"/>
        <v>0</v>
      </c>
      <c r="K54" t="b">
        <f t="shared" si="6"/>
        <v>0</v>
      </c>
    </row>
    <row r="55" spans="2:11" x14ac:dyDescent="0.3">
      <c r="B55" s="2">
        <v>71000</v>
      </c>
      <c r="C55" s="2">
        <v>13000</v>
      </c>
      <c r="D55">
        <f t="shared" si="0"/>
        <v>5.4615384615384617</v>
      </c>
      <c r="F55" t="b">
        <f t="shared" si="1"/>
        <v>0</v>
      </c>
      <c r="G55">
        <f t="shared" si="2"/>
        <v>5.4615384615384617</v>
      </c>
      <c r="H55" t="b">
        <f t="shared" si="3"/>
        <v>1</v>
      </c>
      <c r="I55" t="b">
        <f t="shared" si="7"/>
        <v>0</v>
      </c>
      <c r="J55" t="b">
        <f t="shared" si="5"/>
        <v>1</v>
      </c>
      <c r="K55" t="b">
        <f t="shared" si="6"/>
        <v>0</v>
      </c>
    </row>
    <row r="56" spans="2:11" x14ac:dyDescent="0.3">
      <c r="B56" s="2">
        <v>67000</v>
      </c>
      <c r="C56" s="2">
        <v>0</v>
      </c>
      <c r="D56" t="e">
        <f t="shared" si="0"/>
        <v>#DIV/0!</v>
      </c>
      <c r="F56" t="b">
        <f t="shared" si="1"/>
        <v>1</v>
      </c>
      <c r="G56" t="str">
        <f t="shared" si="2"/>
        <v>error</v>
      </c>
      <c r="H56" t="e">
        <f t="shared" si="3"/>
        <v>#DIV/0!</v>
      </c>
      <c r="I56" t="e">
        <f t="shared" si="7"/>
        <v>#DIV/0!</v>
      </c>
      <c r="J56" t="b">
        <f t="shared" si="5"/>
        <v>0</v>
      </c>
      <c r="K56" t="b">
        <f t="shared" si="6"/>
        <v>0</v>
      </c>
    </row>
    <row r="57" spans="2:11" x14ac:dyDescent="0.3">
      <c r="B57" s="2">
        <v>55000</v>
      </c>
      <c r="C57" s="2">
        <v>7000</v>
      </c>
      <c r="D57">
        <f t="shared" si="0"/>
        <v>7.8571428571428568</v>
      </c>
      <c r="F57" t="b">
        <f t="shared" si="1"/>
        <v>0</v>
      </c>
      <c r="G57">
        <f t="shared" si="2"/>
        <v>7.8571428571428568</v>
      </c>
      <c r="H57" t="b">
        <f t="shared" si="3"/>
        <v>1</v>
      </c>
      <c r="I57" t="b">
        <f t="shared" si="7"/>
        <v>0</v>
      </c>
      <c r="J57" t="b">
        <f t="shared" si="5"/>
        <v>1</v>
      </c>
      <c r="K57" t="b">
        <f t="shared" si="6"/>
        <v>0</v>
      </c>
    </row>
    <row r="58" spans="2:11" x14ac:dyDescent="0.3">
      <c r="B58" s="2">
        <v>48000</v>
      </c>
      <c r="C58" s="2">
        <v>0</v>
      </c>
      <c r="D58" t="e">
        <f t="shared" si="0"/>
        <v>#DIV/0!</v>
      </c>
      <c r="F58" t="b">
        <f t="shared" si="1"/>
        <v>1</v>
      </c>
      <c r="G58" t="str">
        <f t="shared" si="2"/>
        <v>error</v>
      </c>
      <c r="H58" t="e">
        <f t="shared" si="3"/>
        <v>#DIV/0!</v>
      </c>
      <c r="I58" t="e">
        <f t="shared" si="7"/>
        <v>#DIV/0!</v>
      </c>
      <c r="J58" t="b">
        <f t="shared" si="5"/>
        <v>0</v>
      </c>
      <c r="K58" t="b">
        <f t="shared" si="6"/>
        <v>0</v>
      </c>
    </row>
    <row r="59" spans="2:11" x14ac:dyDescent="0.3">
      <c r="B59" s="2">
        <v>62000</v>
      </c>
      <c r="C59" s="2">
        <v>12000</v>
      </c>
      <c r="D59">
        <f t="shared" si="0"/>
        <v>5.166666666666667</v>
      </c>
      <c r="F59" t="b">
        <f t="shared" si="1"/>
        <v>0</v>
      </c>
      <c r="G59">
        <f t="shared" si="2"/>
        <v>5.166666666666667</v>
      </c>
      <c r="H59" t="b">
        <f t="shared" si="3"/>
        <v>1</v>
      </c>
      <c r="I59" t="b">
        <f t="shared" si="7"/>
        <v>0</v>
      </c>
      <c r="J59" t="b">
        <f t="shared" si="5"/>
        <v>1</v>
      </c>
      <c r="K59" t="b">
        <f t="shared" si="6"/>
        <v>0</v>
      </c>
    </row>
    <row r="60" spans="2:11" x14ac:dyDescent="0.3">
      <c r="B60" s="2">
        <v>69000</v>
      </c>
      <c r="C60" s="2">
        <v>0</v>
      </c>
      <c r="D60" t="e">
        <f t="shared" si="0"/>
        <v>#DIV/0!</v>
      </c>
      <c r="F60" t="b">
        <f t="shared" si="1"/>
        <v>1</v>
      </c>
      <c r="G60" t="str">
        <f t="shared" si="2"/>
        <v>error</v>
      </c>
      <c r="H60" t="e">
        <f t="shared" si="3"/>
        <v>#DIV/0!</v>
      </c>
      <c r="I60" t="e">
        <f t="shared" si="7"/>
        <v>#DIV/0!</v>
      </c>
      <c r="J60" t="b">
        <f t="shared" si="5"/>
        <v>0</v>
      </c>
      <c r="K60" t="b">
        <f t="shared" si="6"/>
        <v>0</v>
      </c>
    </row>
    <row r="61" spans="2:11" x14ac:dyDescent="0.3">
      <c r="B61" s="2">
        <v>74000</v>
      </c>
      <c r="C61" s="2">
        <v>15000</v>
      </c>
      <c r="D61">
        <f t="shared" si="0"/>
        <v>4.9333333333333336</v>
      </c>
      <c r="F61" t="b">
        <f t="shared" si="1"/>
        <v>0</v>
      </c>
      <c r="G61">
        <f t="shared" si="2"/>
        <v>4.9333333333333336</v>
      </c>
      <c r="H61" t="b">
        <f t="shared" si="3"/>
        <v>0</v>
      </c>
      <c r="I61" t="b">
        <f t="shared" si="7"/>
        <v>1</v>
      </c>
      <c r="J61" t="b">
        <f t="shared" si="5"/>
        <v>1</v>
      </c>
      <c r="K61" t="b">
        <f t="shared" si="6"/>
        <v>0</v>
      </c>
    </row>
    <row r="62" spans="2:11" x14ac:dyDescent="0.3">
      <c r="B62" s="2">
        <v>50000</v>
      </c>
      <c r="C62" s="2">
        <v>0</v>
      </c>
      <c r="D62" t="e">
        <f t="shared" si="0"/>
        <v>#DIV/0!</v>
      </c>
      <c r="F62" t="b">
        <f t="shared" si="1"/>
        <v>1</v>
      </c>
      <c r="G62" t="str">
        <f t="shared" si="2"/>
        <v>error</v>
      </c>
      <c r="H62" t="e">
        <f t="shared" si="3"/>
        <v>#DIV/0!</v>
      </c>
      <c r="I62" t="e">
        <f t="shared" si="7"/>
        <v>#DIV/0!</v>
      </c>
      <c r="J62" t="b">
        <f t="shared" si="5"/>
        <v>0</v>
      </c>
      <c r="K62" t="b">
        <f t="shared" si="6"/>
        <v>0</v>
      </c>
    </row>
    <row r="63" spans="2:11" x14ac:dyDescent="0.3">
      <c r="B63" s="2">
        <v>55000</v>
      </c>
      <c r="C63" s="2">
        <v>10000</v>
      </c>
      <c r="D63">
        <f t="shared" si="0"/>
        <v>5.5</v>
      </c>
      <c r="F63" t="b">
        <f t="shared" si="1"/>
        <v>0</v>
      </c>
      <c r="G63">
        <f t="shared" si="2"/>
        <v>5.5</v>
      </c>
      <c r="H63" t="b">
        <f t="shared" si="3"/>
        <v>1</v>
      </c>
      <c r="I63" t="b">
        <f t="shared" si="7"/>
        <v>0</v>
      </c>
      <c r="J63" t="b">
        <f t="shared" si="5"/>
        <v>1</v>
      </c>
      <c r="K63" t="b">
        <f t="shared" si="6"/>
        <v>0</v>
      </c>
    </row>
    <row r="64" spans="2:11" x14ac:dyDescent="0.3">
      <c r="B64" s="2">
        <v>62000</v>
      </c>
      <c r="C64" s="2">
        <v>0</v>
      </c>
      <c r="D64" t="e">
        <f t="shared" si="0"/>
        <v>#DIV/0!</v>
      </c>
      <c r="F64" t="b">
        <f t="shared" si="1"/>
        <v>1</v>
      </c>
      <c r="G64" t="str">
        <f t="shared" si="2"/>
        <v>error</v>
      </c>
      <c r="H64" t="e">
        <f t="shared" si="3"/>
        <v>#DIV/0!</v>
      </c>
      <c r="I64" t="e">
        <f t="shared" si="7"/>
        <v>#DIV/0!</v>
      </c>
      <c r="J64" t="b">
        <f t="shared" si="5"/>
        <v>0</v>
      </c>
      <c r="K64" t="b">
        <f t="shared" si="6"/>
        <v>0</v>
      </c>
    </row>
    <row r="65" spans="2:11" x14ac:dyDescent="0.3">
      <c r="B65" s="2">
        <v>48000</v>
      </c>
      <c r="C65" s="2">
        <v>5000</v>
      </c>
      <c r="D65">
        <f t="shared" si="0"/>
        <v>9.6</v>
      </c>
      <c r="F65" t="b">
        <f t="shared" si="1"/>
        <v>0</v>
      </c>
      <c r="G65">
        <f t="shared" si="2"/>
        <v>9.6</v>
      </c>
      <c r="H65" t="b">
        <f t="shared" si="3"/>
        <v>1</v>
      </c>
      <c r="I65" t="b">
        <f t="shared" si="7"/>
        <v>0</v>
      </c>
      <c r="J65" t="b">
        <f t="shared" si="5"/>
        <v>1</v>
      </c>
      <c r="K65" t="b">
        <f t="shared" si="6"/>
        <v>0</v>
      </c>
    </row>
    <row r="66" spans="2:11" x14ac:dyDescent="0.3">
      <c r="B66" s="2">
        <v>59000</v>
      </c>
      <c r="C66" s="2">
        <v>0</v>
      </c>
      <c r="D66" t="e">
        <f t="shared" si="0"/>
        <v>#DIV/0!</v>
      </c>
      <c r="F66" t="b">
        <f t="shared" si="1"/>
        <v>1</v>
      </c>
      <c r="G66" t="str">
        <f t="shared" si="2"/>
        <v>error</v>
      </c>
      <c r="H66" t="e">
        <f t="shared" si="3"/>
        <v>#DIV/0!</v>
      </c>
      <c r="I66" t="e">
        <f t="shared" si="7"/>
        <v>#DIV/0!</v>
      </c>
      <c r="J66" t="b">
        <f t="shared" si="5"/>
        <v>0</v>
      </c>
      <c r="K66" t="b">
        <f t="shared" si="6"/>
        <v>0</v>
      </c>
    </row>
    <row r="67" spans="2:11" x14ac:dyDescent="0.3">
      <c r="B67" s="2">
        <v>73000</v>
      </c>
      <c r="C67" s="2">
        <v>13000</v>
      </c>
      <c r="D67">
        <f t="shared" si="0"/>
        <v>5.615384615384615</v>
      </c>
      <c r="F67" t="b">
        <f t="shared" si="1"/>
        <v>0</v>
      </c>
      <c r="G67">
        <f t="shared" si="2"/>
        <v>5.615384615384615</v>
      </c>
      <c r="H67" t="b">
        <f t="shared" si="3"/>
        <v>1</v>
      </c>
      <c r="I67" t="b">
        <f t="shared" si="7"/>
        <v>0</v>
      </c>
      <c r="J67" t="b">
        <f t="shared" si="5"/>
        <v>1</v>
      </c>
      <c r="K67" t="b">
        <f t="shared" si="6"/>
        <v>0</v>
      </c>
    </row>
    <row r="68" spans="2:11" x14ac:dyDescent="0.3">
      <c r="B68" s="2">
        <v>65000</v>
      </c>
      <c r="C68" s="2">
        <v>0</v>
      </c>
      <c r="D68" t="e">
        <f t="shared" si="0"/>
        <v>#DIV/0!</v>
      </c>
      <c r="F68" t="b">
        <f t="shared" si="1"/>
        <v>1</v>
      </c>
      <c r="G68" t="str">
        <f t="shared" si="2"/>
        <v>error</v>
      </c>
      <c r="H68" t="e">
        <f t="shared" si="3"/>
        <v>#DIV/0!</v>
      </c>
      <c r="I68" t="e">
        <f t="shared" si="7"/>
        <v>#DIV/0!</v>
      </c>
      <c r="J68" t="b">
        <f t="shared" si="5"/>
        <v>0</v>
      </c>
      <c r="K68" t="b">
        <f t="shared" si="6"/>
        <v>0</v>
      </c>
    </row>
    <row r="69" spans="2:11" x14ac:dyDescent="0.3">
      <c r="B69" s="2">
        <v>60000</v>
      </c>
      <c r="C69" s="2">
        <v>8000</v>
      </c>
      <c r="D69">
        <f t="shared" si="0"/>
        <v>7.5</v>
      </c>
      <c r="F69" t="b">
        <f t="shared" si="1"/>
        <v>0</v>
      </c>
      <c r="G69">
        <f t="shared" si="2"/>
        <v>7.5</v>
      </c>
      <c r="H69" t="b">
        <f t="shared" si="3"/>
        <v>1</v>
      </c>
      <c r="I69" t="b">
        <f t="shared" si="7"/>
        <v>0</v>
      </c>
      <c r="J69" t="b">
        <f t="shared" si="5"/>
        <v>1</v>
      </c>
      <c r="K69" t="b">
        <f t="shared" si="6"/>
        <v>0</v>
      </c>
    </row>
    <row r="70" spans="2:11" x14ac:dyDescent="0.3">
      <c r="B70" s="2">
        <v>53000</v>
      </c>
      <c r="C70" s="2">
        <v>0</v>
      </c>
      <c r="D70" t="e">
        <f t="shared" si="0"/>
        <v>#DIV/0!</v>
      </c>
      <c r="F70" t="b">
        <f t="shared" si="1"/>
        <v>1</v>
      </c>
      <c r="G70" t="str">
        <f t="shared" si="2"/>
        <v>error</v>
      </c>
      <c r="H70" t="e">
        <f t="shared" si="3"/>
        <v>#DIV/0!</v>
      </c>
      <c r="I70" t="e">
        <f t="shared" si="7"/>
        <v>#DIV/0!</v>
      </c>
      <c r="J70" t="b">
        <f t="shared" si="5"/>
        <v>0</v>
      </c>
      <c r="K70" t="b">
        <f t="shared" si="6"/>
        <v>0</v>
      </c>
    </row>
    <row r="71" spans="2:11" x14ac:dyDescent="0.3">
      <c r="B71" s="2">
        <v>68000</v>
      </c>
      <c r="C71" s="2">
        <v>15000</v>
      </c>
      <c r="D71">
        <f t="shared" si="0"/>
        <v>4.5333333333333332</v>
      </c>
      <c r="F71" t="b">
        <f t="shared" si="1"/>
        <v>0</v>
      </c>
      <c r="G71">
        <f t="shared" si="2"/>
        <v>4.5333333333333332</v>
      </c>
      <c r="H71" t="b">
        <f t="shared" si="3"/>
        <v>0</v>
      </c>
      <c r="I71" t="b">
        <f t="shared" si="7"/>
        <v>1</v>
      </c>
      <c r="J71" t="b">
        <f t="shared" si="5"/>
        <v>1</v>
      </c>
      <c r="K71" t="b">
        <f t="shared" si="6"/>
        <v>0</v>
      </c>
    </row>
    <row r="72" spans="2:11" x14ac:dyDescent="0.3">
      <c r="B72" s="2">
        <v>71000</v>
      </c>
      <c r="C72" s="2">
        <v>0</v>
      </c>
      <c r="D72" t="e">
        <f t="shared" si="0"/>
        <v>#DIV/0!</v>
      </c>
      <c r="F72" t="b">
        <f t="shared" si="1"/>
        <v>1</v>
      </c>
      <c r="G72" t="str">
        <f t="shared" si="2"/>
        <v>error</v>
      </c>
      <c r="H72" t="e">
        <f t="shared" si="3"/>
        <v>#DIV/0!</v>
      </c>
      <c r="I72" t="e">
        <f t="shared" si="7"/>
        <v>#DIV/0!</v>
      </c>
      <c r="J72" t="b">
        <f t="shared" si="5"/>
        <v>0</v>
      </c>
      <c r="K72" t="b">
        <f t="shared" si="6"/>
        <v>0</v>
      </c>
    </row>
    <row r="73" spans="2:11" x14ac:dyDescent="0.3">
      <c r="B73" s="2">
        <v>56000</v>
      </c>
      <c r="C73" s="2">
        <v>10000</v>
      </c>
      <c r="D73">
        <f t="shared" si="0"/>
        <v>5.6</v>
      </c>
      <c r="F73" t="b">
        <f t="shared" si="1"/>
        <v>0</v>
      </c>
      <c r="G73">
        <f t="shared" si="2"/>
        <v>5.6</v>
      </c>
      <c r="H73" t="b">
        <f t="shared" si="3"/>
        <v>1</v>
      </c>
      <c r="I73" t="b">
        <f t="shared" si="7"/>
        <v>0</v>
      </c>
      <c r="J73" t="b">
        <f t="shared" si="5"/>
        <v>1</v>
      </c>
      <c r="K73" t="b">
        <f t="shared" si="6"/>
        <v>0</v>
      </c>
    </row>
    <row r="74" spans="2:11" x14ac:dyDescent="0.3">
      <c r="B74" s="2">
        <v>45000</v>
      </c>
      <c r="C74" s="2">
        <v>0</v>
      </c>
      <c r="D74" t="e">
        <f t="shared" si="0"/>
        <v>#DIV/0!</v>
      </c>
      <c r="F74" t="b">
        <f t="shared" si="1"/>
        <v>1</v>
      </c>
      <c r="G74" t="str">
        <f t="shared" si="2"/>
        <v>error</v>
      </c>
      <c r="H74" t="e">
        <f t="shared" si="3"/>
        <v>#DIV/0!</v>
      </c>
      <c r="I74" t="e">
        <f t="shared" si="7"/>
        <v>#DIV/0!</v>
      </c>
      <c r="J74" t="b">
        <f t="shared" si="5"/>
        <v>0</v>
      </c>
      <c r="K74" t="b">
        <f t="shared" si="6"/>
        <v>0</v>
      </c>
    </row>
    <row r="75" spans="2:11" x14ac:dyDescent="0.3">
      <c r="B75" s="2">
        <v>74000</v>
      </c>
      <c r="C75" s="2">
        <v>12000</v>
      </c>
      <c r="D75">
        <f t="shared" si="0"/>
        <v>6.166666666666667</v>
      </c>
      <c r="F75" t="b">
        <f t="shared" si="1"/>
        <v>0</v>
      </c>
      <c r="G75">
        <f t="shared" si="2"/>
        <v>6.166666666666667</v>
      </c>
      <c r="H75" t="b">
        <f t="shared" si="3"/>
        <v>0</v>
      </c>
      <c r="I75" t="b">
        <f t="shared" si="7"/>
        <v>1</v>
      </c>
      <c r="J75" t="b">
        <f t="shared" si="5"/>
        <v>1</v>
      </c>
      <c r="K75" t="b">
        <f t="shared" si="6"/>
        <v>0</v>
      </c>
    </row>
    <row r="76" spans="2:11" x14ac:dyDescent="0.3">
      <c r="B76" s="2">
        <v>63000</v>
      </c>
      <c r="C76" s="2">
        <v>0</v>
      </c>
      <c r="D76" t="e">
        <f t="shared" si="0"/>
        <v>#DIV/0!</v>
      </c>
      <c r="F76" t="b">
        <f t="shared" si="1"/>
        <v>1</v>
      </c>
      <c r="G76" t="str">
        <f t="shared" si="2"/>
        <v>error</v>
      </c>
      <c r="H76" t="e">
        <f t="shared" si="3"/>
        <v>#DIV/0!</v>
      </c>
      <c r="I76" t="e">
        <f t="shared" si="7"/>
        <v>#DIV/0!</v>
      </c>
      <c r="J76" t="b">
        <f t="shared" si="5"/>
        <v>0</v>
      </c>
      <c r="K76" t="b">
        <f t="shared" si="6"/>
        <v>0</v>
      </c>
    </row>
    <row r="77" spans="2:11" x14ac:dyDescent="0.3">
      <c r="B77" s="2">
        <v>47000</v>
      </c>
      <c r="C77" s="2">
        <v>5000</v>
      </c>
      <c r="D77">
        <f t="shared" si="0"/>
        <v>9.4</v>
      </c>
      <c r="F77" t="b">
        <f t="shared" si="1"/>
        <v>0</v>
      </c>
      <c r="G77">
        <f t="shared" si="2"/>
        <v>9.4</v>
      </c>
      <c r="H77" t="b">
        <f t="shared" si="3"/>
        <v>1</v>
      </c>
      <c r="I77" t="b">
        <f t="shared" si="7"/>
        <v>0</v>
      </c>
      <c r="J77" t="b">
        <f t="shared" si="5"/>
        <v>1</v>
      </c>
      <c r="K77" t="b">
        <f t="shared" si="6"/>
        <v>0</v>
      </c>
    </row>
    <row r="78" spans="2:11" x14ac:dyDescent="0.3">
      <c r="B78" s="2">
        <v>55000</v>
      </c>
      <c r="C78" s="2">
        <v>0</v>
      </c>
      <c r="D78" t="e">
        <f t="shared" si="0"/>
        <v>#DIV/0!</v>
      </c>
      <c r="F78" t="b">
        <f t="shared" si="1"/>
        <v>1</v>
      </c>
      <c r="G78" t="str">
        <f t="shared" si="2"/>
        <v>error</v>
      </c>
      <c r="H78" t="e">
        <f t="shared" si="3"/>
        <v>#DIV/0!</v>
      </c>
      <c r="I78" t="e">
        <f t="shared" si="7"/>
        <v>#DIV/0!</v>
      </c>
      <c r="J78" t="b">
        <f t="shared" si="5"/>
        <v>0</v>
      </c>
      <c r="K78" t="b">
        <f t="shared" si="6"/>
        <v>0</v>
      </c>
    </row>
    <row r="79" spans="2:11" x14ac:dyDescent="0.3">
      <c r="B79" s="2">
        <v>62000</v>
      </c>
      <c r="C79" s="2">
        <v>10000</v>
      </c>
      <c r="D79">
        <f t="shared" si="0"/>
        <v>6.2</v>
      </c>
      <c r="F79" t="b">
        <f t="shared" si="1"/>
        <v>0</v>
      </c>
      <c r="G79">
        <f t="shared" si="2"/>
        <v>6.2</v>
      </c>
      <c r="H79" t="b">
        <f t="shared" si="3"/>
        <v>0</v>
      </c>
      <c r="I79" t="b">
        <f t="shared" si="7"/>
        <v>1</v>
      </c>
      <c r="J79" t="b">
        <f t="shared" si="5"/>
        <v>1</v>
      </c>
      <c r="K79" t="b">
        <f t="shared" si="6"/>
        <v>0</v>
      </c>
    </row>
    <row r="80" spans="2:11" x14ac:dyDescent="0.3">
      <c r="B80" s="2">
        <v>67000</v>
      </c>
      <c r="C80" s="2">
        <v>0</v>
      </c>
      <c r="D80" t="e">
        <f t="shared" si="0"/>
        <v>#DIV/0!</v>
      </c>
      <c r="F80" t="b">
        <f t="shared" si="1"/>
        <v>1</v>
      </c>
      <c r="G80" t="str">
        <f t="shared" si="2"/>
        <v>error</v>
      </c>
      <c r="H80" t="e">
        <f t="shared" si="3"/>
        <v>#DIV/0!</v>
      </c>
      <c r="I80" t="e">
        <f t="shared" si="7"/>
        <v>#DIV/0!</v>
      </c>
      <c r="J80" t="b">
        <f t="shared" si="5"/>
        <v>0</v>
      </c>
      <c r="K80" t="b">
        <f t="shared" si="6"/>
        <v>0</v>
      </c>
    </row>
    <row r="81" spans="2:11" x14ac:dyDescent="0.3">
      <c r="B81" s="2">
        <v>49000</v>
      </c>
      <c r="C81" s="2">
        <v>7000</v>
      </c>
      <c r="D81">
        <f t="shared" si="0"/>
        <v>7</v>
      </c>
      <c r="F81" t="b">
        <f t="shared" si="1"/>
        <v>0</v>
      </c>
      <c r="G81">
        <f t="shared" si="2"/>
        <v>7</v>
      </c>
      <c r="H81" t="b">
        <f t="shared" si="3"/>
        <v>1</v>
      </c>
      <c r="I81" t="b">
        <f t="shared" si="7"/>
        <v>0</v>
      </c>
      <c r="J81" t="b">
        <f t="shared" si="5"/>
        <v>1</v>
      </c>
      <c r="K81" t="b">
        <f t="shared" si="6"/>
        <v>0</v>
      </c>
    </row>
    <row r="82" spans="2:11" x14ac:dyDescent="0.3">
      <c r="B82" s="2">
        <v>71000</v>
      </c>
      <c r="C82" s="2">
        <v>0</v>
      </c>
      <c r="D82" t="e">
        <f t="shared" si="0"/>
        <v>#DIV/0!</v>
      </c>
      <c r="F82" t="b">
        <f t="shared" si="1"/>
        <v>1</v>
      </c>
      <c r="G82" t="str">
        <f t="shared" si="2"/>
        <v>error</v>
      </c>
      <c r="H82" t="e">
        <f t="shared" si="3"/>
        <v>#DIV/0!</v>
      </c>
      <c r="I82" t="e">
        <f t="shared" si="7"/>
        <v>#DIV/0!</v>
      </c>
      <c r="J82" t="b">
        <f t="shared" si="5"/>
        <v>0</v>
      </c>
      <c r="K82" t="b">
        <f t="shared" si="6"/>
        <v>0</v>
      </c>
    </row>
    <row r="83" spans="2:11" x14ac:dyDescent="0.3">
      <c r="B83" s="2">
        <v>73000</v>
      </c>
      <c r="C83" s="2">
        <v>13000</v>
      </c>
      <c r="D83">
        <f t="shared" si="0"/>
        <v>5.615384615384615</v>
      </c>
      <c r="F83" t="b">
        <f t="shared" si="1"/>
        <v>0</v>
      </c>
      <c r="G83">
        <f t="shared" si="2"/>
        <v>5.615384615384615</v>
      </c>
      <c r="H83" t="b">
        <f t="shared" si="3"/>
        <v>1</v>
      </c>
      <c r="I83" t="b">
        <f t="shared" si="7"/>
        <v>0</v>
      </c>
      <c r="J83" t="b">
        <f t="shared" si="5"/>
        <v>1</v>
      </c>
      <c r="K83" t="b">
        <f t="shared" si="6"/>
        <v>0</v>
      </c>
    </row>
    <row r="84" spans="2:11" x14ac:dyDescent="0.3">
      <c r="B84" s="2">
        <v>47000</v>
      </c>
      <c r="C84" s="2">
        <v>0</v>
      </c>
      <c r="D84" t="e">
        <f t="shared" si="0"/>
        <v>#DIV/0!</v>
      </c>
      <c r="F84" t="b">
        <f t="shared" si="1"/>
        <v>1</v>
      </c>
      <c r="G84" t="str">
        <f t="shared" si="2"/>
        <v>error</v>
      </c>
      <c r="H84" t="e">
        <f t="shared" si="3"/>
        <v>#DIV/0!</v>
      </c>
      <c r="I84" t="e">
        <f t="shared" si="7"/>
        <v>#DIV/0!</v>
      </c>
      <c r="J84" t="b">
        <f t="shared" si="5"/>
        <v>0</v>
      </c>
      <c r="K84" t="b">
        <f t="shared" si="6"/>
        <v>0</v>
      </c>
    </row>
    <row r="85" spans="2:11" x14ac:dyDescent="0.3">
      <c r="B85" s="2">
        <v>53000</v>
      </c>
      <c r="C85" s="2">
        <v>8000</v>
      </c>
      <c r="D85">
        <f t="shared" si="0"/>
        <v>6.625</v>
      </c>
      <c r="F85" t="b">
        <f t="shared" si="1"/>
        <v>0</v>
      </c>
      <c r="G85">
        <f t="shared" si="2"/>
        <v>6.625</v>
      </c>
      <c r="H85" t="b">
        <f t="shared" si="3"/>
        <v>0</v>
      </c>
      <c r="I85" t="b">
        <f t="shared" si="7"/>
        <v>1</v>
      </c>
      <c r="J85" t="b">
        <f t="shared" si="5"/>
        <v>1</v>
      </c>
      <c r="K85" t="b">
        <f t="shared" si="6"/>
        <v>0</v>
      </c>
    </row>
    <row r="86" spans="2:11" x14ac:dyDescent="0.3">
      <c r="B86" s="2">
        <v>69000</v>
      </c>
      <c r="C86" s="2">
        <v>0</v>
      </c>
      <c r="D86" t="e">
        <f t="shared" si="0"/>
        <v>#DIV/0!</v>
      </c>
      <c r="F86" t="b">
        <f t="shared" si="1"/>
        <v>1</v>
      </c>
      <c r="G86" t="str">
        <f t="shared" si="2"/>
        <v>error</v>
      </c>
      <c r="H86" t="e">
        <f t="shared" si="3"/>
        <v>#DIV/0!</v>
      </c>
      <c r="I86" t="e">
        <f t="shared" si="7"/>
        <v>#DIV/0!</v>
      </c>
      <c r="J86" t="b">
        <f t="shared" si="5"/>
        <v>0</v>
      </c>
      <c r="K86" t="b">
        <f t="shared" si="6"/>
        <v>0</v>
      </c>
    </row>
    <row r="87" spans="2:11" x14ac:dyDescent="0.3">
      <c r="B87" s="2">
        <v>45000</v>
      </c>
      <c r="C87" s="2">
        <v>5000</v>
      </c>
      <c r="D87">
        <f t="shared" si="0"/>
        <v>9</v>
      </c>
      <c r="F87" t="b">
        <f t="shared" si="1"/>
        <v>0</v>
      </c>
      <c r="G87">
        <f t="shared" si="2"/>
        <v>9</v>
      </c>
      <c r="H87" t="b">
        <f t="shared" si="3"/>
        <v>1</v>
      </c>
      <c r="I87" t="b">
        <f t="shared" si="7"/>
        <v>0</v>
      </c>
      <c r="J87" t="b">
        <f t="shared" si="5"/>
        <v>1</v>
      </c>
      <c r="K87" t="b">
        <f t="shared" si="6"/>
        <v>0</v>
      </c>
    </row>
    <row r="88" spans="2:11" x14ac:dyDescent="0.3">
      <c r="B88" s="2">
        <v>74000</v>
      </c>
      <c r="C88" s="2">
        <v>0</v>
      </c>
      <c r="D88" t="e">
        <f t="shared" si="0"/>
        <v>#DIV/0!</v>
      </c>
      <c r="F88" t="b">
        <f t="shared" si="1"/>
        <v>1</v>
      </c>
      <c r="G88" t="str">
        <f t="shared" si="2"/>
        <v>error</v>
      </c>
      <c r="H88" t="e">
        <f t="shared" si="3"/>
        <v>#DIV/0!</v>
      </c>
      <c r="I88" t="e">
        <f t="shared" si="7"/>
        <v>#DIV/0!</v>
      </c>
      <c r="J88" t="b">
        <f t="shared" si="5"/>
        <v>0</v>
      </c>
      <c r="K88" t="b">
        <f t="shared" si="6"/>
        <v>0</v>
      </c>
    </row>
    <row r="89" spans="2:11" x14ac:dyDescent="0.3">
      <c r="B89" s="2">
        <v>60000</v>
      </c>
      <c r="C89" s="2">
        <v>8000</v>
      </c>
      <c r="D89">
        <f t="shared" si="0"/>
        <v>7.5</v>
      </c>
      <c r="F89" t="b">
        <f t="shared" si="1"/>
        <v>0</v>
      </c>
      <c r="G89">
        <f t="shared" si="2"/>
        <v>7.5</v>
      </c>
      <c r="H89" t="b">
        <f t="shared" si="3"/>
        <v>1</v>
      </c>
      <c r="I89" t="b">
        <f t="shared" si="7"/>
        <v>0</v>
      </c>
      <c r="J89" t="b">
        <f t="shared" si="5"/>
        <v>1</v>
      </c>
      <c r="K89" t="b">
        <f t="shared" si="6"/>
        <v>0</v>
      </c>
    </row>
    <row r="90" spans="2:11" x14ac:dyDescent="0.3">
      <c r="B90" s="2">
        <v>55000</v>
      </c>
      <c r="C90" s="2">
        <v>0</v>
      </c>
      <c r="D90" t="e">
        <f t="shared" si="0"/>
        <v>#DIV/0!</v>
      </c>
      <c r="F90" t="b">
        <f t="shared" si="1"/>
        <v>1</v>
      </c>
      <c r="G90" t="str">
        <f t="shared" si="2"/>
        <v>error</v>
      </c>
      <c r="H90" t="e">
        <f t="shared" si="3"/>
        <v>#DIV/0!</v>
      </c>
      <c r="I90" t="e">
        <f t="shared" si="7"/>
        <v>#DIV/0!</v>
      </c>
      <c r="J90" t="b">
        <f t="shared" si="5"/>
        <v>0</v>
      </c>
      <c r="K90" t="b">
        <f t="shared" si="6"/>
        <v>0</v>
      </c>
    </row>
    <row r="91" spans="2:11" x14ac:dyDescent="0.3">
      <c r="B91" s="2">
        <v>67000</v>
      </c>
      <c r="C91" s="2">
        <v>12000</v>
      </c>
      <c r="D91">
        <f t="shared" si="0"/>
        <v>5.583333333333333</v>
      </c>
      <c r="F91" t="b">
        <f t="shared" si="1"/>
        <v>0</v>
      </c>
      <c r="G91">
        <f t="shared" si="2"/>
        <v>5.583333333333333</v>
      </c>
      <c r="H91" t="b">
        <f t="shared" si="3"/>
        <v>1</v>
      </c>
      <c r="I91" t="b">
        <f t="shared" si="7"/>
        <v>0</v>
      </c>
      <c r="J91" t="b">
        <f t="shared" si="5"/>
        <v>1</v>
      </c>
      <c r="K91" t="b">
        <f t="shared" si="6"/>
        <v>0</v>
      </c>
    </row>
    <row r="92" spans="2:11" x14ac:dyDescent="0.3">
      <c r="B92" s="2">
        <v>48000</v>
      </c>
      <c r="C92" s="2">
        <v>0</v>
      </c>
      <c r="D92" t="e">
        <f t="shared" si="0"/>
        <v>#DIV/0!</v>
      </c>
      <c r="F92" t="b">
        <f t="shared" si="1"/>
        <v>1</v>
      </c>
      <c r="G92" t="str">
        <f t="shared" si="2"/>
        <v>error</v>
      </c>
      <c r="H92" t="e">
        <f t="shared" si="3"/>
        <v>#DIV/0!</v>
      </c>
      <c r="I92" t="e">
        <f t="shared" si="7"/>
        <v>#DIV/0!</v>
      </c>
      <c r="J92" t="b">
        <f t="shared" si="5"/>
        <v>0</v>
      </c>
      <c r="K92" t="b">
        <f t="shared" si="6"/>
        <v>0</v>
      </c>
    </row>
    <row r="93" spans="2:11" x14ac:dyDescent="0.3">
      <c r="B93" s="2">
        <v>70000</v>
      </c>
      <c r="C93" s="2">
        <v>15000</v>
      </c>
      <c r="D93">
        <f t="shared" ref="D93:D156" si="8">B93/C93</f>
        <v>4.666666666666667</v>
      </c>
      <c r="F93" t="b">
        <f t="shared" ref="F93:F156" si="9">ISERROR(D93)</f>
        <v>0</v>
      </c>
      <c r="G93">
        <f t="shared" ref="G93:G156" si="10">IFERROR(D93,"error")</f>
        <v>4.666666666666667</v>
      </c>
      <c r="H93" t="b">
        <f t="shared" ref="H93:H156" si="11">ISODD(D93)</f>
        <v>0</v>
      </c>
      <c r="I93" t="b">
        <f t="shared" si="7"/>
        <v>1</v>
      </c>
      <c r="J93" t="b">
        <f t="shared" ref="J93:J156" si="12">ISNUMBER(D93)</f>
        <v>1</v>
      </c>
      <c r="K93" t="b">
        <f t="shared" ref="K93:K156" si="13">ISTEXT(D93)</f>
        <v>0</v>
      </c>
    </row>
    <row r="94" spans="2:11" x14ac:dyDescent="0.3">
      <c r="B94" s="2">
        <v>62000</v>
      </c>
      <c r="C94" s="2">
        <v>0</v>
      </c>
      <c r="D94" t="e">
        <f t="shared" si="8"/>
        <v>#DIV/0!</v>
      </c>
      <c r="F94" t="b">
        <f t="shared" si="9"/>
        <v>1</v>
      </c>
      <c r="G94" t="str">
        <f t="shared" si="10"/>
        <v>error</v>
      </c>
      <c r="H94" t="e">
        <f t="shared" si="11"/>
        <v>#DIV/0!</v>
      </c>
      <c r="I94" t="e">
        <f t="shared" si="7"/>
        <v>#DIV/0!</v>
      </c>
      <c r="J94" t="b">
        <f t="shared" si="12"/>
        <v>0</v>
      </c>
      <c r="K94" t="b">
        <f t="shared" si="13"/>
        <v>0</v>
      </c>
    </row>
    <row r="95" spans="2:11" x14ac:dyDescent="0.3">
      <c r="B95" s="2">
        <v>73000</v>
      </c>
      <c r="C95" s="2">
        <v>10000</v>
      </c>
      <c r="D95">
        <f t="shared" si="8"/>
        <v>7.3</v>
      </c>
      <c r="F95" t="b">
        <f t="shared" si="9"/>
        <v>0</v>
      </c>
      <c r="G95">
        <f t="shared" si="10"/>
        <v>7.3</v>
      </c>
      <c r="H95" t="b">
        <f t="shared" si="11"/>
        <v>1</v>
      </c>
      <c r="I95" t="b">
        <f t="shared" si="7"/>
        <v>0</v>
      </c>
      <c r="J95" t="b">
        <f t="shared" si="12"/>
        <v>1</v>
      </c>
      <c r="K95" t="b">
        <f t="shared" si="13"/>
        <v>0</v>
      </c>
    </row>
    <row r="96" spans="2:11" x14ac:dyDescent="0.3">
      <c r="B96" s="2">
        <v>51000</v>
      </c>
      <c r="C96" s="2">
        <v>0</v>
      </c>
      <c r="D96" t="e">
        <f t="shared" si="8"/>
        <v>#DIV/0!</v>
      </c>
      <c r="F96" t="b">
        <f t="shared" si="9"/>
        <v>1</v>
      </c>
      <c r="G96" t="str">
        <f t="shared" si="10"/>
        <v>error</v>
      </c>
      <c r="H96" t="e">
        <f t="shared" si="11"/>
        <v>#DIV/0!</v>
      </c>
      <c r="I96" t="e">
        <f t="shared" ref="I96:I159" si="14">ISEVEN(D96)</f>
        <v>#DIV/0!</v>
      </c>
      <c r="J96" t="b">
        <f t="shared" si="12"/>
        <v>0</v>
      </c>
      <c r="K96" t="b">
        <f t="shared" si="13"/>
        <v>0</v>
      </c>
    </row>
    <row r="97" spans="2:11" x14ac:dyDescent="0.3">
      <c r="B97" s="2">
        <v>53000</v>
      </c>
      <c r="C97" s="2">
        <v>7000</v>
      </c>
      <c r="D97">
        <f t="shared" si="8"/>
        <v>7.5714285714285712</v>
      </c>
      <c r="F97" t="b">
        <f t="shared" si="9"/>
        <v>0</v>
      </c>
      <c r="G97">
        <f t="shared" si="10"/>
        <v>7.5714285714285712</v>
      </c>
      <c r="H97" t="b">
        <f t="shared" si="11"/>
        <v>1</v>
      </c>
      <c r="I97" t="b">
        <f t="shared" si="14"/>
        <v>0</v>
      </c>
      <c r="J97" t="b">
        <f t="shared" si="12"/>
        <v>1</v>
      </c>
      <c r="K97" t="b">
        <f t="shared" si="13"/>
        <v>0</v>
      </c>
    </row>
    <row r="98" spans="2:11" x14ac:dyDescent="0.3">
      <c r="B98" s="2">
        <v>67000</v>
      </c>
      <c r="C98" s="2">
        <v>0</v>
      </c>
      <c r="D98" t="e">
        <f t="shared" si="8"/>
        <v>#DIV/0!</v>
      </c>
      <c r="F98" t="b">
        <f t="shared" si="9"/>
        <v>1</v>
      </c>
      <c r="G98" t="str">
        <f t="shared" si="10"/>
        <v>error</v>
      </c>
      <c r="H98" t="e">
        <f t="shared" si="11"/>
        <v>#DIV/0!</v>
      </c>
      <c r="I98" t="e">
        <f t="shared" si="14"/>
        <v>#DIV/0!</v>
      </c>
      <c r="J98" t="b">
        <f t="shared" si="12"/>
        <v>0</v>
      </c>
      <c r="K98" t="b">
        <f t="shared" si="13"/>
        <v>0</v>
      </c>
    </row>
    <row r="99" spans="2:11" x14ac:dyDescent="0.3">
      <c r="B99" s="2">
        <v>46000</v>
      </c>
      <c r="C99" s="2">
        <v>6000</v>
      </c>
      <c r="D99">
        <f t="shared" si="8"/>
        <v>7.666666666666667</v>
      </c>
      <c r="F99" t="b">
        <f t="shared" si="9"/>
        <v>0</v>
      </c>
      <c r="G99">
        <f t="shared" si="10"/>
        <v>7.666666666666667</v>
      </c>
      <c r="H99" t="b">
        <f t="shared" si="11"/>
        <v>1</v>
      </c>
      <c r="I99" t="b">
        <f t="shared" si="14"/>
        <v>0</v>
      </c>
      <c r="J99" t="b">
        <f t="shared" si="12"/>
        <v>1</v>
      </c>
      <c r="K99" t="b">
        <f t="shared" si="13"/>
        <v>0</v>
      </c>
    </row>
    <row r="100" spans="2:11" x14ac:dyDescent="0.3">
      <c r="B100" s="2">
        <v>47000</v>
      </c>
      <c r="C100" s="2">
        <v>0</v>
      </c>
      <c r="D100" t="e">
        <f t="shared" si="8"/>
        <v>#DIV/0!</v>
      </c>
      <c r="F100" t="b">
        <f t="shared" si="9"/>
        <v>1</v>
      </c>
      <c r="G100" t="str">
        <f t="shared" si="10"/>
        <v>error</v>
      </c>
      <c r="H100" t="e">
        <f t="shared" si="11"/>
        <v>#DIV/0!</v>
      </c>
      <c r="I100" t="e">
        <f t="shared" si="14"/>
        <v>#DIV/0!</v>
      </c>
      <c r="J100" t="b">
        <f t="shared" si="12"/>
        <v>0</v>
      </c>
      <c r="K100" t="b">
        <f t="shared" si="13"/>
        <v>0</v>
      </c>
    </row>
    <row r="101" spans="2:11" x14ac:dyDescent="0.3">
      <c r="B101" s="2">
        <v>70000</v>
      </c>
      <c r="C101" s="2">
        <v>12000</v>
      </c>
      <c r="D101">
        <f t="shared" si="8"/>
        <v>5.833333333333333</v>
      </c>
      <c r="F101" t="b">
        <f t="shared" si="9"/>
        <v>0</v>
      </c>
      <c r="G101">
        <f t="shared" si="10"/>
        <v>5.833333333333333</v>
      </c>
      <c r="H101" t="b">
        <f t="shared" si="11"/>
        <v>1</v>
      </c>
      <c r="I101" t="b">
        <f t="shared" si="14"/>
        <v>0</v>
      </c>
      <c r="J101" t="b">
        <f t="shared" si="12"/>
        <v>1</v>
      </c>
      <c r="K101" t="b">
        <f t="shared" si="13"/>
        <v>0</v>
      </c>
    </row>
    <row r="102" spans="2:11" x14ac:dyDescent="0.3">
      <c r="B102" s="2">
        <v>56000</v>
      </c>
      <c r="C102" s="2">
        <v>0</v>
      </c>
      <c r="D102" t="e">
        <f t="shared" si="8"/>
        <v>#DIV/0!</v>
      </c>
      <c r="F102" t="b">
        <f t="shared" si="9"/>
        <v>1</v>
      </c>
      <c r="G102" t="str">
        <f t="shared" si="10"/>
        <v>error</v>
      </c>
      <c r="H102" t="e">
        <f t="shared" si="11"/>
        <v>#DIV/0!</v>
      </c>
      <c r="I102" t="e">
        <f t="shared" si="14"/>
        <v>#DIV/0!</v>
      </c>
      <c r="J102" t="b">
        <f t="shared" si="12"/>
        <v>0</v>
      </c>
      <c r="K102" t="b">
        <f t="shared" si="13"/>
        <v>0</v>
      </c>
    </row>
    <row r="103" spans="2:11" x14ac:dyDescent="0.3">
      <c r="B103" s="2">
        <v>47000</v>
      </c>
      <c r="C103" s="2">
        <v>5000</v>
      </c>
      <c r="D103">
        <f t="shared" si="8"/>
        <v>9.4</v>
      </c>
      <c r="F103" t="b">
        <f t="shared" si="9"/>
        <v>0</v>
      </c>
      <c r="G103">
        <f t="shared" si="10"/>
        <v>9.4</v>
      </c>
      <c r="H103" t="b">
        <f t="shared" si="11"/>
        <v>1</v>
      </c>
      <c r="I103" t="b">
        <f t="shared" si="14"/>
        <v>0</v>
      </c>
      <c r="J103" t="b">
        <f t="shared" si="12"/>
        <v>1</v>
      </c>
      <c r="K103" t="b">
        <f t="shared" si="13"/>
        <v>0</v>
      </c>
    </row>
    <row r="104" spans="2:11" x14ac:dyDescent="0.3">
      <c r="B104" s="2">
        <v>68000</v>
      </c>
      <c r="C104" s="2">
        <v>0</v>
      </c>
      <c r="D104" t="e">
        <f t="shared" si="8"/>
        <v>#DIV/0!</v>
      </c>
      <c r="F104" t="b">
        <f t="shared" si="9"/>
        <v>1</v>
      </c>
      <c r="G104" t="str">
        <f t="shared" si="10"/>
        <v>error</v>
      </c>
      <c r="H104" t="e">
        <f t="shared" si="11"/>
        <v>#DIV/0!</v>
      </c>
      <c r="I104" t="e">
        <f t="shared" si="14"/>
        <v>#DIV/0!</v>
      </c>
      <c r="J104" t="b">
        <f t="shared" si="12"/>
        <v>0</v>
      </c>
      <c r="K104" t="b">
        <f t="shared" si="13"/>
        <v>0</v>
      </c>
    </row>
    <row r="105" spans="2:11" x14ac:dyDescent="0.3">
      <c r="B105" s="2">
        <v>49000</v>
      </c>
      <c r="C105" s="2">
        <v>6000</v>
      </c>
      <c r="D105">
        <f t="shared" si="8"/>
        <v>8.1666666666666661</v>
      </c>
      <c r="F105" t="b">
        <f t="shared" si="9"/>
        <v>0</v>
      </c>
      <c r="G105">
        <f t="shared" si="10"/>
        <v>8.1666666666666661</v>
      </c>
      <c r="H105" t="b">
        <f t="shared" si="11"/>
        <v>0</v>
      </c>
      <c r="I105" t="b">
        <f t="shared" si="14"/>
        <v>1</v>
      </c>
      <c r="J105" t="b">
        <f t="shared" si="12"/>
        <v>1</v>
      </c>
      <c r="K105" t="b">
        <f t="shared" si="13"/>
        <v>0</v>
      </c>
    </row>
    <row r="106" spans="2:11" x14ac:dyDescent="0.3">
      <c r="B106" s="2">
        <v>45000</v>
      </c>
      <c r="C106" s="2">
        <v>0</v>
      </c>
      <c r="D106" t="e">
        <f t="shared" si="8"/>
        <v>#DIV/0!</v>
      </c>
      <c r="F106" t="b">
        <f t="shared" si="9"/>
        <v>1</v>
      </c>
      <c r="G106" t="str">
        <f t="shared" si="10"/>
        <v>error</v>
      </c>
      <c r="H106" t="e">
        <f t="shared" si="11"/>
        <v>#DIV/0!</v>
      </c>
      <c r="I106" t="e">
        <f t="shared" si="14"/>
        <v>#DIV/0!</v>
      </c>
      <c r="J106" t="b">
        <f t="shared" si="12"/>
        <v>0</v>
      </c>
      <c r="K106" t="b">
        <f t="shared" si="13"/>
        <v>0</v>
      </c>
    </row>
    <row r="107" spans="2:11" x14ac:dyDescent="0.3">
      <c r="B107" s="2">
        <v>71000</v>
      </c>
      <c r="C107" s="2">
        <v>12000</v>
      </c>
      <c r="D107">
        <f t="shared" si="8"/>
        <v>5.916666666666667</v>
      </c>
      <c r="F107" t="b">
        <f t="shared" si="9"/>
        <v>0</v>
      </c>
      <c r="G107">
        <f t="shared" si="10"/>
        <v>5.916666666666667</v>
      </c>
      <c r="H107" t="b">
        <f t="shared" si="11"/>
        <v>1</v>
      </c>
      <c r="I107" t="b">
        <f t="shared" si="14"/>
        <v>0</v>
      </c>
      <c r="J107" t="b">
        <f t="shared" si="12"/>
        <v>1</v>
      </c>
      <c r="K107" t="b">
        <f t="shared" si="13"/>
        <v>0</v>
      </c>
    </row>
    <row r="108" spans="2:11" x14ac:dyDescent="0.3">
      <c r="B108" s="2">
        <v>55000</v>
      </c>
      <c r="C108" s="2">
        <v>0</v>
      </c>
      <c r="D108" t="e">
        <f t="shared" si="8"/>
        <v>#DIV/0!</v>
      </c>
      <c r="F108" t="b">
        <f t="shared" si="9"/>
        <v>1</v>
      </c>
      <c r="G108" t="str">
        <f t="shared" si="10"/>
        <v>error</v>
      </c>
      <c r="H108" t="e">
        <f t="shared" si="11"/>
        <v>#DIV/0!</v>
      </c>
      <c r="I108" t="e">
        <f t="shared" si="14"/>
        <v>#DIV/0!</v>
      </c>
      <c r="J108" t="b">
        <f t="shared" si="12"/>
        <v>0</v>
      </c>
      <c r="K108" t="b">
        <f t="shared" si="13"/>
        <v>0</v>
      </c>
    </row>
    <row r="109" spans="2:11" x14ac:dyDescent="0.3">
      <c r="B109" s="2">
        <v>62000</v>
      </c>
      <c r="C109" s="2">
        <v>15000</v>
      </c>
      <c r="D109">
        <f t="shared" si="8"/>
        <v>4.1333333333333337</v>
      </c>
      <c r="F109" t="b">
        <f t="shared" si="9"/>
        <v>0</v>
      </c>
      <c r="G109">
        <f t="shared" si="10"/>
        <v>4.1333333333333337</v>
      </c>
      <c r="H109" t="b">
        <f t="shared" si="11"/>
        <v>0</v>
      </c>
      <c r="I109" t="b">
        <f t="shared" si="14"/>
        <v>1</v>
      </c>
      <c r="J109" t="b">
        <f t="shared" si="12"/>
        <v>1</v>
      </c>
      <c r="K109" t="b">
        <f t="shared" si="13"/>
        <v>0</v>
      </c>
    </row>
    <row r="110" spans="2:11" x14ac:dyDescent="0.3">
      <c r="B110" s="2">
        <v>75000</v>
      </c>
      <c r="C110" s="2">
        <v>0</v>
      </c>
      <c r="D110" t="e">
        <f t="shared" si="8"/>
        <v>#DIV/0!</v>
      </c>
      <c r="F110" t="b">
        <f t="shared" si="9"/>
        <v>1</v>
      </c>
      <c r="G110" t="str">
        <f t="shared" si="10"/>
        <v>error</v>
      </c>
      <c r="H110" t="e">
        <f t="shared" si="11"/>
        <v>#DIV/0!</v>
      </c>
      <c r="I110" t="e">
        <f t="shared" si="14"/>
        <v>#DIV/0!</v>
      </c>
      <c r="J110" t="b">
        <f t="shared" si="12"/>
        <v>0</v>
      </c>
      <c r="K110" t="b">
        <f t="shared" si="13"/>
        <v>0</v>
      </c>
    </row>
    <row r="111" spans="2:11" x14ac:dyDescent="0.3">
      <c r="B111" s="2">
        <v>48000</v>
      </c>
      <c r="C111" s="2">
        <v>5000</v>
      </c>
      <c r="D111">
        <f t="shared" si="8"/>
        <v>9.6</v>
      </c>
      <c r="F111" t="b">
        <f t="shared" si="9"/>
        <v>0</v>
      </c>
      <c r="G111">
        <f t="shared" si="10"/>
        <v>9.6</v>
      </c>
      <c r="H111" t="b">
        <f t="shared" si="11"/>
        <v>1</v>
      </c>
      <c r="I111" t="b">
        <f t="shared" si="14"/>
        <v>0</v>
      </c>
      <c r="J111" t="b">
        <f t="shared" si="12"/>
        <v>1</v>
      </c>
      <c r="K111" t="b">
        <f t="shared" si="13"/>
        <v>0</v>
      </c>
    </row>
    <row r="112" spans="2:11" x14ac:dyDescent="0.3">
      <c r="B112" s="2">
        <v>58000</v>
      </c>
      <c r="C112" s="2">
        <v>0</v>
      </c>
      <c r="D112" t="e">
        <f t="shared" si="8"/>
        <v>#DIV/0!</v>
      </c>
      <c r="F112" t="b">
        <f t="shared" si="9"/>
        <v>1</v>
      </c>
      <c r="G112" t="str">
        <f t="shared" si="10"/>
        <v>error</v>
      </c>
      <c r="H112" t="e">
        <f t="shared" si="11"/>
        <v>#DIV/0!</v>
      </c>
      <c r="I112" t="e">
        <f t="shared" si="14"/>
        <v>#DIV/0!</v>
      </c>
      <c r="J112" t="b">
        <f t="shared" si="12"/>
        <v>0</v>
      </c>
      <c r="K112" t="b">
        <f t="shared" si="13"/>
        <v>0</v>
      </c>
    </row>
    <row r="113" spans="2:11" x14ac:dyDescent="0.3">
      <c r="B113" s="2">
        <v>70000</v>
      </c>
      <c r="C113" s="2">
        <v>20000</v>
      </c>
      <c r="D113">
        <f t="shared" si="8"/>
        <v>3.5</v>
      </c>
      <c r="F113" t="b">
        <f t="shared" si="9"/>
        <v>0</v>
      </c>
      <c r="G113">
        <f t="shared" si="10"/>
        <v>3.5</v>
      </c>
      <c r="H113" t="b">
        <f t="shared" si="11"/>
        <v>1</v>
      </c>
      <c r="I113" t="b">
        <f t="shared" si="14"/>
        <v>0</v>
      </c>
      <c r="J113" t="b">
        <f t="shared" si="12"/>
        <v>1</v>
      </c>
      <c r="K113" t="b">
        <f t="shared" si="13"/>
        <v>0</v>
      </c>
    </row>
    <row r="114" spans="2:11" x14ac:dyDescent="0.3">
      <c r="B114" s="2">
        <v>82000</v>
      </c>
      <c r="C114" s="2">
        <v>0</v>
      </c>
      <c r="D114" t="e">
        <f t="shared" si="8"/>
        <v>#DIV/0!</v>
      </c>
      <c r="F114" t="b">
        <f t="shared" si="9"/>
        <v>1</v>
      </c>
      <c r="G114" t="str">
        <f t="shared" si="10"/>
        <v>error</v>
      </c>
      <c r="H114" t="e">
        <f t="shared" si="11"/>
        <v>#DIV/0!</v>
      </c>
      <c r="I114" t="e">
        <f t="shared" si="14"/>
        <v>#DIV/0!</v>
      </c>
      <c r="J114" t="b">
        <f t="shared" si="12"/>
        <v>0</v>
      </c>
      <c r="K114" t="b">
        <f t="shared" si="13"/>
        <v>0</v>
      </c>
    </row>
    <row r="115" spans="2:11" x14ac:dyDescent="0.3">
      <c r="B115" s="2">
        <v>43000</v>
      </c>
      <c r="C115" s="2">
        <v>0</v>
      </c>
      <c r="D115" t="e">
        <f t="shared" si="8"/>
        <v>#DIV/0!</v>
      </c>
      <c r="F115" t="b">
        <f t="shared" si="9"/>
        <v>1</v>
      </c>
      <c r="G115" t="str">
        <f t="shared" si="10"/>
        <v>error</v>
      </c>
      <c r="H115" t="e">
        <f t="shared" si="11"/>
        <v>#DIV/0!</v>
      </c>
      <c r="I115" t="e">
        <f t="shared" si="14"/>
        <v>#DIV/0!</v>
      </c>
      <c r="J115" t="b">
        <f t="shared" si="12"/>
        <v>0</v>
      </c>
      <c r="K115" t="b">
        <f t="shared" si="13"/>
        <v>0</v>
      </c>
    </row>
    <row r="116" spans="2:11" x14ac:dyDescent="0.3">
      <c r="B116" s="2">
        <v>55000</v>
      </c>
      <c r="C116" s="2">
        <v>10000</v>
      </c>
      <c r="D116">
        <f t="shared" si="8"/>
        <v>5.5</v>
      </c>
      <c r="F116" t="b">
        <f t="shared" si="9"/>
        <v>0</v>
      </c>
      <c r="G116">
        <f t="shared" si="10"/>
        <v>5.5</v>
      </c>
      <c r="H116" t="b">
        <f t="shared" si="11"/>
        <v>1</v>
      </c>
      <c r="I116" t="b">
        <f t="shared" si="14"/>
        <v>0</v>
      </c>
      <c r="J116" t="b">
        <f t="shared" si="12"/>
        <v>1</v>
      </c>
      <c r="K116" t="b">
        <f t="shared" si="13"/>
        <v>0</v>
      </c>
    </row>
    <row r="117" spans="2:11" x14ac:dyDescent="0.3">
      <c r="B117" s="2">
        <v>65000</v>
      </c>
      <c r="C117" s="2">
        <v>0</v>
      </c>
      <c r="D117" t="e">
        <f t="shared" si="8"/>
        <v>#DIV/0!</v>
      </c>
      <c r="F117" t="b">
        <f t="shared" si="9"/>
        <v>1</v>
      </c>
      <c r="G117" t="str">
        <f t="shared" si="10"/>
        <v>error</v>
      </c>
      <c r="H117" t="e">
        <f t="shared" si="11"/>
        <v>#DIV/0!</v>
      </c>
      <c r="I117" t="e">
        <f t="shared" si="14"/>
        <v>#DIV/0!</v>
      </c>
      <c r="J117" t="b">
        <f t="shared" si="12"/>
        <v>0</v>
      </c>
      <c r="K117" t="b">
        <f t="shared" si="13"/>
        <v>0</v>
      </c>
    </row>
    <row r="118" spans="2:11" x14ac:dyDescent="0.3">
      <c r="B118" s="2">
        <v>47000</v>
      </c>
      <c r="C118" s="2">
        <v>0</v>
      </c>
      <c r="D118" t="e">
        <f t="shared" si="8"/>
        <v>#DIV/0!</v>
      </c>
      <c r="F118" t="b">
        <f t="shared" si="9"/>
        <v>1</v>
      </c>
      <c r="G118" t="str">
        <f t="shared" si="10"/>
        <v>error</v>
      </c>
      <c r="H118" t="e">
        <f t="shared" si="11"/>
        <v>#DIV/0!</v>
      </c>
      <c r="I118" t="e">
        <f t="shared" si="14"/>
        <v>#DIV/0!</v>
      </c>
      <c r="J118" t="b">
        <f t="shared" si="12"/>
        <v>0</v>
      </c>
      <c r="K118" t="b">
        <f t="shared" si="13"/>
        <v>0</v>
      </c>
    </row>
    <row r="119" spans="2:11" x14ac:dyDescent="0.3">
      <c r="B119" s="2">
        <v>72000</v>
      </c>
      <c r="C119" s="2">
        <v>12000</v>
      </c>
      <c r="D119">
        <f t="shared" si="8"/>
        <v>6</v>
      </c>
      <c r="F119" t="b">
        <f t="shared" si="9"/>
        <v>0</v>
      </c>
      <c r="G119">
        <f t="shared" si="10"/>
        <v>6</v>
      </c>
      <c r="H119" t="b">
        <f t="shared" si="11"/>
        <v>0</v>
      </c>
      <c r="I119" t="b">
        <f t="shared" si="14"/>
        <v>1</v>
      </c>
      <c r="J119" t="b">
        <f t="shared" si="12"/>
        <v>1</v>
      </c>
      <c r="K119" t="b">
        <f t="shared" si="13"/>
        <v>0</v>
      </c>
    </row>
    <row r="120" spans="2:11" x14ac:dyDescent="0.3">
      <c r="B120" s="2">
        <v>53000</v>
      </c>
      <c r="C120" s="2">
        <v>0</v>
      </c>
      <c r="D120" t="e">
        <f t="shared" si="8"/>
        <v>#DIV/0!</v>
      </c>
      <c r="F120" t="b">
        <f t="shared" si="9"/>
        <v>1</v>
      </c>
      <c r="G120" t="str">
        <f t="shared" si="10"/>
        <v>error</v>
      </c>
      <c r="H120" t="e">
        <f t="shared" si="11"/>
        <v>#DIV/0!</v>
      </c>
      <c r="I120" t="e">
        <f t="shared" si="14"/>
        <v>#DIV/0!</v>
      </c>
      <c r="J120" t="b">
        <f t="shared" si="12"/>
        <v>0</v>
      </c>
      <c r="K120" t="b">
        <f t="shared" si="13"/>
        <v>0</v>
      </c>
    </row>
    <row r="121" spans="2:11" x14ac:dyDescent="0.3">
      <c r="B121" s="2">
        <v>60000</v>
      </c>
      <c r="C121" s="2">
        <v>8000</v>
      </c>
      <c r="D121">
        <f t="shared" si="8"/>
        <v>7.5</v>
      </c>
      <c r="F121" t="b">
        <f t="shared" si="9"/>
        <v>0</v>
      </c>
      <c r="G121">
        <f t="shared" si="10"/>
        <v>7.5</v>
      </c>
      <c r="H121" t="b">
        <f t="shared" si="11"/>
        <v>1</v>
      </c>
      <c r="I121" t="b">
        <f t="shared" si="14"/>
        <v>0</v>
      </c>
      <c r="J121" t="b">
        <f t="shared" si="12"/>
        <v>1</v>
      </c>
      <c r="K121" t="b">
        <f t="shared" si="13"/>
        <v>0</v>
      </c>
    </row>
    <row r="122" spans="2:11" x14ac:dyDescent="0.3">
      <c r="B122" s="2">
        <v>85000</v>
      </c>
      <c r="C122" s="2">
        <v>0</v>
      </c>
      <c r="D122" t="e">
        <f t="shared" si="8"/>
        <v>#DIV/0!</v>
      </c>
      <c r="F122" t="b">
        <f t="shared" si="9"/>
        <v>1</v>
      </c>
      <c r="G122" t="str">
        <f t="shared" si="10"/>
        <v>error</v>
      </c>
      <c r="H122" t="e">
        <f t="shared" si="11"/>
        <v>#DIV/0!</v>
      </c>
      <c r="I122" t="e">
        <f t="shared" si="14"/>
        <v>#DIV/0!</v>
      </c>
      <c r="J122" t="b">
        <f t="shared" si="12"/>
        <v>0</v>
      </c>
      <c r="K122" t="b">
        <f t="shared" si="13"/>
        <v>0</v>
      </c>
    </row>
    <row r="123" spans="2:11" x14ac:dyDescent="0.3">
      <c r="B123" s="2">
        <v>49000</v>
      </c>
      <c r="C123" s="2">
        <v>7000</v>
      </c>
      <c r="D123">
        <f t="shared" si="8"/>
        <v>7</v>
      </c>
      <c r="F123" t="b">
        <f t="shared" si="9"/>
        <v>0</v>
      </c>
      <c r="G123">
        <f t="shared" si="10"/>
        <v>7</v>
      </c>
      <c r="H123" t="b">
        <f t="shared" si="11"/>
        <v>1</v>
      </c>
      <c r="I123" t="b">
        <f t="shared" si="14"/>
        <v>0</v>
      </c>
      <c r="J123" t="b">
        <f t="shared" si="12"/>
        <v>1</v>
      </c>
      <c r="K123" t="b">
        <f t="shared" si="13"/>
        <v>0</v>
      </c>
    </row>
    <row r="124" spans="2:11" x14ac:dyDescent="0.3">
      <c r="B124" s="2">
        <v>45000</v>
      </c>
      <c r="C124" s="2">
        <v>0</v>
      </c>
      <c r="D124" t="e">
        <f t="shared" si="8"/>
        <v>#DIV/0!</v>
      </c>
      <c r="F124" t="b">
        <f t="shared" si="9"/>
        <v>1</v>
      </c>
      <c r="G124" t="str">
        <f t="shared" si="10"/>
        <v>error</v>
      </c>
      <c r="H124" t="e">
        <f t="shared" si="11"/>
        <v>#DIV/0!</v>
      </c>
      <c r="I124" t="e">
        <f t="shared" si="14"/>
        <v>#DIV/0!</v>
      </c>
      <c r="J124" t="b">
        <f t="shared" si="12"/>
        <v>0</v>
      </c>
      <c r="K124" t="b">
        <f t="shared" si="13"/>
        <v>0</v>
      </c>
    </row>
    <row r="125" spans="2:11" x14ac:dyDescent="0.3">
      <c r="B125" s="2">
        <v>77000</v>
      </c>
      <c r="C125" s="2">
        <v>15000</v>
      </c>
      <c r="D125">
        <f t="shared" si="8"/>
        <v>5.1333333333333337</v>
      </c>
      <c r="F125" t="b">
        <f t="shared" si="9"/>
        <v>0</v>
      </c>
      <c r="G125">
        <f t="shared" si="10"/>
        <v>5.1333333333333337</v>
      </c>
      <c r="H125" t="b">
        <f t="shared" si="11"/>
        <v>1</v>
      </c>
      <c r="I125" t="b">
        <f t="shared" si="14"/>
        <v>0</v>
      </c>
      <c r="J125" t="b">
        <f t="shared" si="12"/>
        <v>1</v>
      </c>
      <c r="K125" t="b">
        <f t="shared" si="13"/>
        <v>0</v>
      </c>
    </row>
    <row r="126" spans="2:11" x14ac:dyDescent="0.3">
      <c r="B126" s="2">
        <v>50000</v>
      </c>
      <c r="C126" s="2">
        <v>0</v>
      </c>
      <c r="D126" t="e">
        <f t="shared" si="8"/>
        <v>#DIV/0!</v>
      </c>
      <c r="F126" t="b">
        <f t="shared" si="9"/>
        <v>1</v>
      </c>
      <c r="G126" t="str">
        <f t="shared" si="10"/>
        <v>error</v>
      </c>
      <c r="H126" t="e">
        <f t="shared" si="11"/>
        <v>#DIV/0!</v>
      </c>
      <c r="I126" t="e">
        <f t="shared" si="14"/>
        <v>#DIV/0!</v>
      </c>
      <c r="J126" t="b">
        <f t="shared" si="12"/>
        <v>0</v>
      </c>
      <c r="K126" t="b">
        <f t="shared" si="13"/>
        <v>0</v>
      </c>
    </row>
    <row r="127" spans="2:11" x14ac:dyDescent="0.3">
      <c r="B127" s="2">
        <v>69000</v>
      </c>
      <c r="C127" s="2">
        <v>12000</v>
      </c>
      <c r="D127">
        <f t="shared" si="8"/>
        <v>5.75</v>
      </c>
      <c r="F127" t="b">
        <f t="shared" si="9"/>
        <v>0</v>
      </c>
      <c r="G127">
        <f t="shared" si="10"/>
        <v>5.75</v>
      </c>
      <c r="H127" t="b">
        <f t="shared" si="11"/>
        <v>1</v>
      </c>
      <c r="I127" t="b">
        <f t="shared" si="14"/>
        <v>0</v>
      </c>
      <c r="J127" t="b">
        <f t="shared" si="12"/>
        <v>1</v>
      </c>
      <c r="K127" t="b">
        <f t="shared" si="13"/>
        <v>0</v>
      </c>
    </row>
    <row r="128" spans="2:11" x14ac:dyDescent="0.3">
      <c r="B128" s="2">
        <v>54000</v>
      </c>
      <c r="C128" s="2">
        <v>0</v>
      </c>
      <c r="D128" t="e">
        <f t="shared" si="8"/>
        <v>#DIV/0!</v>
      </c>
      <c r="F128" t="b">
        <f t="shared" si="9"/>
        <v>1</v>
      </c>
      <c r="G128" t="str">
        <f t="shared" si="10"/>
        <v>error</v>
      </c>
      <c r="H128" t="e">
        <f t="shared" si="11"/>
        <v>#DIV/0!</v>
      </c>
      <c r="I128" t="e">
        <f t="shared" si="14"/>
        <v>#DIV/0!</v>
      </c>
      <c r="J128" t="b">
        <f t="shared" si="12"/>
        <v>0</v>
      </c>
      <c r="K128" t="b">
        <f t="shared" si="13"/>
        <v>0</v>
      </c>
    </row>
    <row r="129" spans="2:11" x14ac:dyDescent="0.3">
      <c r="B129" s="2">
        <v>74000</v>
      </c>
      <c r="C129" s="2">
        <v>10000</v>
      </c>
      <c r="D129">
        <f t="shared" si="8"/>
        <v>7.4</v>
      </c>
      <c r="F129" t="b">
        <f t="shared" si="9"/>
        <v>0</v>
      </c>
      <c r="G129">
        <f t="shared" si="10"/>
        <v>7.4</v>
      </c>
      <c r="H129" t="b">
        <f t="shared" si="11"/>
        <v>1</v>
      </c>
      <c r="I129" t="b">
        <f t="shared" si="14"/>
        <v>0</v>
      </c>
      <c r="J129" t="b">
        <f t="shared" si="12"/>
        <v>1</v>
      </c>
      <c r="K129" t="b">
        <f t="shared" si="13"/>
        <v>0</v>
      </c>
    </row>
    <row r="130" spans="2:11" x14ac:dyDescent="0.3">
      <c r="B130" s="2">
        <v>68000</v>
      </c>
      <c r="C130" s="2">
        <v>0</v>
      </c>
      <c r="D130" t="e">
        <f t="shared" si="8"/>
        <v>#DIV/0!</v>
      </c>
      <c r="F130" t="b">
        <f t="shared" si="9"/>
        <v>1</v>
      </c>
      <c r="G130" t="str">
        <f t="shared" si="10"/>
        <v>error</v>
      </c>
      <c r="H130" t="e">
        <f t="shared" si="11"/>
        <v>#DIV/0!</v>
      </c>
      <c r="I130" t="e">
        <f t="shared" si="14"/>
        <v>#DIV/0!</v>
      </c>
      <c r="J130" t="b">
        <f t="shared" si="12"/>
        <v>0</v>
      </c>
      <c r="K130" t="b">
        <f t="shared" si="13"/>
        <v>0</v>
      </c>
    </row>
    <row r="131" spans="2:11" x14ac:dyDescent="0.3">
      <c r="B131" s="2">
        <v>45000</v>
      </c>
      <c r="C131" s="2">
        <v>5000</v>
      </c>
      <c r="D131">
        <f t="shared" si="8"/>
        <v>9</v>
      </c>
      <c r="F131" t="b">
        <f t="shared" si="9"/>
        <v>0</v>
      </c>
      <c r="G131">
        <f t="shared" si="10"/>
        <v>9</v>
      </c>
      <c r="H131" t="b">
        <f t="shared" si="11"/>
        <v>1</v>
      </c>
      <c r="I131" t="b">
        <f t="shared" si="14"/>
        <v>0</v>
      </c>
      <c r="J131" t="b">
        <f t="shared" si="12"/>
        <v>1</v>
      </c>
      <c r="K131" t="b">
        <f t="shared" si="13"/>
        <v>0</v>
      </c>
    </row>
    <row r="132" spans="2:11" x14ac:dyDescent="0.3">
      <c r="B132" s="2">
        <v>80000</v>
      </c>
      <c r="C132" s="2">
        <v>0</v>
      </c>
      <c r="D132" t="e">
        <f t="shared" si="8"/>
        <v>#DIV/0!</v>
      </c>
      <c r="F132" t="b">
        <f t="shared" si="9"/>
        <v>1</v>
      </c>
      <c r="G132" t="str">
        <f t="shared" si="10"/>
        <v>error</v>
      </c>
      <c r="H132" t="e">
        <f t="shared" si="11"/>
        <v>#DIV/0!</v>
      </c>
      <c r="I132" t="e">
        <f t="shared" si="14"/>
        <v>#DIV/0!</v>
      </c>
      <c r="J132" t="b">
        <f t="shared" si="12"/>
        <v>0</v>
      </c>
      <c r="K132" t="b">
        <f t="shared" si="13"/>
        <v>0</v>
      </c>
    </row>
    <row r="133" spans="2:11" x14ac:dyDescent="0.3">
      <c r="B133" s="2">
        <v>47000</v>
      </c>
      <c r="C133" s="2">
        <v>8000</v>
      </c>
      <c r="D133">
        <f t="shared" si="8"/>
        <v>5.875</v>
      </c>
      <c r="F133" t="b">
        <f t="shared" si="9"/>
        <v>0</v>
      </c>
      <c r="G133">
        <f t="shared" si="10"/>
        <v>5.875</v>
      </c>
      <c r="H133" t="b">
        <f t="shared" si="11"/>
        <v>1</v>
      </c>
      <c r="I133" t="b">
        <f t="shared" si="14"/>
        <v>0</v>
      </c>
      <c r="J133" t="b">
        <f t="shared" si="12"/>
        <v>1</v>
      </c>
      <c r="K133" t="b">
        <f t="shared" si="13"/>
        <v>0</v>
      </c>
    </row>
    <row r="134" spans="2:11" x14ac:dyDescent="0.3">
      <c r="B134" s="2">
        <v>53000</v>
      </c>
      <c r="C134" s="2">
        <v>0</v>
      </c>
      <c r="D134" t="e">
        <f t="shared" si="8"/>
        <v>#DIV/0!</v>
      </c>
      <c r="F134" t="b">
        <f t="shared" si="9"/>
        <v>1</v>
      </c>
      <c r="G134" t="str">
        <f t="shared" si="10"/>
        <v>error</v>
      </c>
      <c r="H134" t="e">
        <f t="shared" si="11"/>
        <v>#DIV/0!</v>
      </c>
      <c r="I134" t="e">
        <f t="shared" si="14"/>
        <v>#DIV/0!</v>
      </c>
      <c r="J134" t="b">
        <f t="shared" si="12"/>
        <v>0</v>
      </c>
      <c r="K134" t="b">
        <f t="shared" si="13"/>
        <v>0</v>
      </c>
    </row>
    <row r="135" spans="2:11" x14ac:dyDescent="0.3">
      <c r="B135" s="2">
        <v>71000</v>
      </c>
      <c r="C135" s="2">
        <v>13000</v>
      </c>
      <c r="D135">
        <f t="shared" si="8"/>
        <v>5.4615384615384617</v>
      </c>
      <c r="F135" t="b">
        <f t="shared" si="9"/>
        <v>0</v>
      </c>
      <c r="G135">
        <f t="shared" si="10"/>
        <v>5.4615384615384617</v>
      </c>
      <c r="H135" t="b">
        <f t="shared" si="11"/>
        <v>1</v>
      </c>
      <c r="I135" t="b">
        <f t="shared" si="14"/>
        <v>0</v>
      </c>
      <c r="J135" t="b">
        <f t="shared" si="12"/>
        <v>1</v>
      </c>
      <c r="K135" t="b">
        <f t="shared" si="13"/>
        <v>0</v>
      </c>
    </row>
    <row r="136" spans="2:11" x14ac:dyDescent="0.3">
      <c r="B136" s="2">
        <v>67000</v>
      </c>
      <c r="C136" s="2">
        <v>0</v>
      </c>
      <c r="D136" t="e">
        <f t="shared" si="8"/>
        <v>#DIV/0!</v>
      </c>
      <c r="F136" t="b">
        <f t="shared" si="9"/>
        <v>1</v>
      </c>
      <c r="G136" t="str">
        <f t="shared" si="10"/>
        <v>error</v>
      </c>
      <c r="H136" t="e">
        <f t="shared" si="11"/>
        <v>#DIV/0!</v>
      </c>
      <c r="I136" t="e">
        <f t="shared" si="14"/>
        <v>#DIV/0!</v>
      </c>
      <c r="J136" t="b">
        <f t="shared" si="12"/>
        <v>0</v>
      </c>
      <c r="K136" t="b">
        <f t="shared" si="13"/>
        <v>0</v>
      </c>
    </row>
    <row r="137" spans="2:11" x14ac:dyDescent="0.3">
      <c r="B137" s="2">
        <v>55000</v>
      </c>
      <c r="C137" s="2">
        <v>7000</v>
      </c>
      <c r="D137">
        <f t="shared" si="8"/>
        <v>7.8571428571428568</v>
      </c>
      <c r="F137" t="b">
        <f t="shared" si="9"/>
        <v>0</v>
      </c>
      <c r="G137">
        <f t="shared" si="10"/>
        <v>7.8571428571428568</v>
      </c>
      <c r="H137" t="b">
        <f t="shared" si="11"/>
        <v>1</v>
      </c>
      <c r="I137" t="b">
        <f t="shared" si="14"/>
        <v>0</v>
      </c>
      <c r="J137" t="b">
        <f t="shared" si="12"/>
        <v>1</v>
      </c>
      <c r="K137" t="b">
        <f t="shared" si="13"/>
        <v>0</v>
      </c>
    </row>
    <row r="138" spans="2:11" x14ac:dyDescent="0.3">
      <c r="B138" s="2">
        <v>48000</v>
      </c>
      <c r="C138" s="2">
        <v>0</v>
      </c>
      <c r="D138" t="e">
        <f t="shared" si="8"/>
        <v>#DIV/0!</v>
      </c>
      <c r="F138" t="b">
        <f t="shared" si="9"/>
        <v>1</v>
      </c>
      <c r="G138" t="str">
        <f t="shared" si="10"/>
        <v>error</v>
      </c>
      <c r="H138" t="e">
        <f t="shared" si="11"/>
        <v>#DIV/0!</v>
      </c>
      <c r="I138" t="e">
        <f t="shared" si="14"/>
        <v>#DIV/0!</v>
      </c>
      <c r="J138" t="b">
        <f t="shared" si="12"/>
        <v>0</v>
      </c>
      <c r="K138" t="b">
        <f t="shared" si="13"/>
        <v>0</v>
      </c>
    </row>
    <row r="139" spans="2:11" x14ac:dyDescent="0.3">
      <c r="B139" s="2">
        <v>62000</v>
      </c>
      <c r="C139" s="2">
        <v>12000</v>
      </c>
      <c r="D139">
        <f t="shared" si="8"/>
        <v>5.166666666666667</v>
      </c>
      <c r="F139" t="b">
        <f t="shared" si="9"/>
        <v>0</v>
      </c>
      <c r="G139">
        <f t="shared" si="10"/>
        <v>5.166666666666667</v>
      </c>
      <c r="H139" t="b">
        <f t="shared" si="11"/>
        <v>1</v>
      </c>
      <c r="I139" t="b">
        <f t="shared" si="14"/>
        <v>0</v>
      </c>
      <c r="J139" t="b">
        <f t="shared" si="12"/>
        <v>1</v>
      </c>
      <c r="K139" t="b">
        <f t="shared" si="13"/>
        <v>0</v>
      </c>
    </row>
    <row r="140" spans="2:11" x14ac:dyDescent="0.3">
      <c r="B140" s="2">
        <v>69000</v>
      </c>
      <c r="C140" s="2">
        <v>0</v>
      </c>
      <c r="D140" t="e">
        <f t="shared" si="8"/>
        <v>#DIV/0!</v>
      </c>
      <c r="F140" t="b">
        <f t="shared" si="9"/>
        <v>1</v>
      </c>
      <c r="G140" t="str">
        <f t="shared" si="10"/>
        <v>error</v>
      </c>
      <c r="H140" t="e">
        <f t="shared" si="11"/>
        <v>#DIV/0!</v>
      </c>
      <c r="I140" t="e">
        <f t="shared" si="14"/>
        <v>#DIV/0!</v>
      </c>
      <c r="J140" t="b">
        <f t="shared" si="12"/>
        <v>0</v>
      </c>
      <c r="K140" t="b">
        <f t="shared" si="13"/>
        <v>0</v>
      </c>
    </row>
    <row r="141" spans="2:11" x14ac:dyDescent="0.3">
      <c r="B141" s="2">
        <v>74000</v>
      </c>
      <c r="C141" s="2">
        <v>15000</v>
      </c>
      <c r="D141">
        <f t="shared" si="8"/>
        <v>4.9333333333333336</v>
      </c>
      <c r="F141" t="b">
        <f t="shared" si="9"/>
        <v>0</v>
      </c>
      <c r="G141">
        <f t="shared" si="10"/>
        <v>4.9333333333333336</v>
      </c>
      <c r="H141" t="b">
        <f t="shared" si="11"/>
        <v>0</v>
      </c>
      <c r="I141" t="b">
        <f t="shared" si="14"/>
        <v>1</v>
      </c>
      <c r="J141" t="b">
        <f t="shared" si="12"/>
        <v>1</v>
      </c>
      <c r="K141" t="b">
        <f t="shared" si="13"/>
        <v>0</v>
      </c>
    </row>
    <row r="142" spans="2:11" x14ac:dyDescent="0.3">
      <c r="B142" s="2">
        <v>50000</v>
      </c>
      <c r="C142" s="2">
        <v>0</v>
      </c>
      <c r="D142" t="e">
        <f t="shared" si="8"/>
        <v>#DIV/0!</v>
      </c>
      <c r="F142" t="b">
        <f t="shared" si="9"/>
        <v>1</v>
      </c>
      <c r="G142" t="str">
        <f t="shared" si="10"/>
        <v>error</v>
      </c>
      <c r="H142" t="e">
        <f t="shared" si="11"/>
        <v>#DIV/0!</v>
      </c>
      <c r="I142" t="e">
        <f t="shared" si="14"/>
        <v>#DIV/0!</v>
      </c>
      <c r="J142" t="b">
        <f t="shared" si="12"/>
        <v>0</v>
      </c>
      <c r="K142" t="b">
        <f t="shared" si="13"/>
        <v>0</v>
      </c>
    </row>
    <row r="143" spans="2:11" x14ac:dyDescent="0.3">
      <c r="B143" s="2">
        <v>55000</v>
      </c>
      <c r="C143" s="2">
        <v>10000</v>
      </c>
      <c r="D143">
        <f t="shared" si="8"/>
        <v>5.5</v>
      </c>
      <c r="F143" t="b">
        <f t="shared" si="9"/>
        <v>0</v>
      </c>
      <c r="G143">
        <f t="shared" si="10"/>
        <v>5.5</v>
      </c>
      <c r="H143" t="b">
        <f t="shared" si="11"/>
        <v>1</v>
      </c>
      <c r="I143" t="b">
        <f t="shared" si="14"/>
        <v>0</v>
      </c>
      <c r="J143" t="b">
        <f t="shared" si="12"/>
        <v>1</v>
      </c>
      <c r="K143" t="b">
        <f t="shared" si="13"/>
        <v>0</v>
      </c>
    </row>
    <row r="144" spans="2:11" x14ac:dyDescent="0.3">
      <c r="B144" s="2">
        <v>62000</v>
      </c>
      <c r="C144" s="2">
        <v>0</v>
      </c>
      <c r="D144" t="e">
        <f t="shared" si="8"/>
        <v>#DIV/0!</v>
      </c>
      <c r="F144" t="b">
        <f t="shared" si="9"/>
        <v>1</v>
      </c>
      <c r="G144" t="str">
        <f t="shared" si="10"/>
        <v>error</v>
      </c>
      <c r="H144" t="e">
        <f t="shared" si="11"/>
        <v>#DIV/0!</v>
      </c>
      <c r="I144" t="e">
        <f t="shared" si="14"/>
        <v>#DIV/0!</v>
      </c>
      <c r="J144" t="b">
        <f t="shared" si="12"/>
        <v>0</v>
      </c>
      <c r="K144" t="b">
        <f t="shared" si="13"/>
        <v>0</v>
      </c>
    </row>
    <row r="145" spans="2:11" x14ac:dyDescent="0.3">
      <c r="B145" s="2">
        <v>48000</v>
      </c>
      <c r="C145" s="2">
        <v>5000</v>
      </c>
      <c r="D145">
        <f t="shared" si="8"/>
        <v>9.6</v>
      </c>
      <c r="F145" t="b">
        <f t="shared" si="9"/>
        <v>0</v>
      </c>
      <c r="G145">
        <f t="shared" si="10"/>
        <v>9.6</v>
      </c>
      <c r="H145" t="b">
        <f t="shared" si="11"/>
        <v>1</v>
      </c>
      <c r="I145" t="b">
        <f t="shared" si="14"/>
        <v>0</v>
      </c>
      <c r="J145" t="b">
        <f t="shared" si="12"/>
        <v>1</v>
      </c>
      <c r="K145" t="b">
        <f t="shared" si="13"/>
        <v>0</v>
      </c>
    </row>
    <row r="146" spans="2:11" x14ac:dyDescent="0.3">
      <c r="B146" s="2">
        <v>59000</v>
      </c>
      <c r="C146" s="2">
        <v>0</v>
      </c>
      <c r="D146" t="e">
        <f t="shared" si="8"/>
        <v>#DIV/0!</v>
      </c>
      <c r="F146" t="b">
        <f t="shared" si="9"/>
        <v>1</v>
      </c>
      <c r="G146" t="str">
        <f t="shared" si="10"/>
        <v>error</v>
      </c>
      <c r="H146" t="e">
        <f t="shared" si="11"/>
        <v>#DIV/0!</v>
      </c>
      <c r="I146" t="e">
        <f t="shared" si="14"/>
        <v>#DIV/0!</v>
      </c>
      <c r="J146" t="b">
        <f t="shared" si="12"/>
        <v>0</v>
      </c>
      <c r="K146" t="b">
        <f t="shared" si="13"/>
        <v>0</v>
      </c>
    </row>
    <row r="147" spans="2:11" x14ac:dyDescent="0.3">
      <c r="B147" s="2">
        <v>73000</v>
      </c>
      <c r="C147" s="2">
        <v>13000</v>
      </c>
      <c r="D147">
        <f t="shared" si="8"/>
        <v>5.615384615384615</v>
      </c>
      <c r="F147" t="b">
        <f t="shared" si="9"/>
        <v>0</v>
      </c>
      <c r="G147">
        <f t="shared" si="10"/>
        <v>5.615384615384615</v>
      </c>
      <c r="H147" t="b">
        <f t="shared" si="11"/>
        <v>1</v>
      </c>
      <c r="I147" t="b">
        <f t="shared" si="14"/>
        <v>0</v>
      </c>
      <c r="J147" t="b">
        <f t="shared" si="12"/>
        <v>1</v>
      </c>
      <c r="K147" t="b">
        <f t="shared" si="13"/>
        <v>0</v>
      </c>
    </row>
    <row r="148" spans="2:11" x14ac:dyDescent="0.3">
      <c r="B148" s="2">
        <v>65000</v>
      </c>
      <c r="C148" s="2">
        <v>0</v>
      </c>
      <c r="D148" t="e">
        <f t="shared" si="8"/>
        <v>#DIV/0!</v>
      </c>
      <c r="F148" t="b">
        <f t="shared" si="9"/>
        <v>1</v>
      </c>
      <c r="G148" t="str">
        <f t="shared" si="10"/>
        <v>error</v>
      </c>
      <c r="H148" t="e">
        <f t="shared" si="11"/>
        <v>#DIV/0!</v>
      </c>
      <c r="I148" t="e">
        <f t="shared" si="14"/>
        <v>#DIV/0!</v>
      </c>
      <c r="J148" t="b">
        <f t="shared" si="12"/>
        <v>0</v>
      </c>
      <c r="K148" t="b">
        <f t="shared" si="13"/>
        <v>0</v>
      </c>
    </row>
    <row r="149" spans="2:11" x14ac:dyDescent="0.3">
      <c r="B149" s="2">
        <v>60000</v>
      </c>
      <c r="C149" s="2">
        <v>8000</v>
      </c>
      <c r="D149">
        <f t="shared" si="8"/>
        <v>7.5</v>
      </c>
      <c r="F149" t="b">
        <f t="shared" si="9"/>
        <v>0</v>
      </c>
      <c r="G149">
        <f t="shared" si="10"/>
        <v>7.5</v>
      </c>
      <c r="H149" t="b">
        <f t="shared" si="11"/>
        <v>1</v>
      </c>
      <c r="I149" t="b">
        <f t="shared" si="14"/>
        <v>0</v>
      </c>
      <c r="J149" t="b">
        <f t="shared" si="12"/>
        <v>1</v>
      </c>
      <c r="K149" t="b">
        <f t="shared" si="13"/>
        <v>0</v>
      </c>
    </row>
    <row r="150" spans="2:11" x14ac:dyDescent="0.3">
      <c r="B150" s="2">
        <v>53000</v>
      </c>
      <c r="C150" s="2">
        <v>0</v>
      </c>
      <c r="D150" t="e">
        <f t="shared" si="8"/>
        <v>#DIV/0!</v>
      </c>
      <c r="F150" t="b">
        <f t="shared" si="9"/>
        <v>1</v>
      </c>
      <c r="G150" t="str">
        <f t="shared" si="10"/>
        <v>error</v>
      </c>
      <c r="H150" t="e">
        <f t="shared" si="11"/>
        <v>#DIV/0!</v>
      </c>
      <c r="I150" t="e">
        <f t="shared" si="14"/>
        <v>#DIV/0!</v>
      </c>
      <c r="J150" t="b">
        <f t="shared" si="12"/>
        <v>0</v>
      </c>
      <c r="K150" t="b">
        <f t="shared" si="13"/>
        <v>0</v>
      </c>
    </row>
    <row r="151" spans="2:11" x14ac:dyDescent="0.3">
      <c r="B151" s="2">
        <v>68000</v>
      </c>
      <c r="C151" s="2">
        <v>15000</v>
      </c>
      <c r="D151">
        <f t="shared" si="8"/>
        <v>4.5333333333333332</v>
      </c>
      <c r="F151" t="b">
        <f t="shared" si="9"/>
        <v>0</v>
      </c>
      <c r="G151">
        <f t="shared" si="10"/>
        <v>4.5333333333333332</v>
      </c>
      <c r="H151" t="b">
        <f t="shared" si="11"/>
        <v>0</v>
      </c>
      <c r="I151" t="b">
        <f t="shared" si="14"/>
        <v>1</v>
      </c>
      <c r="J151" t="b">
        <f t="shared" si="12"/>
        <v>1</v>
      </c>
      <c r="K151" t="b">
        <f t="shared" si="13"/>
        <v>0</v>
      </c>
    </row>
    <row r="152" spans="2:11" x14ac:dyDescent="0.3">
      <c r="B152" s="2">
        <v>71000</v>
      </c>
      <c r="C152" s="2">
        <v>0</v>
      </c>
      <c r="D152" t="e">
        <f t="shared" si="8"/>
        <v>#DIV/0!</v>
      </c>
      <c r="F152" t="b">
        <f t="shared" si="9"/>
        <v>1</v>
      </c>
      <c r="G152" t="str">
        <f t="shared" si="10"/>
        <v>error</v>
      </c>
      <c r="H152" t="e">
        <f t="shared" si="11"/>
        <v>#DIV/0!</v>
      </c>
      <c r="I152" t="e">
        <f t="shared" si="14"/>
        <v>#DIV/0!</v>
      </c>
      <c r="J152" t="b">
        <f t="shared" si="12"/>
        <v>0</v>
      </c>
      <c r="K152" t="b">
        <f t="shared" si="13"/>
        <v>0</v>
      </c>
    </row>
    <row r="153" spans="2:11" x14ac:dyDescent="0.3">
      <c r="B153" s="2">
        <v>56000</v>
      </c>
      <c r="C153" s="2">
        <v>10000</v>
      </c>
      <c r="D153">
        <f t="shared" si="8"/>
        <v>5.6</v>
      </c>
      <c r="F153" t="b">
        <f t="shared" si="9"/>
        <v>0</v>
      </c>
      <c r="G153">
        <f t="shared" si="10"/>
        <v>5.6</v>
      </c>
      <c r="H153" t="b">
        <f t="shared" si="11"/>
        <v>1</v>
      </c>
      <c r="I153" t="b">
        <f t="shared" si="14"/>
        <v>0</v>
      </c>
      <c r="J153" t="b">
        <f t="shared" si="12"/>
        <v>1</v>
      </c>
      <c r="K153" t="b">
        <f t="shared" si="13"/>
        <v>0</v>
      </c>
    </row>
    <row r="154" spans="2:11" x14ac:dyDescent="0.3">
      <c r="B154" s="2">
        <v>45000</v>
      </c>
      <c r="C154" s="2">
        <v>0</v>
      </c>
      <c r="D154" t="e">
        <f t="shared" si="8"/>
        <v>#DIV/0!</v>
      </c>
      <c r="F154" t="b">
        <f t="shared" si="9"/>
        <v>1</v>
      </c>
      <c r="G154" t="str">
        <f t="shared" si="10"/>
        <v>error</v>
      </c>
      <c r="H154" t="e">
        <f t="shared" si="11"/>
        <v>#DIV/0!</v>
      </c>
      <c r="I154" t="e">
        <f t="shared" si="14"/>
        <v>#DIV/0!</v>
      </c>
      <c r="J154" t="b">
        <f t="shared" si="12"/>
        <v>0</v>
      </c>
      <c r="K154" t="b">
        <f t="shared" si="13"/>
        <v>0</v>
      </c>
    </row>
    <row r="155" spans="2:11" x14ac:dyDescent="0.3">
      <c r="B155" s="2">
        <v>74000</v>
      </c>
      <c r="C155" s="2">
        <v>12000</v>
      </c>
      <c r="D155">
        <f t="shared" si="8"/>
        <v>6.166666666666667</v>
      </c>
      <c r="F155" t="b">
        <f t="shared" si="9"/>
        <v>0</v>
      </c>
      <c r="G155">
        <f t="shared" si="10"/>
        <v>6.166666666666667</v>
      </c>
      <c r="H155" t="b">
        <f t="shared" si="11"/>
        <v>0</v>
      </c>
      <c r="I155" t="b">
        <f t="shared" si="14"/>
        <v>1</v>
      </c>
      <c r="J155" t="b">
        <f t="shared" si="12"/>
        <v>1</v>
      </c>
      <c r="K155" t="b">
        <f t="shared" si="13"/>
        <v>0</v>
      </c>
    </row>
    <row r="156" spans="2:11" x14ac:dyDescent="0.3">
      <c r="B156" s="2">
        <v>63000</v>
      </c>
      <c r="C156" s="2">
        <v>0</v>
      </c>
      <c r="D156" t="e">
        <f t="shared" si="8"/>
        <v>#DIV/0!</v>
      </c>
      <c r="F156" t="b">
        <f t="shared" si="9"/>
        <v>1</v>
      </c>
      <c r="G156" t="str">
        <f t="shared" si="10"/>
        <v>error</v>
      </c>
      <c r="H156" t="e">
        <f t="shared" si="11"/>
        <v>#DIV/0!</v>
      </c>
      <c r="I156" t="e">
        <f t="shared" si="14"/>
        <v>#DIV/0!</v>
      </c>
      <c r="J156" t="b">
        <f t="shared" si="12"/>
        <v>0</v>
      </c>
      <c r="K156" t="b">
        <f t="shared" si="13"/>
        <v>0</v>
      </c>
    </row>
    <row r="157" spans="2:11" x14ac:dyDescent="0.3">
      <c r="B157" s="2">
        <v>47000</v>
      </c>
      <c r="C157" s="2">
        <v>5000</v>
      </c>
      <c r="D157">
        <f t="shared" ref="D157:D220" si="15">B157/C157</f>
        <v>9.4</v>
      </c>
      <c r="F157" t="b">
        <f t="shared" ref="F157:F220" si="16">ISERROR(D157)</f>
        <v>0</v>
      </c>
      <c r="G157">
        <f t="shared" ref="G157:G220" si="17">IFERROR(D157,"error")</f>
        <v>9.4</v>
      </c>
      <c r="H157" t="b">
        <f t="shared" ref="H157:H220" si="18">ISODD(D157)</f>
        <v>1</v>
      </c>
      <c r="I157" t="b">
        <f t="shared" si="14"/>
        <v>0</v>
      </c>
      <c r="J157" t="b">
        <f t="shared" ref="J157:J220" si="19">ISNUMBER(D157)</f>
        <v>1</v>
      </c>
      <c r="K157" t="b">
        <f t="shared" ref="K157:K220" si="20">ISTEXT(D157)</f>
        <v>0</v>
      </c>
    </row>
    <row r="158" spans="2:11" x14ac:dyDescent="0.3">
      <c r="B158" s="2">
        <v>55000</v>
      </c>
      <c r="C158" s="2">
        <v>0</v>
      </c>
      <c r="D158" t="e">
        <f t="shared" si="15"/>
        <v>#DIV/0!</v>
      </c>
      <c r="F158" t="b">
        <f t="shared" si="16"/>
        <v>1</v>
      </c>
      <c r="G158" t="str">
        <f t="shared" si="17"/>
        <v>error</v>
      </c>
      <c r="H158" t="e">
        <f t="shared" si="18"/>
        <v>#DIV/0!</v>
      </c>
      <c r="I158" t="e">
        <f t="shared" si="14"/>
        <v>#DIV/0!</v>
      </c>
      <c r="J158" t="b">
        <f t="shared" si="19"/>
        <v>0</v>
      </c>
      <c r="K158" t="b">
        <f t="shared" si="20"/>
        <v>0</v>
      </c>
    </row>
    <row r="159" spans="2:11" x14ac:dyDescent="0.3">
      <c r="B159" s="2">
        <v>62000</v>
      </c>
      <c r="C159" s="2">
        <v>10000</v>
      </c>
      <c r="D159">
        <f t="shared" si="15"/>
        <v>6.2</v>
      </c>
      <c r="F159" t="b">
        <f t="shared" si="16"/>
        <v>0</v>
      </c>
      <c r="G159">
        <f t="shared" si="17"/>
        <v>6.2</v>
      </c>
      <c r="H159" t="b">
        <f t="shared" si="18"/>
        <v>0</v>
      </c>
      <c r="I159" t="b">
        <f t="shared" si="14"/>
        <v>1</v>
      </c>
      <c r="J159" t="b">
        <f t="shared" si="19"/>
        <v>1</v>
      </c>
      <c r="K159" t="b">
        <f t="shared" si="20"/>
        <v>0</v>
      </c>
    </row>
    <row r="160" spans="2:11" x14ac:dyDescent="0.3">
      <c r="B160" s="2">
        <v>67000</v>
      </c>
      <c r="C160" s="2">
        <v>0</v>
      </c>
      <c r="D160" t="e">
        <f t="shared" si="15"/>
        <v>#DIV/0!</v>
      </c>
      <c r="F160" t="b">
        <f t="shared" si="16"/>
        <v>1</v>
      </c>
      <c r="G160" t="str">
        <f t="shared" si="17"/>
        <v>error</v>
      </c>
      <c r="H160" t="e">
        <f t="shared" si="18"/>
        <v>#DIV/0!</v>
      </c>
      <c r="I160" t="e">
        <f t="shared" ref="I160:I223" si="21">ISEVEN(D160)</f>
        <v>#DIV/0!</v>
      </c>
      <c r="J160" t="b">
        <f t="shared" si="19"/>
        <v>0</v>
      </c>
      <c r="K160" t="b">
        <f t="shared" si="20"/>
        <v>0</v>
      </c>
    </row>
    <row r="161" spans="2:11" x14ac:dyDescent="0.3">
      <c r="B161" s="2">
        <v>49000</v>
      </c>
      <c r="C161" s="2">
        <v>7000</v>
      </c>
      <c r="D161">
        <f t="shared" si="15"/>
        <v>7</v>
      </c>
      <c r="F161" t="b">
        <f t="shared" si="16"/>
        <v>0</v>
      </c>
      <c r="G161">
        <f t="shared" si="17"/>
        <v>7</v>
      </c>
      <c r="H161" t="b">
        <f t="shared" si="18"/>
        <v>1</v>
      </c>
      <c r="I161" t="b">
        <f t="shared" si="21"/>
        <v>0</v>
      </c>
      <c r="J161" t="b">
        <f t="shared" si="19"/>
        <v>1</v>
      </c>
      <c r="K161" t="b">
        <f t="shared" si="20"/>
        <v>0</v>
      </c>
    </row>
    <row r="162" spans="2:11" x14ac:dyDescent="0.3">
      <c r="B162" s="2">
        <v>71000</v>
      </c>
      <c r="C162" s="2">
        <v>0</v>
      </c>
      <c r="D162" t="e">
        <f t="shared" si="15"/>
        <v>#DIV/0!</v>
      </c>
      <c r="F162" t="b">
        <f t="shared" si="16"/>
        <v>1</v>
      </c>
      <c r="G162" t="str">
        <f t="shared" si="17"/>
        <v>error</v>
      </c>
      <c r="H162" t="e">
        <f t="shared" si="18"/>
        <v>#DIV/0!</v>
      </c>
      <c r="I162" t="e">
        <f t="shared" si="21"/>
        <v>#DIV/0!</v>
      </c>
      <c r="J162" t="b">
        <f t="shared" si="19"/>
        <v>0</v>
      </c>
      <c r="K162" t="b">
        <f t="shared" si="20"/>
        <v>0</v>
      </c>
    </row>
    <row r="163" spans="2:11" x14ac:dyDescent="0.3">
      <c r="B163" s="2">
        <v>73000</v>
      </c>
      <c r="C163" s="2">
        <v>13000</v>
      </c>
      <c r="D163">
        <f t="shared" si="15"/>
        <v>5.615384615384615</v>
      </c>
      <c r="F163" t="b">
        <f t="shared" si="16"/>
        <v>0</v>
      </c>
      <c r="G163">
        <f t="shared" si="17"/>
        <v>5.615384615384615</v>
      </c>
      <c r="H163" t="b">
        <f t="shared" si="18"/>
        <v>1</v>
      </c>
      <c r="I163" t="b">
        <f t="shared" si="21"/>
        <v>0</v>
      </c>
      <c r="J163" t="b">
        <f t="shared" si="19"/>
        <v>1</v>
      </c>
      <c r="K163" t="b">
        <f t="shared" si="20"/>
        <v>0</v>
      </c>
    </row>
    <row r="164" spans="2:11" x14ac:dyDescent="0.3">
      <c r="B164" s="2">
        <v>47000</v>
      </c>
      <c r="C164" s="2">
        <v>0</v>
      </c>
      <c r="D164" t="e">
        <f t="shared" si="15"/>
        <v>#DIV/0!</v>
      </c>
      <c r="F164" t="b">
        <f t="shared" si="16"/>
        <v>1</v>
      </c>
      <c r="G164" t="str">
        <f t="shared" si="17"/>
        <v>error</v>
      </c>
      <c r="H164" t="e">
        <f t="shared" si="18"/>
        <v>#DIV/0!</v>
      </c>
      <c r="I164" t="e">
        <f t="shared" si="21"/>
        <v>#DIV/0!</v>
      </c>
      <c r="J164" t="b">
        <f t="shared" si="19"/>
        <v>0</v>
      </c>
      <c r="K164" t="b">
        <f t="shared" si="20"/>
        <v>0</v>
      </c>
    </row>
    <row r="165" spans="2:11" x14ac:dyDescent="0.3">
      <c r="B165" s="2">
        <v>53000</v>
      </c>
      <c r="C165" s="2">
        <v>8000</v>
      </c>
      <c r="D165">
        <f t="shared" si="15"/>
        <v>6.625</v>
      </c>
      <c r="F165" t="b">
        <f t="shared" si="16"/>
        <v>0</v>
      </c>
      <c r="G165">
        <f t="shared" si="17"/>
        <v>6.625</v>
      </c>
      <c r="H165" t="b">
        <f t="shared" si="18"/>
        <v>0</v>
      </c>
      <c r="I165" t="b">
        <f t="shared" si="21"/>
        <v>1</v>
      </c>
      <c r="J165" t="b">
        <f t="shared" si="19"/>
        <v>1</v>
      </c>
      <c r="K165" t="b">
        <f t="shared" si="20"/>
        <v>0</v>
      </c>
    </row>
    <row r="166" spans="2:11" x14ac:dyDescent="0.3">
      <c r="B166" s="2">
        <v>69000</v>
      </c>
      <c r="C166" s="2">
        <v>0</v>
      </c>
      <c r="D166" t="e">
        <f t="shared" si="15"/>
        <v>#DIV/0!</v>
      </c>
      <c r="F166" t="b">
        <f t="shared" si="16"/>
        <v>1</v>
      </c>
      <c r="G166" t="str">
        <f t="shared" si="17"/>
        <v>error</v>
      </c>
      <c r="H166" t="e">
        <f t="shared" si="18"/>
        <v>#DIV/0!</v>
      </c>
      <c r="I166" t="e">
        <f t="shared" si="21"/>
        <v>#DIV/0!</v>
      </c>
      <c r="J166" t="b">
        <f t="shared" si="19"/>
        <v>0</v>
      </c>
      <c r="K166" t="b">
        <f t="shared" si="20"/>
        <v>0</v>
      </c>
    </row>
    <row r="167" spans="2:11" x14ac:dyDescent="0.3">
      <c r="B167" s="2">
        <v>45000</v>
      </c>
      <c r="C167" s="2">
        <v>5000</v>
      </c>
      <c r="D167">
        <f t="shared" si="15"/>
        <v>9</v>
      </c>
      <c r="F167" t="b">
        <f t="shared" si="16"/>
        <v>0</v>
      </c>
      <c r="G167">
        <f t="shared" si="17"/>
        <v>9</v>
      </c>
      <c r="H167" t="b">
        <f t="shared" si="18"/>
        <v>1</v>
      </c>
      <c r="I167" t="b">
        <f t="shared" si="21"/>
        <v>0</v>
      </c>
      <c r="J167" t="b">
        <f t="shared" si="19"/>
        <v>1</v>
      </c>
      <c r="K167" t="b">
        <f t="shared" si="20"/>
        <v>0</v>
      </c>
    </row>
    <row r="168" spans="2:11" x14ac:dyDescent="0.3">
      <c r="B168" s="2">
        <v>74000</v>
      </c>
      <c r="C168" s="2">
        <v>0</v>
      </c>
      <c r="D168" t="e">
        <f t="shared" si="15"/>
        <v>#DIV/0!</v>
      </c>
      <c r="F168" t="b">
        <f t="shared" si="16"/>
        <v>1</v>
      </c>
      <c r="G168" t="str">
        <f t="shared" si="17"/>
        <v>error</v>
      </c>
      <c r="H168" t="e">
        <f t="shared" si="18"/>
        <v>#DIV/0!</v>
      </c>
      <c r="I168" t="e">
        <f t="shared" si="21"/>
        <v>#DIV/0!</v>
      </c>
      <c r="J168" t="b">
        <f t="shared" si="19"/>
        <v>0</v>
      </c>
      <c r="K168" t="b">
        <f t="shared" si="20"/>
        <v>0</v>
      </c>
    </row>
    <row r="169" spans="2:11" x14ac:dyDescent="0.3">
      <c r="B169" s="2">
        <v>60000</v>
      </c>
      <c r="C169" s="2">
        <v>8000</v>
      </c>
      <c r="D169">
        <f t="shared" si="15"/>
        <v>7.5</v>
      </c>
      <c r="F169" t="b">
        <f t="shared" si="16"/>
        <v>0</v>
      </c>
      <c r="G169">
        <f t="shared" si="17"/>
        <v>7.5</v>
      </c>
      <c r="H169" t="b">
        <f t="shared" si="18"/>
        <v>1</v>
      </c>
      <c r="I169" t="b">
        <f t="shared" si="21"/>
        <v>0</v>
      </c>
      <c r="J169" t="b">
        <f t="shared" si="19"/>
        <v>1</v>
      </c>
      <c r="K169" t="b">
        <f t="shared" si="20"/>
        <v>0</v>
      </c>
    </row>
    <row r="170" spans="2:11" x14ac:dyDescent="0.3">
      <c r="B170" s="2">
        <v>55000</v>
      </c>
      <c r="C170" s="2">
        <v>0</v>
      </c>
      <c r="D170" t="e">
        <f t="shared" si="15"/>
        <v>#DIV/0!</v>
      </c>
      <c r="F170" t="b">
        <f t="shared" si="16"/>
        <v>1</v>
      </c>
      <c r="G170" t="str">
        <f t="shared" si="17"/>
        <v>error</v>
      </c>
      <c r="H170" t="e">
        <f t="shared" si="18"/>
        <v>#DIV/0!</v>
      </c>
      <c r="I170" t="e">
        <f t="shared" si="21"/>
        <v>#DIV/0!</v>
      </c>
      <c r="J170" t="b">
        <f t="shared" si="19"/>
        <v>0</v>
      </c>
      <c r="K170" t="b">
        <f t="shared" si="20"/>
        <v>0</v>
      </c>
    </row>
    <row r="171" spans="2:11" x14ac:dyDescent="0.3">
      <c r="B171" s="2">
        <v>67000</v>
      </c>
      <c r="C171" s="2">
        <v>12000</v>
      </c>
      <c r="D171">
        <f t="shared" si="15"/>
        <v>5.583333333333333</v>
      </c>
      <c r="F171" t="b">
        <f t="shared" si="16"/>
        <v>0</v>
      </c>
      <c r="G171">
        <f t="shared" si="17"/>
        <v>5.583333333333333</v>
      </c>
      <c r="H171" t="b">
        <f t="shared" si="18"/>
        <v>1</v>
      </c>
      <c r="I171" t="b">
        <f t="shared" si="21"/>
        <v>0</v>
      </c>
      <c r="J171" t="b">
        <f t="shared" si="19"/>
        <v>1</v>
      </c>
      <c r="K171" t="b">
        <f t="shared" si="20"/>
        <v>0</v>
      </c>
    </row>
    <row r="172" spans="2:11" x14ac:dyDescent="0.3">
      <c r="B172" s="2">
        <v>48000</v>
      </c>
      <c r="C172" s="2">
        <v>0</v>
      </c>
      <c r="D172" t="e">
        <f t="shared" si="15"/>
        <v>#DIV/0!</v>
      </c>
      <c r="F172" t="b">
        <f t="shared" si="16"/>
        <v>1</v>
      </c>
      <c r="G172" t="str">
        <f t="shared" si="17"/>
        <v>error</v>
      </c>
      <c r="H172" t="e">
        <f t="shared" si="18"/>
        <v>#DIV/0!</v>
      </c>
      <c r="I172" t="e">
        <f t="shared" si="21"/>
        <v>#DIV/0!</v>
      </c>
      <c r="J172" t="b">
        <f t="shared" si="19"/>
        <v>0</v>
      </c>
      <c r="K172" t="b">
        <f t="shared" si="20"/>
        <v>0</v>
      </c>
    </row>
    <row r="173" spans="2:11" x14ac:dyDescent="0.3">
      <c r="B173" s="2">
        <v>70000</v>
      </c>
      <c r="C173" s="2">
        <v>15000</v>
      </c>
      <c r="D173">
        <f t="shared" si="15"/>
        <v>4.666666666666667</v>
      </c>
      <c r="F173" t="b">
        <f t="shared" si="16"/>
        <v>0</v>
      </c>
      <c r="G173">
        <f t="shared" si="17"/>
        <v>4.666666666666667</v>
      </c>
      <c r="H173" t="b">
        <f t="shared" si="18"/>
        <v>0</v>
      </c>
      <c r="I173" t="b">
        <f t="shared" si="21"/>
        <v>1</v>
      </c>
      <c r="J173" t="b">
        <f t="shared" si="19"/>
        <v>1</v>
      </c>
      <c r="K173" t="b">
        <f t="shared" si="20"/>
        <v>0</v>
      </c>
    </row>
    <row r="174" spans="2:11" x14ac:dyDescent="0.3">
      <c r="B174" s="2">
        <v>62000</v>
      </c>
      <c r="C174" s="2">
        <v>0</v>
      </c>
      <c r="D174" t="e">
        <f t="shared" si="15"/>
        <v>#DIV/0!</v>
      </c>
      <c r="F174" t="b">
        <f t="shared" si="16"/>
        <v>1</v>
      </c>
      <c r="G174" t="str">
        <f t="shared" si="17"/>
        <v>error</v>
      </c>
      <c r="H174" t="e">
        <f t="shared" si="18"/>
        <v>#DIV/0!</v>
      </c>
      <c r="I174" t="e">
        <f t="shared" si="21"/>
        <v>#DIV/0!</v>
      </c>
      <c r="J174" t="b">
        <f t="shared" si="19"/>
        <v>0</v>
      </c>
      <c r="K174" t="b">
        <f t="shared" si="20"/>
        <v>0</v>
      </c>
    </row>
    <row r="175" spans="2:11" x14ac:dyDescent="0.3">
      <c r="B175" s="2">
        <v>73000</v>
      </c>
      <c r="C175" s="2">
        <v>10000</v>
      </c>
      <c r="D175">
        <f t="shared" si="15"/>
        <v>7.3</v>
      </c>
      <c r="F175" t="b">
        <f t="shared" si="16"/>
        <v>0</v>
      </c>
      <c r="G175">
        <f t="shared" si="17"/>
        <v>7.3</v>
      </c>
      <c r="H175" t="b">
        <f t="shared" si="18"/>
        <v>1</v>
      </c>
      <c r="I175" t="b">
        <f t="shared" si="21"/>
        <v>0</v>
      </c>
      <c r="J175" t="b">
        <f t="shared" si="19"/>
        <v>1</v>
      </c>
      <c r="K175" t="b">
        <f t="shared" si="20"/>
        <v>0</v>
      </c>
    </row>
    <row r="176" spans="2:11" x14ac:dyDescent="0.3">
      <c r="B176" s="2">
        <v>51000</v>
      </c>
      <c r="C176" s="2">
        <v>0</v>
      </c>
      <c r="D176" t="e">
        <f t="shared" si="15"/>
        <v>#DIV/0!</v>
      </c>
      <c r="F176" t="b">
        <f t="shared" si="16"/>
        <v>1</v>
      </c>
      <c r="G176" t="str">
        <f t="shared" si="17"/>
        <v>error</v>
      </c>
      <c r="H176" t="e">
        <f t="shared" si="18"/>
        <v>#DIV/0!</v>
      </c>
      <c r="I176" t="e">
        <f t="shared" si="21"/>
        <v>#DIV/0!</v>
      </c>
      <c r="J176" t="b">
        <f t="shared" si="19"/>
        <v>0</v>
      </c>
      <c r="K176" t="b">
        <f t="shared" si="20"/>
        <v>0</v>
      </c>
    </row>
    <row r="177" spans="2:11" x14ac:dyDescent="0.3">
      <c r="B177" s="2">
        <v>53000</v>
      </c>
      <c r="C177" s="2">
        <v>7000</v>
      </c>
      <c r="D177">
        <f t="shared" si="15"/>
        <v>7.5714285714285712</v>
      </c>
      <c r="F177" t="b">
        <f t="shared" si="16"/>
        <v>0</v>
      </c>
      <c r="G177">
        <f t="shared" si="17"/>
        <v>7.5714285714285712</v>
      </c>
      <c r="H177" t="b">
        <f t="shared" si="18"/>
        <v>1</v>
      </c>
      <c r="I177" t="b">
        <f t="shared" si="21"/>
        <v>0</v>
      </c>
      <c r="J177" t="b">
        <f t="shared" si="19"/>
        <v>1</v>
      </c>
      <c r="K177" t="b">
        <f t="shared" si="20"/>
        <v>0</v>
      </c>
    </row>
    <row r="178" spans="2:11" x14ac:dyDescent="0.3">
      <c r="B178" s="2">
        <v>67000</v>
      </c>
      <c r="C178" s="2">
        <v>0</v>
      </c>
      <c r="D178" t="e">
        <f t="shared" si="15"/>
        <v>#DIV/0!</v>
      </c>
      <c r="F178" t="b">
        <f t="shared" si="16"/>
        <v>1</v>
      </c>
      <c r="G178" t="str">
        <f t="shared" si="17"/>
        <v>error</v>
      </c>
      <c r="H178" t="e">
        <f t="shared" si="18"/>
        <v>#DIV/0!</v>
      </c>
      <c r="I178" t="e">
        <f t="shared" si="21"/>
        <v>#DIV/0!</v>
      </c>
      <c r="J178" t="b">
        <f t="shared" si="19"/>
        <v>0</v>
      </c>
      <c r="K178" t="b">
        <f t="shared" si="20"/>
        <v>0</v>
      </c>
    </row>
    <row r="179" spans="2:11" x14ac:dyDescent="0.3">
      <c r="B179" s="2">
        <v>46000</v>
      </c>
      <c r="C179" s="2">
        <v>6000</v>
      </c>
      <c r="D179">
        <f t="shared" si="15"/>
        <v>7.666666666666667</v>
      </c>
      <c r="F179" t="b">
        <f t="shared" si="16"/>
        <v>0</v>
      </c>
      <c r="G179">
        <f t="shared" si="17"/>
        <v>7.666666666666667</v>
      </c>
      <c r="H179" t="b">
        <f t="shared" si="18"/>
        <v>1</v>
      </c>
      <c r="I179" t="b">
        <f t="shared" si="21"/>
        <v>0</v>
      </c>
      <c r="J179" t="b">
        <f t="shared" si="19"/>
        <v>1</v>
      </c>
      <c r="K179" t="b">
        <f t="shared" si="20"/>
        <v>0</v>
      </c>
    </row>
    <row r="180" spans="2:11" x14ac:dyDescent="0.3">
      <c r="B180" s="2">
        <v>47000</v>
      </c>
      <c r="C180" s="2">
        <v>0</v>
      </c>
      <c r="D180" t="e">
        <f t="shared" si="15"/>
        <v>#DIV/0!</v>
      </c>
      <c r="F180" t="b">
        <f t="shared" si="16"/>
        <v>1</v>
      </c>
      <c r="G180" t="str">
        <f t="shared" si="17"/>
        <v>error</v>
      </c>
      <c r="H180" t="e">
        <f t="shared" si="18"/>
        <v>#DIV/0!</v>
      </c>
      <c r="I180" t="e">
        <f t="shared" si="21"/>
        <v>#DIV/0!</v>
      </c>
      <c r="J180" t="b">
        <f t="shared" si="19"/>
        <v>0</v>
      </c>
      <c r="K180" t="b">
        <f t="shared" si="20"/>
        <v>0</v>
      </c>
    </row>
    <row r="181" spans="2:11" x14ac:dyDescent="0.3">
      <c r="B181" s="2">
        <v>70000</v>
      </c>
      <c r="C181" s="2">
        <v>12000</v>
      </c>
      <c r="D181">
        <f t="shared" si="15"/>
        <v>5.833333333333333</v>
      </c>
      <c r="F181" t="b">
        <f t="shared" si="16"/>
        <v>0</v>
      </c>
      <c r="G181">
        <f t="shared" si="17"/>
        <v>5.833333333333333</v>
      </c>
      <c r="H181" t="b">
        <f t="shared" si="18"/>
        <v>1</v>
      </c>
      <c r="I181" t="b">
        <f t="shared" si="21"/>
        <v>0</v>
      </c>
      <c r="J181" t="b">
        <f t="shared" si="19"/>
        <v>1</v>
      </c>
      <c r="K181" t="b">
        <f t="shared" si="20"/>
        <v>0</v>
      </c>
    </row>
    <row r="182" spans="2:11" x14ac:dyDescent="0.3">
      <c r="B182" s="2">
        <v>56000</v>
      </c>
      <c r="C182" s="2">
        <v>0</v>
      </c>
      <c r="D182" t="e">
        <f t="shared" si="15"/>
        <v>#DIV/0!</v>
      </c>
      <c r="F182" t="b">
        <f t="shared" si="16"/>
        <v>1</v>
      </c>
      <c r="G182" t="str">
        <f t="shared" si="17"/>
        <v>error</v>
      </c>
      <c r="H182" t="e">
        <f t="shared" si="18"/>
        <v>#DIV/0!</v>
      </c>
      <c r="I182" t="e">
        <f t="shared" si="21"/>
        <v>#DIV/0!</v>
      </c>
      <c r="J182" t="b">
        <f t="shared" si="19"/>
        <v>0</v>
      </c>
      <c r="K182" t="b">
        <f t="shared" si="20"/>
        <v>0</v>
      </c>
    </row>
    <row r="183" spans="2:11" x14ac:dyDescent="0.3">
      <c r="B183" s="2">
        <v>47000</v>
      </c>
      <c r="C183" s="2">
        <v>5000</v>
      </c>
      <c r="D183">
        <f t="shared" si="15"/>
        <v>9.4</v>
      </c>
      <c r="F183" t="b">
        <f t="shared" si="16"/>
        <v>0</v>
      </c>
      <c r="G183">
        <f t="shared" si="17"/>
        <v>9.4</v>
      </c>
      <c r="H183" t="b">
        <f t="shared" si="18"/>
        <v>1</v>
      </c>
      <c r="I183" t="b">
        <f t="shared" si="21"/>
        <v>0</v>
      </c>
      <c r="J183" t="b">
        <f t="shared" si="19"/>
        <v>1</v>
      </c>
      <c r="K183" t="b">
        <f t="shared" si="20"/>
        <v>0</v>
      </c>
    </row>
    <row r="184" spans="2:11" x14ac:dyDescent="0.3">
      <c r="B184" s="2">
        <v>68000</v>
      </c>
      <c r="C184" s="2">
        <v>0</v>
      </c>
      <c r="D184" t="e">
        <f t="shared" si="15"/>
        <v>#DIV/0!</v>
      </c>
      <c r="F184" t="b">
        <f t="shared" si="16"/>
        <v>1</v>
      </c>
      <c r="G184" t="str">
        <f t="shared" si="17"/>
        <v>error</v>
      </c>
      <c r="H184" t="e">
        <f t="shared" si="18"/>
        <v>#DIV/0!</v>
      </c>
      <c r="I184" t="e">
        <f t="shared" si="21"/>
        <v>#DIV/0!</v>
      </c>
      <c r="J184" t="b">
        <f t="shared" si="19"/>
        <v>0</v>
      </c>
      <c r="K184" t="b">
        <f t="shared" si="20"/>
        <v>0</v>
      </c>
    </row>
    <row r="185" spans="2:11" x14ac:dyDescent="0.3">
      <c r="B185" s="2">
        <v>49000</v>
      </c>
      <c r="C185" s="2">
        <v>6000</v>
      </c>
      <c r="D185">
        <f t="shared" si="15"/>
        <v>8.1666666666666661</v>
      </c>
      <c r="F185" t="b">
        <f t="shared" si="16"/>
        <v>0</v>
      </c>
      <c r="G185">
        <f t="shared" si="17"/>
        <v>8.1666666666666661</v>
      </c>
      <c r="H185" t="b">
        <f t="shared" si="18"/>
        <v>0</v>
      </c>
      <c r="I185" t="b">
        <f t="shared" si="21"/>
        <v>1</v>
      </c>
      <c r="J185" t="b">
        <f t="shared" si="19"/>
        <v>1</v>
      </c>
      <c r="K185" t="b">
        <f t="shared" si="20"/>
        <v>0</v>
      </c>
    </row>
    <row r="186" spans="2:11" x14ac:dyDescent="0.3">
      <c r="B186" s="2">
        <v>45000</v>
      </c>
      <c r="C186" s="2">
        <v>0</v>
      </c>
      <c r="D186" t="e">
        <f t="shared" si="15"/>
        <v>#DIV/0!</v>
      </c>
      <c r="F186" t="b">
        <f t="shared" si="16"/>
        <v>1</v>
      </c>
      <c r="G186" t="str">
        <f t="shared" si="17"/>
        <v>error</v>
      </c>
      <c r="H186" t="e">
        <f t="shared" si="18"/>
        <v>#DIV/0!</v>
      </c>
      <c r="I186" t="e">
        <f t="shared" si="21"/>
        <v>#DIV/0!</v>
      </c>
      <c r="J186" t="b">
        <f t="shared" si="19"/>
        <v>0</v>
      </c>
      <c r="K186" t="b">
        <f t="shared" si="20"/>
        <v>0</v>
      </c>
    </row>
    <row r="187" spans="2:11" x14ac:dyDescent="0.3">
      <c r="B187" s="2">
        <v>71000</v>
      </c>
      <c r="C187" s="2">
        <v>12000</v>
      </c>
      <c r="D187">
        <f t="shared" si="15"/>
        <v>5.916666666666667</v>
      </c>
      <c r="F187" t="b">
        <f t="shared" si="16"/>
        <v>0</v>
      </c>
      <c r="G187">
        <f t="shared" si="17"/>
        <v>5.916666666666667</v>
      </c>
      <c r="H187" t="b">
        <f t="shared" si="18"/>
        <v>1</v>
      </c>
      <c r="I187" t="b">
        <f t="shared" si="21"/>
        <v>0</v>
      </c>
      <c r="J187" t="b">
        <f t="shared" si="19"/>
        <v>1</v>
      </c>
      <c r="K187" t="b">
        <f t="shared" si="20"/>
        <v>0</v>
      </c>
    </row>
    <row r="188" spans="2:11" x14ac:dyDescent="0.3">
      <c r="B188" s="2">
        <v>55000</v>
      </c>
      <c r="C188" s="2">
        <v>0</v>
      </c>
      <c r="D188" t="e">
        <f t="shared" si="15"/>
        <v>#DIV/0!</v>
      </c>
      <c r="F188" t="b">
        <f t="shared" si="16"/>
        <v>1</v>
      </c>
      <c r="G188" t="str">
        <f t="shared" si="17"/>
        <v>error</v>
      </c>
      <c r="H188" t="e">
        <f t="shared" si="18"/>
        <v>#DIV/0!</v>
      </c>
      <c r="I188" t="e">
        <f t="shared" si="21"/>
        <v>#DIV/0!</v>
      </c>
      <c r="J188" t="b">
        <f t="shared" si="19"/>
        <v>0</v>
      </c>
      <c r="K188" t="b">
        <f t="shared" si="20"/>
        <v>0</v>
      </c>
    </row>
    <row r="189" spans="2:11" x14ac:dyDescent="0.3">
      <c r="B189" s="2">
        <v>62000</v>
      </c>
      <c r="C189" s="2">
        <v>15000</v>
      </c>
      <c r="D189">
        <f t="shared" si="15"/>
        <v>4.1333333333333337</v>
      </c>
      <c r="F189" t="b">
        <f t="shared" si="16"/>
        <v>0</v>
      </c>
      <c r="G189">
        <f t="shared" si="17"/>
        <v>4.1333333333333337</v>
      </c>
      <c r="H189" t="b">
        <f t="shared" si="18"/>
        <v>0</v>
      </c>
      <c r="I189" t="b">
        <f t="shared" si="21"/>
        <v>1</v>
      </c>
      <c r="J189" t="b">
        <f t="shared" si="19"/>
        <v>1</v>
      </c>
      <c r="K189" t="b">
        <f t="shared" si="20"/>
        <v>0</v>
      </c>
    </row>
    <row r="190" spans="2:11" x14ac:dyDescent="0.3">
      <c r="B190" s="2">
        <v>75000</v>
      </c>
      <c r="C190" s="2">
        <v>0</v>
      </c>
      <c r="D190" t="e">
        <f t="shared" si="15"/>
        <v>#DIV/0!</v>
      </c>
      <c r="F190" t="b">
        <f t="shared" si="16"/>
        <v>1</v>
      </c>
      <c r="G190" t="str">
        <f t="shared" si="17"/>
        <v>error</v>
      </c>
      <c r="H190" t="e">
        <f t="shared" si="18"/>
        <v>#DIV/0!</v>
      </c>
      <c r="I190" t="e">
        <f t="shared" si="21"/>
        <v>#DIV/0!</v>
      </c>
      <c r="J190" t="b">
        <f t="shared" si="19"/>
        <v>0</v>
      </c>
      <c r="K190" t="b">
        <f t="shared" si="20"/>
        <v>0</v>
      </c>
    </row>
    <row r="191" spans="2:11" x14ac:dyDescent="0.3">
      <c r="B191" s="2">
        <v>48000</v>
      </c>
      <c r="C191" s="2">
        <v>5000</v>
      </c>
      <c r="D191">
        <f t="shared" si="15"/>
        <v>9.6</v>
      </c>
      <c r="F191" t="b">
        <f t="shared" si="16"/>
        <v>0</v>
      </c>
      <c r="G191">
        <f t="shared" si="17"/>
        <v>9.6</v>
      </c>
      <c r="H191" t="b">
        <f t="shared" si="18"/>
        <v>1</v>
      </c>
      <c r="I191" t="b">
        <f t="shared" si="21"/>
        <v>0</v>
      </c>
      <c r="J191" t="b">
        <f t="shared" si="19"/>
        <v>1</v>
      </c>
      <c r="K191" t="b">
        <f t="shared" si="20"/>
        <v>0</v>
      </c>
    </row>
    <row r="192" spans="2:11" x14ac:dyDescent="0.3">
      <c r="B192" s="2">
        <v>58000</v>
      </c>
      <c r="C192" s="2">
        <v>0</v>
      </c>
      <c r="D192" t="e">
        <f t="shared" si="15"/>
        <v>#DIV/0!</v>
      </c>
      <c r="F192" t="b">
        <f t="shared" si="16"/>
        <v>1</v>
      </c>
      <c r="G192" t="str">
        <f t="shared" si="17"/>
        <v>error</v>
      </c>
      <c r="H192" t="e">
        <f t="shared" si="18"/>
        <v>#DIV/0!</v>
      </c>
      <c r="I192" t="e">
        <f t="shared" si="21"/>
        <v>#DIV/0!</v>
      </c>
      <c r="J192" t="b">
        <f t="shared" si="19"/>
        <v>0</v>
      </c>
      <c r="K192" t="b">
        <f t="shared" si="20"/>
        <v>0</v>
      </c>
    </row>
    <row r="193" spans="2:11" x14ac:dyDescent="0.3">
      <c r="B193" s="2">
        <v>70000</v>
      </c>
      <c r="C193" s="2">
        <v>20000</v>
      </c>
      <c r="D193">
        <f t="shared" si="15"/>
        <v>3.5</v>
      </c>
      <c r="F193" t="b">
        <f t="shared" si="16"/>
        <v>0</v>
      </c>
      <c r="G193">
        <f t="shared" si="17"/>
        <v>3.5</v>
      </c>
      <c r="H193" t="b">
        <f t="shared" si="18"/>
        <v>1</v>
      </c>
      <c r="I193" t="b">
        <f t="shared" si="21"/>
        <v>0</v>
      </c>
      <c r="J193" t="b">
        <f t="shared" si="19"/>
        <v>1</v>
      </c>
      <c r="K193" t="b">
        <f t="shared" si="20"/>
        <v>0</v>
      </c>
    </row>
    <row r="194" spans="2:11" x14ac:dyDescent="0.3">
      <c r="B194" s="2">
        <v>82000</v>
      </c>
      <c r="C194" s="2">
        <v>0</v>
      </c>
      <c r="D194" t="e">
        <f t="shared" si="15"/>
        <v>#DIV/0!</v>
      </c>
      <c r="F194" t="b">
        <f t="shared" si="16"/>
        <v>1</v>
      </c>
      <c r="G194" t="str">
        <f t="shared" si="17"/>
        <v>error</v>
      </c>
      <c r="H194" t="e">
        <f t="shared" si="18"/>
        <v>#DIV/0!</v>
      </c>
      <c r="I194" t="e">
        <f t="shared" si="21"/>
        <v>#DIV/0!</v>
      </c>
      <c r="J194" t="b">
        <f t="shared" si="19"/>
        <v>0</v>
      </c>
      <c r="K194" t="b">
        <f t="shared" si="20"/>
        <v>0</v>
      </c>
    </row>
    <row r="195" spans="2:11" x14ac:dyDescent="0.3">
      <c r="B195" s="2">
        <v>43000</v>
      </c>
      <c r="C195" s="2">
        <v>0</v>
      </c>
      <c r="D195" t="e">
        <f t="shared" si="15"/>
        <v>#DIV/0!</v>
      </c>
      <c r="F195" t="b">
        <f t="shared" si="16"/>
        <v>1</v>
      </c>
      <c r="G195" t="str">
        <f t="shared" si="17"/>
        <v>error</v>
      </c>
      <c r="H195" t="e">
        <f t="shared" si="18"/>
        <v>#DIV/0!</v>
      </c>
      <c r="I195" t="e">
        <f t="shared" si="21"/>
        <v>#DIV/0!</v>
      </c>
      <c r="J195" t="b">
        <f t="shared" si="19"/>
        <v>0</v>
      </c>
      <c r="K195" t="b">
        <f t="shared" si="20"/>
        <v>0</v>
      </c>
    </row>
    <row r="196" spans="2:11" x14ac:dyDescent="0.3">
      <c r="B196" s="2">
        <v>55000</v>
      </c>
      <c r="C196" s="2">
        <v>10000</v>
      </c>
      <c r="D196">
        <f t="shared" si="15"/>
        <v>5.5</v>
      </c>
      <c r="F196" t="b">
        <f t="shared" si="16"/>
        <v>0</v>
      </c>
      <c r="G196">
        <f t="shared" si="17"/>
        <v>5.5</v>
      </c>
      <c r="H196" t="b">
        <f t="shared" si="18"/>
        <v>1</v>
      </c>
      <c r="I196" t="b">
        <f t="shared" si="21"/>
        <v>0</v>
      </c>
      <c r="J196" t="b">
        <f t="shared" si="19"/>
        <v>1</v>
      </c>
      <c r="K196" t="b">
        <f t="shared" si="20"/>
        <v>0</v>
      </c>
    </row>
    <row r="197" spans="2:11" x14ac:dyDescent="0.3">
      <c r="B197" s="2">
        <v>65000</v>
      </c>
      <c r="C197" s="2">
        <v>0</v>
      </c>
      <c r="D197" t="e">
        <f t="shared" si="15"/>
        <v>#DIV/0!</v>
      </c>
      <c r="F197" t="b">
        <f t="shared" si="16"/>
        <v>1</v>
      </c>
      <c r="G197" t="str">
        <f t="shared" si="17"/>
        <v>error</v>
      </c>
      <c r="H197" t="e">
        <f t="shared" si="18"/>
        <v>#DIV/0!</v>
      </c>
      <c r="I197" t="e">
        <f t="shared" si="21"/>
        <v>#DIV/0!</v>
      </c>
      <c r="J197" t="b">
        <f t="shared" si="19"/>
        <v>0</v>
      </c>
      <c r="K197" t="b">
        <f t="shared" si="20"/>
        <v>0</v>
      </c>
    </row>
    <row r="198" spans="2:11" x14ac:dyDescent="0.3">
      <c r="B198" s="2">
        <v>47000</v>
      </c>
      <c r="C198" s="2">
        <v>0</v>
      </c>
      <c r="D198" t="e">
        <f t="shared" si="15"/>
        <v>#DIV/0!</v>
      </c>
      <c r="F198" t="b">
        <f t="shared" si="16"/>
        <v>1</v>
      </c>
      <c r="G198" t="str">
        <f t="shared" si="17"/>
        <v>error</v>
      </c>
      <c r="H198" t="e">
        <f t="shared" si="18"/>
        <v>#DIV/0!</v>
      </c>
      <c r="I198" t="e">
        <f t="shared" si="21"/>
        <v>#DIV/0!</v>
      </c>
      <c r="J198" t="b">
        <f t="shared" si="19"/>
        <v>0</v>
      </c>
      <c r="K198" t="b">
        <f t="shared" si="20"/>
        <v>0</v>
      </c>
    </row>
    <row r="199" spans="2:11" x14ac:dyDescent="0.3">
      <c r="B199" s="2">
        <v>72000</v>
      </c>
      <c r="C199" s="2">
        <v>12000</v>
      </c>
      <c r="D199">
        <f t="shared" si="15"/>
        <v>6</v>
      </c>
      <c r="F199" t="b">
        <f t="shared" si="16"/>
        <v>0</v>
      </c>
      <c r="G199">
        <f t="shared" si="17"/>
        <v>6</v>
      </c>
      <c r="H199" t="b">
        <f t="shared" si="18"/>
        <v>0</v>
      </c>
      <c r="I199" t="b">
        <f t="shared" si="21"/>
        <v>1</v>
      </c>
      <c r="J199" t="b">
        <f t="shared" si="19"/>
        <v>1</v>
      </c>
      <c r="K199" t="b">
        <f t="shared" si="20"/>
        <v>0</v>
      </c>
    </row>
    <row r="200" spans="2:11" x14ac:dyDescent="0.3">
      <c r="B200" s="2">
        <v>53000</v>
      </c>
      <c r="C200" s="2">
        <v>0</v>
      </c>
      <c r="D200" t="e">
        <f t="shared" si="15"/>
        <v>#DIV/0!</v>
      </c>
      <c r="F200" t="b">
        <f t="shared" si="16"/>
        <v>1</v>
      </c>
      <c r="G200" t="str">
        <f t="shared" si="17"/>
        <v>error</v>
      </c>
      <c r="H200" t="e">
        <f t="shared" si="18"/>
        <v>#DIV/0!</v>
      </c>
      <c r="I200" t="e">
        <f t="shared" si="21"/>
        <v>#DIV/0!</v>
      </c>
      <c r="J200" t="b">
        <f t="shared" si="19"/>
        <v>0</v>
      </c>
      <c r="K200" t="b">
        <f t="shared" si="20"/>
        <v>0</v>
      </c>
    </row>
    <row r="201" spans="2:11" x14ac:dyDescent="0.3">
      <c r="B201" s="2">
        <v>60000</v>
      </c>
      <c r="C201" s="2">
        <v>8000</v>
      </c>
      <c r="D201">
        <f t="shared" si="15"/>
        <v>7.5</v>
      </c>
      <c r="F201" t="b">
        <f t="shared" si="16"/>
        <v>0</v>
      </c>
      <c r="G201">
        <f t="shared" si="17"/>
        <v>7.5</v>
      </c>
      <c r="H201" t="b">
        <f t="shared" si="18"/>
        <v>1</v>
      </c>
      <c r="I201" t="b">
        <f t="shared" si="21"/>
        <v>0</v>
      </c>
      <c r="J201" t="b">
        <f t="shared" si="19"/>
        <v>1</v>
      </c>
      <c r="K201" t="b">
        <f t="shared" si="20"/>
        <v>0</v>
      </c>
    </row>
    <row r="202" spans="2:11" x14ac:dyDescent="0.3">
      <c r="B202" s="2">
        <v>85000</v>
      </c>
      <c r="C202" s="2">
        <v>0</v>
      </c>
      <c r="D202" t="e">
        <f t="shared" si="15"/>
        <v>#DIV/0!</v>
      </c>
      <c r="F202" t="b">
        <f t="shared" si="16"/>
        <v>1</v>
      </c>
      <c r="G202" t="str">
        <f t="shared" si="17"/>
        <v>error</v>
      </c>
      <c r="H202" t="e">
        <f t="shared" si="18"/>
        <v>#DIV/0!</v>
      </c>
      <c r="I202" t="e">
        <f t="shared" si="21"/>
        <v>#DIV/0!</v>
      </c>
      <c r="J202" t="b">
        <f t="shared" si="19"/>
        <v>0</v>
      </c>
      <c r="K202" t="b">
        <f t="shared" si="20"/>
        <v>0</v>
      </c>
    </row>
    <row r="203" spans="2:11" x14ac:dyDescent="0.3">
      <c r="B203" s="2">
        <v>49000</v>
      </c>
      <c r="C203" s="2">
        <v>7000</v>
      </c>
      <c r="D203">
        <f t="shared" si="15"/>
        <v>7</v>
      </c>
      <c r="F203" t="b">
        <f t="shared" si="16"/>
        <v>0</v>
      </c>
      <c r="G203">
        <f t="shared" si="17"/>
        <v>7</v>
      </c>
      <c r="H203" t="b">
        <f t="shared" si="18"/>
        <v>1</v>
      </c>
      <c r="I203" t="b">
        <f t="shared" si="21"/>
        <v>0</v>
      </c>
      <c r="J203" t="b">
        <f t="shared" si="19"/>
        <v>1</v>
      </c>
      <c r="K203" t="b">
        <f t="shared" si="20"/>
        <v>0</v>
      </c>
    </row>
    <row r="204" spans="2:11" x14ac:dyDescent="0.3">
      <c r="B204" s="2">
        <v>45000</v>
      </c>
      <c r="C204" s="2">
        <v>0</v>
      </c>
      <c r="D204" t="e">
        <f t="shared" si="15"/>
        <v>#DIV/0!</v>
      </c>
      <c r="F204" t="b">
        <f t="shared" si="16"/>
        <v>1</v>
      </c>
      <c r="G204" t="str">
        <f t="shared" si="17"/>
        <v>error</v>
      </c>
      <c r="H204" t="e">
        <f t="shared" si="18"/>
        <v>#DIV/0!</v>
      </c>
      <c r="I204" t="e">
        <f t="shared" si="21"/>
        <v>#DIV/0!</v>
      </c>
      <c r="J204" t="b">
        <f t="shared" si="19"/>
        <v>0</v>
      </c>
      <c r="K204" t="b">
        <f t="shared" si="20"/>
        <v>0</v>
      </c>
    </row>
    <row r="205" spans="2:11" x14ac:dyDescent="0.3">
      <c r="B205" s="2">
        <v>77000</v>
      </c>
      <c r="C205" s="2">
        <v>15000</v>
      </c>
      <c r="D205">
        <f t="shared" si="15"/>
        <v>5.1333333333333337</v>
      </c>
      <c r="F205" t="b">
        <f t="shared" si="16"/>
        <v>0</v>
      </c>
      <c r="G205">
        <f t="shared" si="17"/>
        <v>5.1333333333333337</v>
      </c>
      <c r="H205" t="b">
        <f t="shared" si="18"/>
        <v>1</v>
      </c>
      <c r="I205" t="b">
        <f t="shared" si="21"/>
        <v>0</v>
      </c>
      <c r="J205" t="b">
        <f t="shared" si="19"/>
        <v>1</v>
      </c>
      <c r="K205" t="b">
        <f t="shared" si="20"/>
        <v>0</v>
      </c>
    </row>
    <row r="206" spans="2:11" x14ac:dyDescent="0.3">
      <c r="B206" s="2">
        <v>50000</v>
      </c>
      <c r="C206" s="2">
        <v>0</v>
      </c>
      <c r="D206" t="e">
        <f t="shared" si="15"/>
        <v>#DIV/0!</v>
      </c>
      <c r="F206" t="b">
        <f t="shared" si="16"/>
        <v>1</v>
      </c>
      <c r="G206" t="str">
        <f t="shared" si="17"/>
        <v>error</v>
      </c>
      <c r="H206" t="e">
        <f t="shared" si="18"/>
        <v>#DIV/0!</v>
      </c>
      <c r="I206" t="e">
        <f t="shared" si="21"/>
        <v>#DIV/0!</v>
      </c>
      <c r="J206" t="b">
        <f t="shared" si="19"/>
        <v>0</v>
      </c>
      <c r="K206" t="b">
        <f t="shared" si="20"/>
        <v>0</v>
      </c>
    </row>
    <row r="207" spans="2:11" x14ac:dyDescent="0.3">
      <c r="B207" s="2">
        <v>69000</v>
      </c>
      <c r="C207" s="2">
        <v>12000</v>
      </c>
      <c r="D207">
        <f t="shared" si="15"/>
        <v>5.75</v>
      </c>
      <c r="F207" t="b">
        <f t="shared" si="16"/>
        <v>0</v>
      </c>
      <c r="G207">
        <f t="shared" si="17"/>
        <v>5.75</v>
      </c>
      <c r="H207" t="b">
        <f t="shared" si="18"/>
        <v>1</v>
      </c>
      <c r="I207" t="b">
        <f t="shared" si="21"/>
        <v>0</v>
      </c>
      <c r="J207" t="b">
        <f t="shared" si="19"/>
        <v>1</v>
      </c>
      <c r="K207" t="b">
        <f t="shared" si="20"/>
        <v>0</v>
      </c>
    </row>
    <row r="208" spans="2:11" x14ac:dyDescent="0.3">
      <c r="B208" s="2">
        <v>54000</v>
      </c>
      <c r="C208" s="2">
        <v>0</v>
      </c>
      <c r="D208" t="e">
        <f t="shared" si="15"/>
        <v>#DIV/0!</v>
      </c>
      <c r="F208" t="b">
        <f t="shared" si="16"/>
        <v>1</v>
      </c>
      <c r="G208" t="str">
        <f t="shared" si="17"/>
        <v>error</v>
      </c>
      <c r="H208" t="e">
        <f t="shared" si="18"/>
        <v>#DIV/0!</v>
      </c>
      <c r="I208" t="e">
        <f t="shared" si="21"/>
        <v>#DIV/0!</v>
      </c>
      <c r="J208" t="b">
        <f t="shared" si="19"/>
        <v>0</v>
      </c>
      <c r="K208" t="b">
        <f t="shared" si="20"/>
        <v>0</v>
      </c>
    </row>
    <row r="209" spans="2:11" x14ac:dyDescent="0.3">
      <c r="B209" s="2">
        <v>74000</v>
      </c>
      <c r="C209" s="2">
        <v>10000</v>
      </c>
      <c r="D209">
        <f t="shared" si="15"/>
        <v>7.4</v>
      </c>
      <c r="F209" t="b">
        <f t="shared" si="16"/>
        <v>0</v>
      </c>
      <c r="G209">
        <f t="shared" si="17"/>
        <v>7.4</v>
      </c>
      <c r="H209" t="b">
        <f t="shared" si="18"/>
        <v>1</v>
      </c>
      <c r="I209" t="b">
        <f t="shared" si="21"/>
        <v>0</v>
      </c>
      <c r="J209" t="b">
        <f t="shared" si="19"/>
        <v>1</v>
      </c>
      <c r="K209" t="b">
        <f t="shared" si="20"/>
        <v>0</v>
      </c>
    </row>
    <row r="210" spans="2:11" x14ac:dyDescent="0.3">
      <c r="B210" s="2">
        <v>68000</v>
      </c>
      <c r="C210" s="2">
        <v>0</v>
      </c>
      <c r="D210" t="e">
        <f t="shared" si="15"/>
        <v>#DIV/0!</v>
      </c>
      <c r="F210" t="b">
        <f t="shared" si="16"/>
        <v>1</v>
      </c>
      <c r="G210" t="str">
        <f t="shared" si="17"/>
        <v>error</v>
      </c>
      <c r="H210" t="e">
        <f t="shared" si="18"/>
        <v>#DIV/0!</v>
      </c>
      <c r="I210" t="e">
        <f t="shared" si="21"/>
        <v>#DIV/0!</v>
      </c>
      <c r="J210" t="b">
        <f t="shared" si="19"/>
        <v>0</v>
      </c>
      <c r="K210" t="b">
        <f t="shared" si="20"/>
        <v>0</v>
      </c>
    </row>
    <row r="211" spans="2:11" x14ac:dyDescent="0.3">
      <c r="B211" s="2">
        <v>45000</v>
      </c>
      <c r="C211" s="2">
        <v>5000</v>
      </c>
      <c r="D211">
        <f t="shared" si="15"/>
        <v>9</v>
      </c>
      <c r="F211" t="b">
        <f t="shared" si="16"/>
        <v>0</v>
      </c>
      <c r="G211">
        <f t="shared" si="17"/>
        <v>9</v>
      </c>
      <c r="H211" t="b">
        <f t="shared" si="18"/>
        <v>1</v>
      </c>
      <c r="I211" t="b">
        <f t="shared" si="21"/>
        <v>0</v>
      </c>
      <c r="J211" t="b">
        <f t="shared" si="19"/>
        <v>1</v>
      </c>
      <c r="K211" t="b">
        <f t="shared" si="20"/>
        <v>0</v>
      </c>
    </row>
    <row r="212" spans="2:11" x14ac:dyDescent="0.3">
      <c r="B212" s="2">
        <v>80000</v>
      </c>
      <c r="C212" s="2">
        <v>0</v>
      </c>
      <c r="D212" t="e">
        <f t="shared" si="15"/>
        <v>#DIV/0!</v>
      </c>
      <c r="F212" t="b">
        <f t="shared" si="16"/>
        <v>1</v>
      </c>
      <c r="G212" t="str">
        <f t="shared" si="17"/>
        <v>error</v>
      </c>
      <c r="H212" t="e">
        <f t="shared" si="18"/>
        <v>#DIV/0!</v>
      </c>
      <c r="I212" t="e">
        <f t="shared" si="21"/>
        <v>#DIV/0!</v>
      </c>
      <c r="J212" t="b">
        <f t="shared" si="19"/>
        <v>0</v>
      </c>
      <c r="K212" t="b">
        <f t="shared" si="20"/>
        <v>0</v>
      </c>
    </row>
    <row r="213" spans="2:11" x14ac:dyDescent="0.3">
      <c r="B213" s="2">
        <v>47000</v>
      </c>
      <c r="C213" s="2">
        <v>8000</v>
      </c>
      <c r="D213">
        <f t="shared" si="15"/>
        <v>5.875</v>
      </c>
      <c r="F213" t="b">
        <f t="shared" si="16"/>
        <v>0</v>
      </c>
      <c r="G213">
        <f t="shared" si="17"/>
        <v>5.875</v>
      </c>
      <c r="H213" t="b">
        <f t="shared" si="18"/>
        <v>1</v>
      </c>
      <c r="I213" t="b">
        <f t="shared" si="21"/>
        <v>0</v>
      </c>
      <c r="J213" t="b">
        <f t="shared" si="19"/>
        <v>1</v>
      </c>
      <c r="K213" t="b">
        <f t="shared" si="20"/>
        <v>0</v>
      </c>
    </row>
    <row r="214" spans="2:11" x14ac:dyDescent="0.3">
      <c r="B214" s="2">
        <v>53000</v>
      </c>
      <c r="C214" s="2">
        <v>0</v>
      </c>
      <c r="D214" t="e">
        <f t="shared" si="15"/>
        <v>#DIV/0!</v>
      </c>
      <c r="F214" t="b">
        <f t="shared" si="16"/>
        <v>1</v>
      </c>
      <c r="G214" t="str">
        <f t="shared" si="17"/>
        <v>error</v>
      </c>
      <c r="H214" t="e">
        <f t="shared" si="18"/>
        <v>#DIV/0!</v>
      </c>
      <c r="I214" t="e">
        <f t="shared" si="21"/>
        <v>#DIV/0!</v>
      </c>
      <c r="J214" t="b">
        <f t="shared" si="19"/>
        <v>0</v>
      </c>
      <c r="K214" t="b">
        <f t="shared" si="20"/>
        <v>0</v>
      </c>
    </row>
    <row r="215" spans="2:11" x14ac:dyDescent="0.3">
      <c r="B215" s="2">
        <v>71000</v>
      </c>
      <c r="C215" s="2">
        <v>13000</v>
      </c>
      <c r="D215">
        <f t="shared" si="15"/>
        <v>5.4615384615384617</v>
      </c>
      <c r="F215" t="b">
        <f t="shared" si="16"/>
        <v>0</v>
      </c>
      <c r="G215">
        <f t="shared" si="17"/>
        <v>5.4615384615384617</v>
      </c>
      <c r="H215" t="b">
        <f t="shared" si="18"/>
        <v>1</v>
      </c>
      <c r="I215" t="b">
        <f t="shared" si="21"/>
        <v>0</v>
      </c>
      <c r="J215" t="b">
        <f t="shared" si="19"/>
        <v>1</v>
      </c>
      <c r="K215" t="b">
        <f t="shared" si="20"/>
        <v>0</v>
      </c>
    </row>
    <row r="216" spans="2:11" x14ac:dyDescent="0.3">
      <c r="B216" s="2">
        <v>67000</v>
      </c>
      <c r="C216" s="2">
        <v>0</v>
      </c>
      <c r="D216" t="e">
        <f t="shared" si="15"/>
        <v>#DIV/0!</v>
      </c>
      <c r="F216" t="b">
        <f t="shared" si="16"/>
        <v>1</v>
      </c>
      <c r="G216" t="str">
        <f t="shared" si="17"/>
        <v>error</v>
      </c>
      <c r="H216" t="e">
        <f t="shared" si="18"/>
        <v>#DIV/0!</v>
      </c>
      <c r="I216" t="e">
        <f t="shared" si="21"/>
        <v>#DIV/0!</v>
      </c>
      <c r="J216" t="b">
        <f t="shared" si="19"/>
        <v>0</v>
      </c>
      <c r="K216" t="b">
        <f t="shared" si="20"/>
        <v>0</v>
      </c>
    </row>
    <row r="217" spans="2:11" x14ac:dyDescent="0.3">
      <c r="B217" s="2">
        <v>55000</v>
      </c>
      <c r="C217" s="2">
        <v>7000</v>
      </c>
      <c r="D217">
        <f t="shared" si="15"/>
        <v>7.8571428571428568</v>
      </c>
      <c r="F217" t="b">
        <f t="shared" si="16"/>
        <v>0</v>
      </c>
      <c r="G217">
        <f t="shared" si="17"/>
        <v>7.8571428571428568</v>
      </c>
      <c r="H217" t="b">
        <f t="shared" si="18"/>
        <v>1</v>
      </c>
      <c r="I217" t="b">
        <f t="shared" si="21"/>
        <v>0</v>
      </c>
      <c r="J217" t="b">
        <f t="shared" si="19"/>
        <v>1</v>
      </c>
      <c r="K217" t="b">
        <f t="shared" si="20"/>
        <v>0</v>
      </c>
    </row>
    <row r="218" spans="2:11" x14ac:dyDescent="0.3">
      <c r="B218" s="2">
        <v>48000</v>
      </c>
      <c r="C218" s="2">
        <v>0</v>
      </c>
      <c r="D218" t="e">
        <f t="shared" si="15"/>
        <v>#DIV/0!</v>
      </c>
      <c r="F218" t="b">
        <f t="shared" si="16"/>
        <v>1</v>
      </c>
      <c r="G218" t="str">
        <f t="shared" si="17"/>
        <v>error</v>
      </c>
      <c r="H218" t="e">
        <f t="shared" si="18"/>
        <v>#DIV/0!</v>
      </c>
      <c r="I218" t="e">
        <f t="shared" si="21"/>
        <v>#DIV/0!</v>
      </c>
      <c r="J218" t="b">
        <f t="shared" si="19"/>
        <v>0</v>
      </c>
      <c r="K218" t="b">
        <f t="shared" si="20"/>
        <v>0</v>
      </c>
    </row>
    <row r="219" spans="2:11" x14ac:dyDescent="0.3">
      <c r="B219" s="2">
        <v>62000</v>
      </c>
      <c r="C219" s="2">
        <v>12000</v>
      </c>
      <c r="D219">
        <f t="shared" si="15"/>
        <v>5.166666666666667</v>
      </c>
      <c r="F219" t="b">
        <f t="shared" si="16"/>
        <v>0</v>
      </c>
      <c r="G219">
        <f t="shared" si="17"/>
        <v>5.166666666666667</v>
      </c>
      <c r="H219" t="b">
        <f t="shared" si="18"/>
        <v>1</v>
      </c>
      <c r="I219" t="b">
        <f t="shared" si="21"/>
        <v>0</v>
      </c>
      <c r="J219" t="b">
        <f t="shared" si="19"/>
        <v>1</v>
      </c>
      <c r="K219" t="b">
        <f t="shared" si="20"/>
        <v>0</v>
      </c>
    </row>
    <row r="220" spans="2:11" x14ac:dyDescent="0.3">
      <c r="B220" s="2">
        <v>69000</v>
      </c>
      <c r="C220" s="2">
        <v>0</v>
      </c>
      <c r="D220" t="e">
        <f t="shared" si="15"/>
        <v>#DIV/0!</v>
      </c>
      <c r="F220" t="b">
        <f t="shared" si="16"/>
        <v>1</v>
      </c>
      <c r="G220" t="str">
        <f t="shared" si="17"/>
        <v>error</v>
      </c>
      <c r="H220" t="e">
        <f t="shared" si="18"/>
        <v>#DIV/0!</v>
      </c>
      <c r="I220" t="e">
        <f t="shared" si="21"/>
        <v>#DIV/0!</v>
      </c>
      <c r="J220" t="b">
        <f t="shared" si="19"/>
        <v>0</v>
      </c>
      <c r="K220" t="b">
        <f t="shared" si="20"/>
        <v>0</v>
      </c>
    </row>
    <row r="221" spans="2:11" x14ac:dyDescent="0.3">
      <c r="B221" s="2">
        <v>74000</v>
      </c>
      <c r="C221" s="2">
        <v>15000</v>
      </c>
      <c r="D221">
        <f t="shared" ref="D221:D284" si="22">B221/C221</f>
        <v>4.9333333333333336</v>
      </c>
      <c r="F221" t="b">
        <f t="shared" ref="F221:F284" si="23">ISERROR(D221)</f>
        <v>0</v>
      </c>
      <c r="G221">
        <f t="shared" ref="G221:G284" si="24">IFERROR(D221,"error")</f>
        <v>4.9333333333333336</v>
      </c>
      <c r="H221" t="b">
        <f t="shared" ref="H221:H284" si="25">ISODD(D221)</f>
        <v>0</v>
      </c>
      <c r="I221" t="b">
        <f t="shared" si="21"/>
        <v>1</v>
      </c>
      <c r="J221" t="b">
        <f t="shared" ref="J221:J284" si="26">ISNUMBER(D221)</f>
        <v>1</v>
      </c>
      <c r="K221" t="b">
        <f t="shared" ref="K221:K284" si="27">ISTEXT(D221)</f>
        <v>0</v>
      </c>
    </row>
    <row r="222" spans="2:11" x14ac:dyDescent="0.3">
      <c r="B222" s="2">
        <v>50000</v>
      </c>
      <c r="C222" s="2">
        <v>0</v>
      </c>
      <c r="D222" t="e">
        <f t="shared" si="22"/>
        <v>#DIV/0!</v>
      </c>
      <c r="F222" t="b">
        <f t="shared" si="23"/>
        <v>1</v>
      </c>
      <c r="G222" t="str">
        <f t="shared" si="24"/>
        <v>error</v>
      </c>
      <c r="H222" t="e">
        <f t="shared" si="25"/>
        <v>#DIV/0!</v>
      </c>
      <c r="I222" t="e">
        <f t="shared" si="21"/>
        <v>#DIV/0!</v>
      </c>
      <c r="J222" t="b">
        <f t="shared" si="26"/>
        <v>0</v>
      </c>
      <c r="K222" t="b">
        <f t="shared" si="27"/>
        <v>0</v>
      </c>
    </row>
    <row r="223" spans="2:11" x14ac:dyDescent="0.3">
      <c r="B223" s="2">
        <v>55000</v>
      </c>
      <c r="C223" s="2">
        <v>10000</v>
      </c>
      <c r="D223">
        <f t="shared" si="22"/>
        <v>5.5</v>
      </c>
      <c r="F223" t="b">
        <f t="shared" si="23"/>
        <v>0</v>
      </c>
      <c r="G223">
        <f t="shared" si="24"/>
        <v>5.5</v>
      </c>
      <c r="H223" t="b">
        <f t="shared" si="25"/>
        <v>1</v>
      </c>
      <c r="I223" t="b">
        <f t="shared" si="21"/>
        <v>0</v>
      </c>
      <c r="J223" t="b">
        <f t="shared" si="26"/>
        <v>1</v>
      </c>
      <c r="K223" t="b">
        <f t="shared" si="27"/>
        <v>0</v>
      </c>
    </row>
    <row r="224" spans="2:11" x14ac:dyDescent="0.3">
      <c r="B224" s="2">
        <v>62000</v>
      </c>
      <c r="C224" s="2">
        <v>0</v>
      </c>
      <c r="D224" t="e">
        <f t="shared" si="22"/>
        <v>#DIV/0!</v>
      </c>
      <c r="F224" t="b">
        <f t="shared" si="23"/>
        <v>1</v>
      </c>
      <c r="G224" t="str">
        <f t="shared" si="24"/>
        <v>error</v>
      </c>
      <c r="H224" t="e">
        <f t="shared" si="25"/>
        <v>#DIV/0!</v>
      </c>
      <c r="I224" t="e">
        <f t="shared" ref="I224:I287" si="28">ISEVEN(D224)</f>
        <v>#DIV/0!</v>
      </c>
      <c r="J224" t="b">
        <f t="shared" si="26"/>
        <v>0</v>
      </c>
      <c r="K224" t="b">
        <f t="shared" si="27"/>
        <v>0</v>
      </c>
    </row>
    <row r="225" spans="2:11" x14ac:dyDescent="0.3">
      <c r="B225" s="2">
        <v>48000</v>
      </c>
      <c r="C225" s="2">
        <v>5000</v>
      </c>
      <c r="D225">
        <f t="shared" si="22"/>
        <v>9.6</v>
      </c>
      <c r="F225" t="b">
        <f t="shared" si="23"/>
        <v>0</v>
      </c>
      <c r="G225">
        <f t="shared" si="24"/>
        <v>9.6</v>
      </c>
      <c r="H225" t="b">
        <f t="shared" si="25"/>
        <v>1</v>
      </c>
      <c r="I225" t="b">
        <f t="shared" si="28"/>
        <v>0</v>
      </c>
      <c r="J225" t="b">
        <f t="shared" si="26"/>
        <v>1</v>
      </c>
      <c r="K225" t="b">
        <f t="shared" si="27"/>
        <v>0</v>
      </c>
    </row>
    <row r="226" spans="2:11" x14ac:dyDescent="0.3">
      <c r="B226" s="2">
        <v>59000</v>
      </c>
      <c r="C226" s="2">
        <v>0</v>
      </c>
      <c r="D226" t="e">
        <f t="shared" si="22"/>
        <v>#DIV/0!</v>
      </c>
      <c r="F226" t="b">
        <f t="shared" si="23"/>
        <v>1</v>
      </c>
      <c r="G226" t="str">
        <f t="shared" si="24"/>
        <v>error</v>
      </c>
      <c r="H226" t="e">
        <f t="shared" si="25"/>
        <v>#DIV/0!</v>
      </c>
      <c r="I226" t="e">
        <f t="shared" si="28"/>
        <v>#DIV/0!</v>
      </c>
      <c r="J226" t="b">
        <f t="shared" si="26"/>
        <v>0</v>
      </c>
      <c r="K226" t="b">
        <f t="shared" si="27"/>
        <v>0</v>
      </c>
    </row>
    <row r="227" spans="2:11" x14ac:dyDescent="0.3">
      <c r="B227" s="2">
        <v>73000</v>
      </c>
      <c r="C227" s="2">
        <v>13000</v>
      </c>
      <c r="D227">
        <f t="shared" si="22"/>
        <v>5.615384615384615</v>
      </c>
      <c r="F227" t="b">
        <f t="shared" si="23"/>
        <v>0</v>
      </c>
      <c r="G227">
        <f t="shared" si="24"/>
        <v>5.615384615384615</v>
      </c>
      <c r="H227" t="b">
        <f t="shared" si="25"/>
        <v>1</v>
      </c>
      <c r="I227" t="b">
        <f t="shared" si="28"/>
        <v>0</v>
      </c>
      <c r="J227" t="b">
        <f t="shared" si="26"/>
        <v>1</v>
      </c>
      <c r="K227" t="b">
        <f t="shared" si="27"/>
        <v>0</v>
      </c>
    </row>
    <row r="228" spans="2:11" x14ac:dyDescent="0.3">
      <c r="B228" s="2">
        <v>65000</v>
      </c>
      <c r="C228" s="2">
        <v>0</v>
      </c>
      <c r="D228" t="e">
        <f t="shared" si="22"/>
        <v>#DIV/0!</v>
      </c>
      <c r="F228" t="b">
        <f t="shared" si="23"/>
        <v>1</v>
      </c>
      <c r="G228" t="str">
        <f t="shared" si="24"/>
        <v>error</v>
      </c>
      <c r="H228" t="e">
        <f t="shared" si="25"/>
        <v>#DIV/0!</v>
      </c>
      <c r="I228" t="e">
        <f t="shared" si="28"/>
        <v>#DIV/0!</v>
      </c>
      <c r="J228" t="b">
        <f t="shared" si="26"/>
        <v>0</v>
      </c>
      <c r="K228" t="b">
        <f t="shared" si="27"/>
        <v>0</v>
      </c>
    </row>
    <row r="229" spans="2:11" x14ac:dyDescent="0.3">
      <c r="B229" s="2">
        <v>60000</v>
      </c>
      <c r="C229" s="2">
        <v>8000</v>
      </c>
      <c r="D229">
        <f t="shared" si="22"/>
        <v>7.5</v>
      </c>
      <c r="F229" t="b">
        <f t="shared" si="23"/>
        <v>0</v>
      </c>
      <c r="G229">
        <f t="shared" si="24"/>
        <v>7.5</v>
      </c>
      <c r="H229" t="b">
        <f t="shared" si="25"/>
        <v>1</v>
      </c>
      <c r="I229" t="b">
        <f t="shared" si="28"/>
        <v>0</v>
      </c>
      <c r="J229" t="b">
        <f t="shared" si="26"/>
        <v>1</v>
      </c>
      <c r="K229" t="b">
        <f t="shared" si="27"/>
        <v>0</v>
      </c>
    </row>
    <row r="230" spans="2:11" x14ac:dyDescent="0.3">
      <c r="B230" s="2">
        <v>53000</v>
      </c>
      <c r="C230" s="2">
        <v>0</v>
      </c>
      <c r="D230" t="e">
        <f t="shared" si="22"/>
        <v>#DIV/0!</v>
      </c>
      <c r="F230" t="b">
        <f t="shared" si="23"/>
        <v>1</v>
      </c>
      <c r="G230" t="str">
        <f t="shared" si="24"/>
        <v>error</v>
      </c>
      <c r="H230" t="e">
        <f t="shared" si="25"/>
        <v>#DIV/0!</v>
      </c>
      <c r="I230" t="e">
        <f t="shared" si="28"/>
        <v>#DIV/0!</v>
      </c>
      <c r="J230" t="b">
        <f t="shared" si="26"/>
        <v>0</v>
      </c>
      <c r="K230" t="b">
        <f t="shared" si="27"/>
        <v>0</v>
      </c>
    </row>
    <row r="231" spans="2:11" x14ac:dyDescent="0.3">
      <c r="B231" s="2">
        <v>68000</v>
      </c>
      <c r="C231" s="2">
        <v>15000</v>
      </c>
      <c r="D231">
        <f t="shared" si="22"/>
        <v>4.5333333333333332</v>
      </c>
      <c r="F231" t="b">
        <f t="shared" si="23"/>
        <v>0</v>
      </c>
      <c r="G231">
        <f t="shared" si="24"/>
        <v>4.5333333333333332</v>
      </c>
      <c r="H231" t="b">
        <f t="shared" si="25"/>
        <v>0</v>
      </c>
      <c r="I231" t="b">
        <f t="shared" si="28"/>
        <v>1</v>
      </c>
      <c r="J231" t="b">
        <f t="shared" si="26"/>
        <v>1</v>
      </c>
      <c r="K231" t="b">
        <f t="shared" si="27"/>
        <v>0</v>
      </c>
    </row>
    <row r="232" spans="2:11" x14ac:dyDescent="0.3">
      <c r="B232" s="2">
        <v>71000</v>
      </c>
      <c r="C232" s="2">
        <v>0</v>
      </c>
      <c r="D232" t="e">
        <f t="shared" si="22"/>
        <v>#DIV/0!</v>
      </c>
      <c r="F232" t="b">
        <f t="shared" si="23"/>
        <v>1</v>
      </c>
      <c r="G232" t="str">
        <f t="shared" si="24"/>
        <v>error</v>
      </c>
      <c r="H232" t="e">
        <f t="shared" si="25"/>
        <v>#DIV/0!</v>
      </c>
      <c r="I232" t="e">
        <f t="shared" si="28"/>
        <v>#DIV/0!</v>
      </c>
      <c r="J232" t="b">
        <f t="shared" si="26"/>
        <v>0</v>
      </c>
      <c r="K232" t="b">
        <f t="shared" si="27"/>
        <v>0</v>
      </c>
    </row>
    <row r="233" spans="2:11" x14ac:dyDescent="0.3">
      <c r="B233" s="2">
        <v>56000</v>
      </c>
      <c r="C233" s="2">
        <v>10000</v>
      </c>
      <c r="D233">
        <f t="shared" si="22"/>
        <v>5.6</v>
      </c>
      <c r="F233" t="b">
        <f t="shared" si="23"/>
        <v>0</v>
      </c>
      <c r="G233">
        <f t="shared" si="24"/>
        <v>5.6</v>
      </c>
      <c r="H233" t="b">
        <f t="shared" si="25"/>
        <v>1</v>
      </c>
      <c r="I233" t="b">
        <f t="shared" si="28"/>
        <v>0</v>
      </c>
      <c r="J233" t="b">
        <f t="shared" si="26"/>
        <v>1</v>
      </c>
      <c r="K233" t="b">
        <f t="shared" si="27"/>
        <v>0</v>
      </c>
    </row>
    <row r="234" spans="2:11" x14ac:dyDescent="0.3">
      <c r="B234" s="2">
        <v>45000</v>
      </c>
      <c r="C234" s="2">
        <v>0</v>
      </c>
      <c r="D234" t="e">
        <f t="shared" si="22"/>
        <v>#DIV/0!</v>
      </c>
      <c r="F234" t="b">
        <f t="shared" si="23"/>
        <v>1</v>
      </c>
      <c r="G234" t="str">
        <f t="shared" si="24"/>
        <v>error</v>
      </c>
      <c r="H234" t="e">
        <f t="shared" si="25"/>
        <v>#DIV/0!</v>
      </c>
      <c r="I234" t="e">
        <f t="shared" si="28"/>
        <v>#DIV/0!</v>
      </c>
      <c r="J234" t="b">
        <f t="shared" si="26"/>
        <v>0</v>
      </c>
      <c r="K234" t="b">
        <f t="shared" si="27"/>
        <v>0</v>
      </c>
    </row>
    <row r="235" spans="2:11" x14ac:dyDescent="0.3">
      <c r="B235" s="2">
        <v>74000</v>
      </c>
      <c r="C235" s="2">
        <v>12000</v>
      </c>
      <c r="D235">
        <f t="shared" si="22"/>
        <v>6.166666666666667</v>
      </c>
      <c r="F235" t="b">
        <f t="shared" si="23"/>
        <v>0</v>
      </c>
      <c r="G235">
        <f t="shared" si="24"/>
        <v>6.166666666666667</v>
      </c>
      <c r="H235" t="b">
        <f t="shared" si="25"/>
        <v>0</v>
      </c>
      <c r="I235" t="b">
        <f t="shared" si="28"/>
        <v>1</v>
      </c>
      <c r="J235" t="b">
        <f t="shared" si="26"/>
        <v>1</v>
      </c>
      <c r="K235" t="b">
        <f t="shared" si="27"/>
        <v>0</v>
      </c>
    </row>
    <row r="236" spans="2:11" x14ac:dyDescent="0.3">
      <c r="B236" s="2">
        <v>63000</v>
      </c>
      <c r="C236" s="2">
        <v>0</v>
      </c>
      <c r="D236" t="e">
        <f t="shared" si="22"/>
        <v>#DIV/0!</v>
      </c>
      <c r="F236" t="b">
        <f t="shared" si="23"/>
        <v>1</v>
      </c>
      <c r="G236" t="str">
        <f t="shared" si="24"/>
        <v>error</v>
      </c>
      <c r="H236" t="e">
        <f t="shared" si="25"/>
        <v>#DIV/0!</v>
      </c>
      <c r="I236" t="e">
        <f t="shared" si="28"/>
        <v>#DIV/0!</v>
      </c>
      <c r="J236" t="b">
        <f t="shared" si="26"/>
        <v>0</v>
      </c>
      <c r="K236" t="b">
        <f t="shared" si="27"/>
        <v>0</v>
      </c>
    </row>
    <row r="237" spans="2:11" x14ac:dyDescent="0.3">
      <c r="B237" s="2">
        <v>47000</v>
      </c>
      <c r="C237" s="2">
        <v>5000</v>
      </c>
      <c r="D237">
        <f t="shared" si="22"/>
        <v>9.4</v>
      </c>
      <c r="F237" t="b">
        <f t="shared" si="23"/>
        <v>0</v>
      </c>
      <c r="G237">
        <f t="shared" si="24"/>
        <v>9.4</v>
      </c>
      <c r="H237" t="b">
        <f t="shared" si="25"/>
        <v>1</v>
      </c>
      <c r="I237" t="b">
        <f t="shared" si="28"/>
        <v>0</v>
      </c>
      <c r="J237" t="b">
        <f t="shared" si="26"/>
        <v>1</v>
      </c>
      <c r="K237" t="b">
        <f t="shared" si="27"/>
        <v>0</v>
      </c>
    </row>
    <row r="238" spans="2:11" x14ac:dyDescent="0.3">
      <c r="B238" s="2">
        <v>55000</v>
      </c>
      <c r="C238" s="2">
        <v>0</v>
      </c>
      <c r="D238" t="e">
        <f t="shared" si="22"/>
        <v>#DIV/0!</v>
      </c>
      <c r="F238" t="b">
        <f t="shared" si="23"/>
        <v>1</v>
      </c>
      <c r="G238" t="str">
        <f t="shared" si="24"/>
        <v>error</v>
      </c>
      <c r="H238" t="e">
        <f t="shared" si="25"/>
        <v>#DIV/0!</v>
      </c>
      <c r="I238" t="e">
        <f t="shared" si="28"/>
        <v>#DIV/0!</v>
      </c>
      <c r="J238" t="b">
        <f t="shared" si="26"/>
        <v>0</v>
      </c>
      <c r="K238" t="b">
        <f t="shared" si="27"/>
        <v>0</v>
      </c>
    </row>
    <row r="239" spans="2:11" x14ac:dyDescent="0.3">
      <c r="B239" s="2">
        <v>62000</v>
      </c>
      <c r="C239" s="2">
        <v>10000</v>
      </c>
      <c r="D239">
        <f t="shared" si="22"/>
        <v>6.2</v>
      </c>
      <c r="F239" t="b">
        <f t="shared" si="23"/>
        <v>0</v>
      </c>
      <c r="G239">
        <f t="shared" si="24"/>
        <v>6.2</v>
      </c>
      <c r="H239" t="b">
        <f t="shared" si="25"/>
        <v>0</v>
      </c>
      <c r="I239" t="b">
        <f t="shared" si="28"/>
        <v>1</v>
      </c>
      <c r="J239" t="b">
        <f t="shared" si="26"/>
        <v>1</v>
      </c>
      <c r="K239" t="b">
        <f t="shared" si="27"/>
        <v>0</v>
      </c>
    </row>
    <row r="240" spans="2:11" x14ac:dyDescent="0.3">
      <c r="B240" s="2">
        <v>67000</v>
      </c>
      <c r="C240" s="2">
        <v>0</v>
      </c>
      <c r="D240" t="e">
        <f t="shared" si="22"/>
        <v>#DIV/0!</v>
      </c>
      <c r="F240" t="b">
        <f t="shared" si="23"/>
        <v>1</v>
      </c>
      <c r="G240" t="str">
        <f t="shared" si="24"/>
        <v>error</v>
      </c>
      <c r="H240" t="e">
        <f t="shared" si="25"/>
        <v>#DIV/0!</v>
      </c>
      <c r="I240" t="e">
        <f t="shared" si="28"/>
        <v>#DIV/0!</v>
      </c>
      <c r="J240" t="b">
        <f t="shared" si="26"/>
        <v>0</v>
      </c>
      <c r="K240" t="b">
        <f t="shared" si="27"/>
        <v>0</v>
      </c>
    </row>
    <row r="241" spans="2:11" x14ac:dyDescent="0.3">
      <c r="B241" s="2">
        <v>49000</v>
      </c>
      <c r="C241" s="2">
        <v>7000</v>
      </c>
      <c r="D241">
        <f t="shared" si="22"/>
        <v>7</v>
      </c>
      <c r="F241" t="b">
        <f t="shared" si="23"/>
        <v>0</v>
      </c>
      <c r="G241">
        <f t="shared" si="24"/>
        <v>7</v>
      </c>
      <c r="H241" t="b">
        <f t="shared" si="25"/>
        <v>1</v>
      </c>
      <c r="I241" t="b">
        <f t="shared" si="28"/>
        <v>0</v>
      </c>
      <c r="J241" t="b">
        <f t="shared" si="26"/>
        <v>1</v>
      </c>
      <c r="K241" t="b">
        <f t="shared" si="27"/>
        <v>0</v>
      </c>
    </row>
    <row r="242" spans="2:11" x14ac:dyDescent="0.3">
      <c r="B242" s="2">
        <v>71000</v>
      </c>
      <c r="C242" s="2">
        <v>0</v>
      </c>
      <c r="D242" t="e">
        <f t="shared" si="22"/>
        <v>#DIV/0!</v>
      </c>
      <c r="F242" t="b">
        <f t="shared" si="23"/>
        <v>1</v>
      </c>
      <c r="G242" t="str">
        <f t="shared" si="24"/>
        <v>error</v>
      </c>
      <c r="H242" t="e">
        <f t="shared" si="25"/>
        <v>#DIV/0!</v>
      </c>
      <c r="I242" t="e">
        <f t="shared" si="28"/>
        <v>#DIV/0!</v>
      </c>
      <c r="J242" t="b">
        <f t="shared" si="26"/>
        <v>0</v>
      </c>
      <c r="K242" t="b">
        <f t="shared" si="27"/>
        <v>0</v>
      </c>
    </row>
    <row r="243" spans="2:11" x14ac:dyDescent="0.3">
      <c r="B243" s="2">
        <v>73000</v>
      </c>
      <c r="C243" s="2">
        <v>13000</v>
      </c>
      <c r="D243">
        <f t="shared" si="22"/>
        <v>5.615384615384615</v>
      </c>
      <c r="F243" t="b">
        <f t="shared" si="23"/>
        <v>0</v>
      </c>
      <c r="G243">
        <f t="shared" si="24"/>
        <v>5.615384615384615</v>
      </c>
      <c r="H243" t="b">
        <f t="shared" si="25"/>
        <v>1</v>
      </c>
      <c r="I243" t="b">
        <f t="shared" si="28"/>
        <v>0</v>
      </c>
      <c r="J243" t="b">
        <f t="shared" si="26"/>
        <v>1</v>
      </c>
      <c r="K243" t="b">
        <f t="shared" si="27"/>
        <v>0</v>
      </c>
    </row>
    <row r="244" spans="2:11" x14ac:dyDescent="0.3">
      <c r="B244" s="2">
        <v>47000</v>
      </c>
      <c r="C244" s="2">
        <v>0</v>
      </c>
      <c r="D244" t="e">
        <f t="shared" si="22"/>
        <v>#DIV/0!</v>
      </c>
      <c r="F244" t="b">
        <f t="shared" si="23"/>
        <v>1</v>
      </c>
      <c r="G244" t="str">
        <f t="shared" si="24"/>
        <v>error</v>
      </c>
      <c r="H244" t="e">
        <f t="shared" si="25"/>
        <v>#DIV/0!</v>
      </c>
      <c r="I244" t="e">
        <f t="shared" si="28"/>
        <v>#DIV/0!</v>
      </c>
      <c r="J244" t="b">
        <f t="shared" si="26"/>
        <v>0</v>
      </c>
      <c r="K244" t="b">
        <f t="shared" si="27"/>
        <v>0</v>
      </c>
    </row>
    <row r="245" spans="2:11" x14ac:dyDescent="0.3">
      <c r="B245" s="2">
        <v>53000</v>
      </c>
      <c r="C245" s="2">
        <v>8000</v>
      </c>
      <c r="D245">
        <f t="shared" si="22"/>
        <v>6.625</v>
      </c>
      <c r="F245" t="b">
        <f t="shared" si="23"/>
        <v>0</v>
      </c>
      <c r="G245">
        <f t="shared" si="24"/>
        <v>6.625</v>
      </c>
      <c r="H245" t="b">
        <f t="shared" si="25"/>
        <v>0</v>
      </c>
      <c r="I245" t="b">
        <f t="shared" si="28"/>
        <v>1</v>
      </c>
      <c r="J245" t="b">
        <f t="shared" si="26"/>
        <v>1</v>
      </c>
      <c r="K245" t="b">
        <f t="shared" si="27"/>
        <v>0</v>
      </c>
    </row>
    <row r="246" spans="2:11" x14ac:dyDescent="0.3">
      <c r="B246" s="2">
        <v>69000</v>
      </c>
      <c r="C246" s="2">
        <v>0</v>
      </c>
      <c r="D246" t="e">
        <f t="shared" si="22"/>
        <v>#DIV/0!</v>
      </c>
      <c r="F246" t="b">
        <f t="shared" si="23"/>
        <v>1</v>
      </c>
      <c r="G246" t="str">
        <f t="shared" si="24"/>
        <v>error</v>
      </c>
      <c r="H246" t="e">
        <f t="shared" si="25"/>
        <v>#DIV/0!</v>
      </c>
      <c r="I246" t="e">
        <f t="shared" si="28"/>
        <v>#DIV/0!</v>
      </c>
      <c r="J246" t="b">
        <f t="shared" si="26"/>
        <v>0</v>
      </c>
      <c r="K246" t="b">
        <f t="shared" si="27"/>
        <v>0</v>
      </c>
    </row>
    <row r="247" spans="2:11" x14ac:dyDescent="0.3">
      <c r="B247" s="2">
        <v>45000</v>
      </c>
      <c r="C247" s="2">
        <v>5000</v>
      </c>
      <c r="D247">
        <f t="shared" si="22"/>
        <v>9</v>
      </c>
      <c r="F247" t="b">
        <f t="shared" si="23"/>
        <v>0</v>
      </c>
      <c r="G247">
        <f t="shared" si="24"/>
        <v>9</v>
      </c>
      <c r="H247" t="b">
        <f t="shared" si="25"/>
        <v>1</v>
      </c>
      <c r="I247" t="b">
        <f t="shared" si="28"/>
        <v>0</v>
      </c>
      <c r="J247" t="b">
        <f t="shared" si="26"/>
        <v>1</v>
      </c>
      <c r="K247" t="b">
        <f t="shared" si="27"/>
        <v>0</v>
      </c>
    </row>
    <row r="248" spans="2:11" x14ac:dyDescent="0.3">
      <c r="B248" s="2">
        <v>74000</v>
      </c>
      <c r="C248" s="2">
        <v>0</v>
      </c>
      <c r="D248" t="e">
        <f t="shared" si="22"/>
        <v>#DIV/0!</v>
      </c>
      <c r="F248" t="b">
        <f t="shared" si="23"/>
        <v>1</v>
      </c>
      <c r="G248" t="str">
        <f t="shared" si="24"/>
        <v>error</v>
      </c>
      <c r="H248" t="e">
        <f t="shared" si="25"/>
        <v>#DIV/0!</v>
      </c>
      <c r="I248" t="e">
        <f t="shared" si="28"/>
        <v>#DIV/0!</v>
      </c>
      <c r="J248" t="b">
        <f t="shared" si="26"/>
        <v>0</v>
      </c>
      <c r="K248" t="b">
        <f t="shared" si="27"/>
        <v>0</v>
      </c>
    </row>
    <row r="249" spans="2:11" x14ac:dyDescent="0.3">
      <c r="B249" s="2">
        <v>60000</v>
      </c>
      <c r="C249" s="2">
        <v>8000</v>
      </c>
      <c r="D249">
        <f t="shared" si="22"/>
        <v>7.5</v>
      </c>
      <c r="F249" t="b">
        <f t="shared" si="23"/>
        <v>0</v>
      </c>
      <c r="G249">
        <f t="shared" si="24"/>
        <v>7.5</v>
      </c>
      <c r="H249" t="b">
        <f t="shared" si="25"/>
        <v>1</v>
      </c>
      <c r="I249" t="b">
        <f t="shared" si="28"/>
        <v>0</v>
      </c>
      <c r="J249" t="b">
        <f t="shared" si="26"/>
        <v>1</v>
      </c>
      <c r="K249" t="b">
        <f t="shared" si="27"/>
        <v>0</v>
      </c>
    </row>
    <row r="250" spans="2:11" x14ac:dyDescent="0.3">
      <c r="B250" s="2">
        <v>55000</v>
      </c>
      <c r="C250" s="2">
        <v>0</v>
      </c>
      <c r="D250" t="e">
        <f t="shared" si="22"/>
        <v>#DIV/0!</v>
      </c>
      <c r="F250" t="b">
        <f t="shared" si="23"/>
        <v>1</v>
      </c>
      <c r="G250" t="str">
        <f t="shared" si="24"/>
        <v>error</v>
      </c>
      <c r="H250" t="e">
        <f t="shared" si="25"/>
        <v>#DIV/0!</v>
      </c>
      <c r="I250" t="e">
        <f t="shared" si="28"/>
        <v>#DIV/0!</v>
      </c>
      <c r="J250" t="b">
        <f t="shared" si="26"/>
        <v>0</v>
      </c>
      <c r="K250" t="b">
        <f t="shared" si="27"/>
        <v>0</v>
      </c>
    </row>
    <row r="251" spans="2:11" x14ac:dyDescent="0.3">
      <c r="B251" s="2">
        <v>67000</v>
      </c>
      <c r="C251" s="2">
        <v>12000</v>
      </c>
      <c r="D251">
        <f t="shared" si="22"/>
        <v>5.583333333333333</v>
      </c>
      <c r="F251" t="b">
        <f t="shared" si="23"/>
        <v>0</v>
      </c>
      <c r="G251">
        <f t="shared" si="24"/>
        <v>5.583333333333333</v>
      </c>
      <c r="H251" t="b">
        <f t="shared" si="25"/>
        <v>1</v>
      </c>
      <c r="I251" t="b">
        <f t="shared" si="28"/>
        <v>0</v>
      </c>
      <c r="J251" t="b">
        <f t="shared" si="26"/>
        <v>1</v>
      </c>
      <c r="K251" t="b">
        <f t="shared" si="27"/>
        <v>0</v>
      </c>
    </row>
    <row r="252" spans="2:11" x14ac:dyDescent="0.3">
      <c r="B252" s="2">
        <v>48000</v>
      </c>
      <c r="C252" s="2">
        <v>0</v>
      </c>
      <c r="D252" t="e">
        <f t="shared" si="22"/>
        <v>#DIV/0!</v>
      </c>
      <c r="F252" t="b">
        <f t="shared" si="23"/>
        <v>1</v>
      </c>
      <c r="G252" t="str">
        <f t="shared" si="24"/>
        <v>error</v>
      </c>
      <c r="H252" t="e">
        <f t="shared" si="25"/>
        <v>#DIV/0!</v>
      </c>
      <c r="I252" t="e">
        <f t="shared" si="28"/>
        <v>#DIV/0!</v>
      </c>
      <c r="J252" t="b">
        <f t="shared" si="26"/>
        <v>0</v>
      </c>
      <c r="K252" t="b">
        <f t="shared" si="27"/>
        <v>0</v>
      </c>
    </row>
    <row r="253" spans="2:11" x14ac:dyDescent="0.3">
      <c r="B253" s="2">
        <v>70000</v>
      </c>
      <c r="C253" s="2">
        <v>15000</v>
      </c>
      <c r="D253">
        <f t="shared" si="22"/>
        <v>4.666666666666667</v>
      </c>
      <c r="F253" t="b">
        <f t="shared" si="23"/>
        <v>0</v>
      </c>
      <c r="G253">
        <f t="shared" si="24"/>
        <v>4.666666666666667</v>
      </c>
      <c r="H253" t="b">
        <f t="shared" si="25"/>
        <v>0</v>
      </c>
      <c r="I253" t="b">
        <f t="shared" si="28"/>
        <v>1</v>
      </c>
      <c r="J253" t="b">
        <f t="shared" si="26"/>
        <v>1</v>
      </c>
      <c r="K253" t="b">
        <f t="shared" si="27"/>
        <v>0</v>
      </c>
    </row>
    <row r="254" spans="2:11" x14ac:dyDescent="0.3">
      <c r="B254" s="2">
        <v>62000</v>
      </c>
      <c r="C254" s="2">
        <v>0</v>
      </c>
      <c r="D254" t="e">
        <f t="shared" si="22"/>
        <v>#DIV/0!</v>
      </c>
      <c r="F254" t="b">
        <f t="shared" si="23"/>
        <v>1</v>
      </c>
      <c r="G254" t="str">
        <f t="shared" si="24"/>
        <v>error</v>
      </c>
      <c r="H254" t="e">
        <f t="shared" si="25"/>
        <v>#DIV/0!</v>
      </c>
      <c r="I254" t="e">
        <f t="shared" si="28"/>
        <v>#DIV/0!</v>
      </c>
      <c r="J254" t="b">
        <f t="shared" si="26"/>
        <v>0</v>
      </c>
      <c r="K254" t="b">
        <f t="shared" si="27"/>
        <v>0</v>
      </c>
    </row>
    <row r="255" spans="2:11" x14ac:dyDescent="0.3">
      <c r="B255" s="2">
        <v>73000</v>
      </c>
      <c r="C255" s="2">
        <v>10000</v>
      </c>
      <c r="D255">
        <f t="shared" si="22"/>
        <v>7.3</v>
      </c>
      <c r="F255" t="b">
        <f t="shared" si="23"/>
        <v>0</v>
      </c>
      <c r="G255">
        <f t="shared" si="24"/>
        <v>7.3</v>
      </c>
      <c r="H255" t="b">
        <f t="shared" si="25"/>
        <v>1</v>
      </c>
      <c r="I255" t="b">
        <f t="shared" si="28"/>
        <v>0</v>
      </c>
      <c r="J255" t="b">
        <f t="shared" si="26"/>
        <v>1</v>
      </c>
      <c r="K255" t="b">
        <f t="shared" si="27"/>
        <v>0</v>
      </c>
    </row>
    <row r="256" spans="2:11" x14ac:dyDescent="0.3">
      <c r="B256" s="2">
        <v>51000</v>
      </c>
      <c r="C256" s="2">
        <v>0</v>
      </c>
      <c r="D256" t="e">
        <f t="shared" si="22"/>
        <v>#DIV/0!</v>
      </c>
      <c r="F256" t="b">
        <f t="shared" si="23"/>
        <v>1</v>
      </c>
      <c r="G256" t="str">
        <f t="shared" si="24"/>
        <v>error</v>
      </c>
      <c r="H256" t="e">
        <f t="shared" si="25"/>
        <v>#DIV/0!</v>
      </c>
      <c r="I256" t="e">
        <f t="shared" si="28"/>
        <v>#DIV/0!</v>
      </c>
      <c r="J256" t="b">
        <f t="shared" si="26"/>
        <v>0</v>
      </c>
      <c r="K256" t="b">
        <f t="shared" si="27"/>
        <v>0</v>
      </c>
    </row>
    <row r="257" spans="2:11" x14ac:dyDescent="0.3">
      <c r="B257" s="2">
        <v>53000</v>
      </c>
      <c r="C257" s="2">
        <v>7000</v>
      </c>
      <c r="D257">
        <f t="shared" si="22"/>
        <v>7.5714285714285712</v>
      </c>
      <c r="F257" t="b">
        <f t="shared" si="23"/>
        <v>0</v>
      </c>
      <c r="G257">
        <f t="shared" si="24"/>
        <v>7.5714285714285712</v>
      </c>
      <c r="H257" t="b">
        <f t="shared" si="25"/>
        <v>1</v>
      </c>
      <c r="I257" t="b">
        <f t="shared" si="28"/>
        <v>0</v>
      </c>
      <c r="J257" t="b">
        <f t="shared" si="26"/>
        <v>1</v>
      </c>
      <c r="K257" t="b">
        <f t="shared" si="27"/>
        <v>0</v>
      </c>
    </row>
    <row r="258" spans="2:11" x14ac:dyDescent="0.3">
      <c r="B258" s="2">
        <v>67000</v>
      </c>
      <c r="C258" s="2">
        <v>0</v>
      </c>
      <c r="D258" t="e">
        <f t="shared" si="22"/>
        <v>#DIV/0!</v>
      </c>
      <c r="F258" t="b">
        <f t="shared" si="23"/>
        <v>1</v>
      </c>
      <c r="G258" t="str">
        <f t="shared" si="24"/>
        <v>error</v>
      </c>
      <c r="H258" t="e">
        <f t="shared" si="25"/>
        <v>#DIV/0!</v>
      </c>
      <c r="I258" t="e">
        <f t="shared" si="28"/>
        <v>#DIV/0!</v>
      </c>
      <c r="J258" t="b">
        <f t="shared" si="26"/>
        <v>0</v>
      </c>
      <c r="K258" t="b">
        <f t="shared" si="27"/>
        <v>0</v>
      </c>
    </row>
    <row r="259" spans="2:11" x14ac:dyDescent="0.3">
      <c r="B259" s="2">
        <v>46000</v>
      </c>
      <c r="C259" s="2">
        <v>6000</v>
      </c>
      <c r="D259">
        <f t="shared" si="22"/>
        <v>7.666666666666667</v>
      </c>
      <c r="F259" t="b">
        <f t="shared" si="23"/>
        <v>0</v>
      </c>
      <c r="G259">
        <f t="shared" si="24"/>
        <v>7.666666666666667</v>
      </c>
      <c r="H259" t="b">
        <f t="shared" si="25"/>
        <v>1</v>
      </c>
      <c r="I259" t="b">
        <f t="shared" si="28"/>
        <v>0</v>
      </c>
      <c r="J259" t="b">
        <f t="shared" si="26"/>
        <v>1</v>
      </c>
      <c r="K259" t="b">
        <f t="shared" si="27"/>
        <v>0</v>
      </c>
    </row>
    <row r="260" spans="2:11" x14ac:dyDescent="0.3">
      <c r="B260" s="2">
        <v>47000</v>
      </c>
      <c r="C260" s="2">
        <v>0</v>
      </c>
      <c r="D260" t="e">
        <f t="shared" si="22"/>
        <v>#DIV/0!</v>
      </c>
      <c r="F260" t="b">
        <f t="shared" si="23"/>
        <v>1</v>
      </c>
      <c r="G260" t="str">
        <f t="shared" si="24"/>
        <v>error</v>
      </c>
      <c r="H260" t="e">
        <f t="shared" si="25"/>
        <v>#DIV/0!</v>
      </c>
      <c r="I260" t="e">
        <f t="shared" si="28"/>
        <v>#DIV/0!</v>
      </c>
      <c r="J260" t="b">
        <f t="shared" si="26"/>
        <v>0</v>
      </c>
      <c r="K260" t="b">
        <f t="shared" si="27"/>
        <v>0</v>
      </c>
    </row>
    <row r="261" spans="2:11" x14ac:dyDescent="0.3">
      <c r="B261" s="2">
        <v>70000</v>
      </c>
      <c r="C261" s="2">
        <v>12000</v>
      </c>
      <c r="D261">
        <f t="shared" si="22"/>
        <v>5.833333333333333</v>
      </c>
      <c r="F261" t="b">
        <f t="shared" si="23"/>
        <v>0</v>
      </c>
      <c r="G261">
        <f t="shared" si="24"/>
        <v>5.833333333333333</v>
      </c>
      <c r="H261" t="b">
        <f t="shared" si="25"/>
        <v>1</v>
      </c>
      <c r="I261" t="b">
        <f t="shared" si="28"/>
        <v>0</v>
      </c>
      <c r="J261" t="b">
        <f t="shared" si="26"/>
        <v>1</v>
      </c>
      <c r="K261" t="b">
        <f t="shared" si="27"/>
        <v>0</v>
      </c>
    </row>
    <row r="262" spans="2:11" x14ac:dyDescent="0.3">
      <c r="B262" s="2">
        <v>56000</v>
      </c>
      <c r="C262" s="2">
        <v>0</v>
      </c>
      <c r="D262" t="e">
        <f t="shared" si="22"/>
        <v>#DIV/0!</v>
      </c>
      <c r="F262" t="b">
        <f t="shared" si="23"/>
        <v>1</v>
      </c>
      <c r="G262" t="str">
        <f t="shared" si="24"/>
        <v>error</v>
      </c>
      <c r="H262" t="e">
        <f t="shared" si="25"/>
        <v>#DIV/0!</v>
      </c>
      <c r="I262" t="e">
        <f t="shared" si="28"/>
        <v>#DIV/0!</v>
      </c>
      <c r="J262" t="b">
        <f t="shared" si="26"/>
        <v>0</v>
      </c>
      <c r="K262" t="b">
        <f t="shared" si="27"/>
        <v>0</v>
      </c>
    </row>
    <row r="263" spans="2:11" x14ac:dyDescent="0.3">
      <c r="B263" s="2">
        <v>47000</v>
      </c>
      <c r="C263" s="2">
        <v>5000</v>
      </c>
      <c r="D263">
        <f t="shared" si="22"/>
        <v>9.4</v>
      </c>
      <c r="F263" t="b">
        <f t="shared" si="23"/>
        <v>0</v>
      </c>
      <c r="G263">
        <f t="shared" si="24"/>
        <v>9.4</v>
      </c>
      <c r="H263" t="b">
        <f t="shared" si="25"/>
        <v>1</v>
      </c>
      <c r="I263" t="b">
        <f t="shared" si="28"/>
        <v>0</v>
      </c>
      <c r="J263" t="b">
        <f t="shared" si="26"/>
        <v>1</v>
      </c>
      <c r="K263" t="b">
        <f t="shared" si="27"/>
        <v>0</v>
      </c>
    </row>
    <row r="264" spans="2:11" x14ac:dyDescent="0.3">
      <c r="B264" s="2">
        <v>68000</v>
      </c>
      <c r="C264" s="2">
        <v>0</v>
      </c>
      <c r="D264" t="e">
        <f t="shared" si="22"/>
        <v>#DIV/0!</v>
      </c>
      <c r="F264" t="b">
        <f t="shared" si="23"/>
        <v>1</v>
      </c>
      <c r="G264" t="str">
        <f t="shared" si="24"/>
        <v>error</v>
      </c>
      <c r="H264" t="e">
        <f t="shared" si="25"/>
        <v>#DIV/0!</v>
      </c>
      <c r="I264" t="e">
        <f t="shared" si="28"/>
        <v>#DIV/0!</v>
      </c>
      <c r="J264" t="b">
        <f t="shared" si="26"/>
        <v>0</v>
      </c>
      <c r="K264" t="b">
        <f t="shared" si="27"/>
        <v>0</v>
      </c>
    </row>
    <row r="265" spans="2:11" x14ac:dyDescent="0.3">
      <c r="B265" s="2">
        <v>49000</v>
      </c>
      <c r="C265" s="2">
        <v>6000</v>
      </c>
      <c r="D265">
        <f t="shared" si="22"/>
        <v>8.1666666666666661</v>
      </c>
      <c r="F265" t="b">
        <f t="shared" si="23"/>
        <v>0</v>
      </c>
      <c r="G265">
        <f t="shared" si="24"/>
        <v>8.1666666666666661</v>
      </c>
      <c r="H265" t="b">
        <f t="shared" si="25"/>
        <v>0</v>
      </c>
      <c r="I265" t="b">
        <f t="shared" si="28"/>
        <v>1</v>
      </c>
      <c r="J265" t="b">
        <f t="shared" si="26"/>
        <v>1</v>
      </c>
      <c r="K265" t="b">
        <f t="shared" si="27"/>
        <v>0</v>
      </c>
    </row>
    <row r="266" spans="2:11" x14ac:dyDescent="0.3">
      <c r="B266" s="2">
        <v>45000</v>
      </c>
      <c r="C266" s="2">
        <v>0</v>
      </c>
      <c r="D266" t="e">
        <f t="shared" si="22"/>
        <v>#DIV/0!</v>
      </c>
      <c r="F266" t="b">
        <f t="shared" si="23"/>
        <v>1</v>
      </c>
      <c r="G266" t="str">
        <f t="shared" si="24"/>
        <v>error</v>
      </c>
      <c r="H266" t="e">
        <f t="shared" si="25"/>
        <v>#DIV/0!</v>
      </c>
      <c r="I266" t="e">
        <f t="shared" si="28"/>
        <v>#DIV/0!</v>
      </c>
      <c r="J266" t="b">
        <f t="shared" si="26"/>
        <v>0</v>
      </c>
      <c r="K266" t="b">
        <f t="shared" si="27"/>
        <v>0</v>
      </c>
    </row>
    <row r="267" spans="2:11" x14ac:dyDescent="0.3">
      <c r="B267" s="2">
        <v>71000</v>
      </c>
      <c r="C267" s="2">
        <v>12000</v>
      </c>
      <c r="D267">
        <f t="shared" si="22"/>
        <v>5.916666666666667</v>
      </c>
      <c r="F267" t="b">
        <f t="shared" si="23"/>
        <v>0</v>
      </c>
      <c r="G267">
        <f t="shared" si="24"/>
        <v>5.916666666666667</v>
      </c>
      <c r="H267" t="b">
        <f t="shared" si="25"/>
        <v>1</v>
      </c>
      <c r="I267" t="b">
        <f t="shared" si="28"/>
        <v>0</v>
      </c>
      <c r="J267" t="b">
        <f t="shared" si="26"/>
        <v>1</v>
      </c>
      <c r="K267" t="b">
        <f t="shared" si="27"/>
        <v>0</v>
      </c>
    </row>
    <row r="268" spans="2:11" x14ac:dyDescent="0.3">
      <c r="B268" s="2">
        <v>55000</v>
      </c>
      <c r="C268" s="2">
        <v>0</v>
      </c>
      <c r="D268" t="e">
        <f t="shared" si="22"/>
        <v>#DIV/0!</v>
      </c>
      <c r="F268" t="b">
        <f t="shared" si="23"/>
        <v>1</v>
      </c>
      <c r="G268" t="str">
        <f t="shared" si="24"/>
        <v>error</v>
      </c>
      <c r="H268" t="e">
        <f t="shared" si="25"/>
        <v>#DIV/0!</v>
      </c>
      <c r="I268" t="e">
        <f t="shared" si="28"/>
        <v>#DIV/0!</v>
      </c>
      <c r="J268" t="b">
        <f t="shared" si="26"/>
        <v>0</v>
      </c>
      <c r="K268" t="b">
        <f t="shared" si="27"/>
        <v>0</v>
      </c>
    </row>
    <row r="269" spans="2:11" x14ac:dyDescent="0.3">
      <c r="B269" s="2">
        <v>62000</v>
      </c>
      <c r="C269" s="2">
        <v>15000</v>
      </c>
      <c r="D269">
        <f t="shared" si="22"/>
        <v>4.1333333333333337</v>
      </c>
      <c r="F269" t="b">
        <f t="shared" si="23"/>
        <v>0</v>
      </c>
      <c r="G269">
        <f t="shared" si="24"/>
        <v>4.1333333333333337</v>
      </c>
      <c r="H269" t="b">
        <f t="shared" si="25"/>
        <v>0</v>
      </c>
      <c r="I269" t="b">
        <f t="shared" si="28"/>
        <v>1</v>
      </c>
      <c r="J269" t="b">
        <f t="shared" si="26"/>
        <v>1</v>
      </c>
      <c r="K269" t="b">
        <f t="shared" si="27"/>
        <v>0</v>
      </c>
    </row>
    <row r="270" spans="2:11" x14ac:dyDescent="0.3">
      <c r="B270" s="2">
        <v>75000</v>
      </c>
      <c r="C270" s="2">
        <v>0</v>
      </c>
      <c r="D270" t="e">
        <f t="shared" si="22"/>
        <v>#DIV/0!</v>
      </c>
      <c r="F270" t="b">
        <f t="shared" si="23"/>
        <v>1</v>
      </c>
      <c r="G270" t="str">
        <f t="shared" si="24"/>
        <v>error</v>
      </c>
      <c r="H270" t="e">
        <f t="shared" si="25"/>
        <v>#DIV/0!</v>
      </c>
      <c r="I270" t="e">
        <f t="shared" si="28"/>
        <v>#DIV/0!</v>
      </c>
      <c r="J270" t="b">
        <f t="shared" si="26"/>
        <v>0</v>
      </c>
      <c r="K270" t="b">
        <f t="shared" si="27"/>
        <v>0</v>
      </c>
    </row>
    <row r="271" spans="2:11" x14ac:dyDescent="0.3">
      <c r="B271" s="2">
        <v>48000</v>
      </c>
      <c r="C271" s="2">
        <v>5000</v>
      </c>
      <c r="D271">
        <f t="shared" si="22"/>
        <v>9.6</v>
      </c>
      <c r="F271" t="b">
        <f t="shared" si="23"/>
        <v>0</v>
      </c>
      <c r="G271">
        <f t="shared" si="24"/>
        <v>9.6</v>
      </c>
      <c r="H271" t="b">
        <f t="shared" si="25"/>
        <v>1</v>
      </c>
      <c r="I271" t="b">
        <f t="shared" si="28"/>
        <v>0</v>
      </c>
      <c r="J271" t="b">
        <f t="shared" si="26"/>
        <v>1</v>
      </c>
      <c r="K271" t="b">
        <f t="shared" si="27"/>
        <v>0</v>
      </c>
    </row>
    <row r="272" spans="2:11" x14ac:dyDescent="0.3">
      <c r="B272" s="2">
        <v>58000</v>
      </c>
      <c r="C272" s="2">
        <v>0</v>
      </c>
      <c r="D272" t="e">
        <f t="shared" si="22"/>
        <v>#DIV/0!</v>
      </c>
      <c r="F272" t="b">
        <f t="shared" si="23"/>
        <v>1</v>
      </c>
      <c r="G272" t="str">
        <f t="shared" si="24"/>
        <v>error</v>
      </c>
      <c r="H272" t="e">
        <f t="shared" si="25"/>
        <v>#DIV/0!</v>
      </c>
      <c r="I272" t="e">
        <f t="shared" si="28"/>
        <v>#DIV/0!</v>
      </c>
      <c r="J272" t="b">
        <f t="shared" si="26"/>
        <v>0</v>
      </c>
      <c r="K272" t="b">
        <f t="shared" si="27"/>
        <v>0</v>
      </c>
    </row>
    <row r="273" spans="2:11" x14ac:dyDescent="0.3">
      <c r="B273" s="2">
        <v>70000</v>
      </c>
      <c r="C273" s="2">
        <v>20000</v>
      </c>
      <c r="D273">
        <f t="shared" si="22"/>
        <v>3.5</v>
      </c>
      <c r="F273" t="b">
        <f t="shared" si="23"/>
        <v>0</v>
      </c>
      <c r="G273">
        <f t="shared" si="24"/>
        <v>3.5</v>
      </c>
      <c r="H273" t="b">
        <f t="shared" si="25"/>
        <v>1</v>
      </c>
      <c r="I273" t="b">
        <f t="shared" si="28"/>
        <v>0</v>
      </c>
      <c r="J273" t="b">
        <f t="shared" si="26"/>
        <v>1</v>
      </c>
      <c r="K273" t="b">
        <f t="shared" si="27"/>
        <v>0</v>
      </c>
    </row>
    <row r="274" spans="2:11" x14ac:dyDescent="0.3">
      <c r="B274" s="2">
        <v>82000</v>
      </c>
      <c r="C274" s="2">
        <v>0</v>
      </c>
      <c r="D274" t="e">
        <f t="shared" si="22"/>
        <v>#DIV/0!</v>
      </c>
      <c r="F274" t="b">
        <f t="shared" si="23"/>
        <v>1</v>
      </c>
      <c r="G274" t="str">
        <f t="shared" si="24"/>
        <v>error</v>
      </c>
      <c r="H274" t="e">
        <f t="shared" si="25"/>
        <v>#DIV/0!</v>
      </c>
      <c r="I274" t="e">
        <f t="shared" si="28"/>
        <v>#DIV/0!</v>
      </c>
      <c r="J274" t="b">
        <f t="shared" si="26"/>
        <v>0</v>
      </c>
      <c r="K274" t="b">
        <f t="shared" si="27"/>
        <v>0</v>
      </c>
    </row>
    <row r="275" spans="2:11" x14ac:dyDescent="0.3">
      <c r="B275" s="2">
        <v>43000</v>
      </c>
      <c r="C275" s="2">
        <v>0</v>
      </c>
      <c r="D275" t="e">
        <f t="shared" si="22"/>
        <v>#DIV/0!</v>
      </c>
      <c r="F275" t="b">
        <f t="shared" si="23"/>
        <v>1</v>
      </c>
      <c r="G275" t="str">
        <f t="shared" si="24"/>
        <v>error</v>
      </c>
      <c r="H275" t="e">
        <f t="shared" si="25"/>
        <v>#DIV/0!</v>
      </c>
      <c r="I275" t="e">
        <f t="shared" si="28"/>
        <v>#DIV/0!</v>
      </c>
      <c r="J275" t="b">
        <f t="shared" si="26"/>
        <v>0</v>
      </c>
      <c r="K275" t="b">
        <f t="shared" si="27"/>
        <v>0</v>
      </c>
    </row>
    <row r="276" spans="2:11" x14ac:dyDescent="0.3">
      <c r="B276" s="2">
        <v>55000</v>
      </c>
      <c r="C276" s="2">
        <v>10000</v>
      </c>
      <c r="D276">
        <f t="shared" si="22"/>
        <v>5.5</v>
      </c>
      <c r="F276" t="b">
        <f t="shared" si="23"/>
        <v>0</v>
      </c>
      <c r="G276">
        <f t="shared" si="24"/>
        <v>5.5</v>
      </c>
      <c r="H276" t="b">
        <f t="shared" si="25"/>
        <v>1</v>
      </c>
      <c r="I276" t="b">
        <f t="shared" si="28"/>
        <v>0</v>
      </c>
      <c r="J276" t="b">
        <f t="shared" si="26"/>
        <v>1</v>
      </c>
      <c r="K276" t="b">
        <f t="shared" si="27"/>
        <v>0</v>
      </c>
    </row>
    <row r="277" spans="2:11" x14ac:dyDescent="0.3">
      <c r="B277" s="2">
        <v>65000</v>
      </c>
      <c r="C277" s="2">
        <v>0</v>
      </c>
      <c r="D277" t="e">
        <f t="shared" si="22"/>
        <v>#DIV/0!</v>
      </c>
      <c r="F277" t="b">
        <f t="shared" si="23"/>
        <v>1</v>
      </c>
      <c r="G277" t="str">
        <f t="shared" si="24"/>
        <v>error</v>
      </c>
      <c r="H277" t="e">
        <f t="shared" si="25"/>
        <v>#DIV/0!</v>
      </c>
      <c r="I277" t="e">
        <f t="shared" si="28"/>
        <v>#DIV/0!</v>
      </c>
      <c r="J277" t="b">
        <f t="shared" si="26"/>
        <v>0</v>
      </c>
      <c r="K277" t="b">
        <f t="shared" si="27"/>
        <v>0</v>
      </c>
    </row>
    <row r="278" spans="2:11" x14ac:dyDescent="0.3">
      <c r="B278" s="2">
        <v>47000</v>
      </c>
      <c r="C278" s="2">
        <v>0</v>
      </c>
      <c r="D278" t="e">
        <f t="shared" si="22"/>
        <v>#DIV/0!</v>
      </c>
      <c r="F278" t="b">
        <f t="shared" si="23"/>
        <v>1</v>
      </c>
      <c r="G278" t="str">
        <f t="shared" si="24"/>
        <v>error</v>
      </c>
      <c r="H278" t="e">
        <f t="shared" si="25"/>
        <v>#DIV/0!</v>
      </c>
      <c r="I278" t="e">
        <f t="shared" si="28"/>
        <v>#DIV/0!</v>
      </c>
      <c r="J278" t="b">
        <f t="shared" si="26"/>
        <v>0</v>
      </c>
      <c r="K278" t="b">
        <f t="shared" si="27"/>
        <v>0</v>
      </c>
    </row>
    <row r="279" spans="2:11" x14ac:dyDescent="0.3">
      <c r="B279" s="2">
        <v>72000</v>
      </c>
      <c r="C279" s="2">
        <v>12000</v>
      </c>
      <c r="D279">
        <f t="shared" si="22"/>
        <v>6</v>
      </c>
      <c r="F279" t="b">
        <f t="shared" si="23"/>
        <v>0</v>
      </c>
      <c r="G279">
        <f t="shared" si="24"/>
        <v>6</v>
      </c>
      <c r="H279" t="b">
        <f t="shared" si="25"/>
        <v>0</v>
      </c>
      <c r="I279" t="b">
        <f t="shared" si="28"/>
        <v>1</v>
      </c>
      <c r="J279" t="b">
        <f t="shared" si="26"/>
        <v>1</v>
      </c>
      <c r="K279" t="b">
        <f t="shared" si="27"/>
        <v>0</v>
      </c>
    </row>
    <row r="280" spans="2:11" x14ac:dyDescent="0.3">
      <c r="B280" s="2">
        <v>53000</v>
      </c>
      <c r="C280" s="2">
        <v>0</v>
      </c>
      <c r="D280" t="e">
        <f t="shared" si="22"/>
        <v>#DIV/0!</v>
      </c>
      <c r="F280" t="b">
        <f t="shared" si="23"/>
        <v>1</v>
      </c>
      <c r="G280" t="str">
        <f t="shared" si="24"/>
        <v>error</v>
      </c>
      <c r="H280" t="e">
        <f t="shared" si="25"/>
        <v>#DIV/0!</v>
      </c>
      <c r="I280" t="e">
        <f t="shared" si="28"/>
        <v>#DIV/0!</v>
      </c>
      <c r="J280" t="b">
        <f t="shared" si="26"/>
        <v>0</v>
      </c>
      <c r="K280" t="b">
        <f t="shared" si="27"/>
        <v>0</v>
      </c>
    </row>
    <row r="281" spans="2:11" x14ac:dyDescent="0.3">
      <c r="B281" s="2">
        <v>60000</v>
      </c>
      <c r="C281" s="2">
        <v>8000</v>
      </c>
      <c r="D281">
        <f t="shared" si="22"/>
        <v>7.5</v>
      </c>
      <c r="F281" t="b">
        <f t="shared" si="23"/>
        <v>0</v>
      </c>
      <c r="G281">
        <f t="shared" si="24"/>
        <v>7.5</v>
      </c>
      <c r="H281" t="b">
        <f t="shared" si="25"/>
        <v>1</v>
      </c>
      <c r="I281" t="b">
        <f t="shared" si="28"/>
        <v>0</v>
      </c>
      <c r="J281" t="b">
        <f t="shared" si="26"/>
        <v>1</v>
      </c>
      <c r="K281" t="b">
        <f t="shared" si="27"/>
        <v>0</v>
      </c>
    </row>
    <row r="282" spans="2:11" x14ac:dyDescent="0.3">
      <c r="B282" s="2">
        <v>85000</v>
      </c>
      <c r="C282" s="2">
        <v>0</v>
      </c>
      <c r="D282" t="e">
        <f t="shared" si="22"/>
        <v>#DIV/0!</v>
      </c>
      <c r="F282" t="b">
        <f t="shared" si="23"/>
        <v>1</v>
      </c>
      <c r="G282" t="str">
        <f t="shared" si="24"/>
        <v>error</v>
      </c>
      <c r="H282" t="e">
        <f t="shared" si="25"/>
        <v>#DIV/0!</v>
      </c>
      <c r="I282" t="e">
        <f t="shared" si="28"/>
        <v>#DIV/0!</v>
      </c>
      <c r="J282" t="b">
        <f t="shared" si="26"/>
        <v>0</v>
      </c>
      <c r="K282" t="b">
        <f t="shared" si="27"/>
        <v>0</v>
      </c>
    </row>
    <row r="283" spans="2:11" x14ac:dyDescent="0.3">
      <c r="B283" s="2">
        <v>49000</v>
      </c>
      <c r="C283" s="2">
        <v>7000</v>
      </c>
      <c r="D283">
        <f t="shared" si="22"/>
        <v>7</v>
      </c>
      <c r="F283" t="b">
        <f t="shared" si="23"/>
        <v>0</v>
      </c>
      <c r="G283">
        <f t="shared" si="24"/>
        <v>7</v>
      </c>
      <c r="H283" t="b">
        <f t="shared" si="25"/>
        <v>1</v>
      </c>
      <c r="I283" t="b">
        <f t="shared" si="28"/>
        <v>0</v>
      </c>
      <c r="J283" t="b">
        <f t="shared" si="26"/>
        <v>1</v>
      </c>
      <c r="K283" t="b">
        <f t="shared" si="27"/>
        <v>0</v>
      </c>
    </row>
    <row r="284" spans="2:11" x14ac:dyDescent="0.3">
      <c r="B284" s="2">
        <v>45000</v>
      </c>
      <c r="C284" s="2">
        <v>0</v>
      </c>
      <c r="D284" t="e">
        <f t="shared" si="22"/>
        <v>#DIV/0!</v>
      </c>
      <c r="F284" t="b">
        <f t="shared" si="23"/>
        <v>1</v>
      </c>
      <c r="G284" t="str">
        <f t="shared" si="24"/>
        <v>error</v>
      </c>
      <c r="H284" t="e">
        <f t="shared" si="25"/>
        <v>#DIV/0!</v>
      </c>
      <c r="I284" t="e">
        <f t="shared" si="28"/>
        <v>#DIV/0!</v>
      </c>
      <c r="J284" t="b">
        <f t="shared" si="26"/>
        <v>0</v>
      </c>
      <c r="K284" t="b">
        <f t="shared" si="27"/>
        <v>0</v>
      </c>
    </row>
    <row r="285" spans="2:11" x14ac:dyDescent="0.3">
      <c r="B285" s="2">
        <v>77000</v>
      </c>
      <c r="C285" s="2">
        <v>15000</v>
      </c>
      <c r="D285">
        <f t="shared" ref="D285:D348" si="29">B285/C285</f>
        <v>5.1333333333333337</v>
      </c>
      <c r="F285" t="b">
        <f t="shared" ref="F285:F348" si="30">ISERROR(D285)</f>
        <v>0</v>
      </c>
      <c r="G285">
        <f t="shared" ref="G285:G348" si="31">IFERROR(D285,"error")</f>
        <v>5.1333333333333337</v>
      </c>
      <c r="H285" t="b">
        <f t="shared" ref="H285:H348" si="32">ISODD(D285)</f>
        <v>1</v>
      </c>
      <c r="I285" t="b">
        <f t="shared" si="28"/>
        <v>0</v>
      </c>
      <c r="J285" t="b">
        <f t="shared" ref="J285:J348" si="33">ISNUMBER(D285)</f>
        <v>1</v>
      </c>
      <c r="K285" t="b">
        <f t="shared" ref="K285:K348" si="34">ISTEXT(D285)</f>
        <v>0</v>
      </c>
    </row>
    <row r="286" spans="2:11" x14ac:dyDescent="0.3">
      <c r="B286" s="2">
        <v>50000</v>
      </c>
      <c r="C286" s="2">
        <v>0</v>
      </c>
      <c r="D286" t="e">
        <f t="shared" si="29"/>
        <v>#DIV/0!</v>
      </c>
      <c r="F286" t="b">
        <f t="shared" si="30"/>
        <v>1</v>
      </c>
      <c r="G286" t="str">
        <f t="shared" si="31"/>
        <v>error</v>
      </c>
      <c r="H286" t="e">
        <f t="shared" si="32"/>
        <v>#DIV/0!</v>
      </c>
      <c r="I286" t="e">
        <f t="shared" si="28"/>
        <v>#DIV/0!</v>
      </c>
      <c r="J286" t="b">
        <f t="shared" si="33"/>
        <v>0</v>
      </c>
      <c r="K286" t="b">
        <f t="shared" si="34"/>
        <v>0</v>
      </c>
    </row>
    <row r="287" spans="2:11" x14ac:dyDescent="0.3">
      <c r="B287" s="2">
        <v>69000</v>
      </c>
      <c r="C287" s="2">
        <v>12000</v>
      </c>
      <c r="D287">
        <f t="shared" si="29"/>
        <v>5.75</v>
      </c>
      <c r="F287" t="b">
        <f t="shared" si="30"/>
        <v>0</v>
      </c>
      <c r="G287">
        <f t="shared" si="31"/>
        <v>5.75</v>
      </c>
      <c r="H287" t="b">
        <f t="shared" si="32"/>
        <v>1</v>
      </c>
      <c r="I287" t="b">
        <f t="shared" si="28"/>
        <v>0</v>
      </c>
      <c r="J287" t="b">
        <f t="shared" si="33"/>
        <v>1</v>
      </c>
      <c r="K287" t="b">
        <f t="shared" si="34"/>
        <v>0</v>
      </c>
    </row>
    <row r="288" spans="2:11" x14ac:dyDescent="0.3">
      <c r="B288" s="2">
        <v>54000</v>
      </c>
      <c r="C288" s="2">
        <v>0</v>
      </c>
      <c r="D288" t="e">
        <f t="shared" si="29"/>
        <v>#DIV/0!</v>
      </c>
      <c r="F288" t="b">
        <f t="shared" si="30"/>
        <v>1</v>
      </c>
      <c r="G288" t="str">
        <f t="shared" si="31"/>
        <v>error</v>
      </c>
      <c r="H288" t="e">
        <f t="shared" si="32"/>
        <v>#DIV/0!</v>
      </c>
      <c r="I288" t="e">
        <f t="shared" ref="I288:I351" si="35">ISEVEN(D288)</f>
        <v>#DIV/0!</v>
      </c>
      <c r="J288" t="b">
        <f t="shared" si="33"/>
        <v>0</v>
      </c>
      <c r="K288" t="b">
        <f t="shared" si="34"/>
        <v>0</v>
      </c>
    </row>
    <row r="289" spans="2:11" x14ac:dyDescent="0.3">
      <c r="B289" s="2">
        <v>74000</v>
      </c>
      <c r="C289" s="2">
        <v>10000</v>
      </c>
      <c r="D289">
        <f t="shared" si="29"/>
        <v>7.4</v>
      </c>
      <c r="F289" t="b">
        <f t="shared" si="30"/>
        <v>0</v>
      </c>
      <c r="G289">
        <f t="shared" si="31"/>
        <v>7.4</v>
      </c>
      <c r="H289" t="b">
        <f t="shared" si="32"/>
        <v>1</v>
      </c>
      <c r="I289" t="b">
        <f t="shared" si="35"/>
        <v>0</v>
      </c>
      <c r="J289" t="b">
        <f t="shared" si="33"/>
        <v>1</v>
      </c>
      <c r="K289" t="b">
        <f t="shared" si="34"/>
        <v>0</v>
      </c>
    </row>
    <row r="290" spans="2:11" x14ac:dyDescent="0.3">
      <c r="B290" s="2">
        <v>68000</v>
      </c>
      <c r="C290" s="2">
        <v>0</v>
      </c>
      <c r="D290" t="e">
        <f t="shared" si="29"/>
        <v>#DIV/0!</v>
      </c>
      <c r="F290" t="b">
        <f t="shared" si="30"/>
        <v>1</v>
      </c>
      <c r="G290" t="str">
        <f t="shared" si="31"/>
        <v>error</v>
      </c>
      <c r="H290" t="e">
        <f t="shared" si="32"/>
        <v>#DIV/0!</v>
      </c>
      <c r="I290" t="e">
        <f t="shared" si="35"/>
        <v>#DIV/0!</v>
      </c>
      <c r="J290" t="b">
        <f t="shared" si="33"/>
        <v>0</v>
      </c>
      <c r="K290" t="b">
        <f t="shared" si="34"/>
        <v>0</v>
      </c>
    </row>
    <row r="291" spans="2:11" x14ac:dyDescent="0.3">
      <c r="B291" s="2">
        <v>45000</v>
      </c>
      <c r="C291" s="2">
        <v>5000</v>
      </c>
      <c r="D291">
        <f t="shared" si="29"/>
        <v>9</v>
      </c>
      <c r="F291" t="b">
        <f t="shared" si="30"/>
        <v>0</v>
      </c>
      <c r="G291">
        <f t="shared" si="31"/>
        <v>9</v>
      </c>
      <c r="H291" t="b">
        <f t="shared" si="32"/>
        <v>1</v>
      </c>
      <c r="I291" t="b">
        <f t="shared" si="35"/>
        <v>0</v>
      </c>
      <c r="J291" t="b">
        <f t="shared" si="33"/>
        <v>1</v>
      </c>
      <c r="K291" t="b">
        <f t="shared" si="34"/>
        <v>0</v>
      </c>
    </row>
    <row r="292" spans="2:11" x14ac:dyDescent="0.3">
      <c r="B292" s="2">
        <v>80000</v>
      </c>
      <c r="C292" s="2">
        <v>0</v>
      </c>
      <c r="D292" t="e">
        <f t="shared" si="29"/>
        <v>#DIV/0!</v>
      </c>
      <c r="F292" t="b">
        <f t="shared" si="30"/>
        <v>1</v>
      </c>
      <c r="G292" t="str">
        <f t="shared" si="31"/>
        <v>error</v>
      </c>
      <c r="H292" t="e">
        <f t="shared" si="32"/>
        <v>#DIV/0!</v>
      </c>
      <c r="I292" t="e">
        <f t="shared" si="35"/>
        <v>#DIV/0!</v>
      </c>
      <c r="J292" t="b">
        <f t="shared" si="33"/>
        <v>0</v>
      </c>
      <c r="K292" t="b">
        <f t="shared" si="34"/>
        <v>0</v>
      </c>
    </row>
    <row r="293" spans="2:11" x14ac:dyDescent="0.3">
      <c r="B293" s="2">
        <v>47000</v>
      </c>
      <c r="C293" s="2">
        <v>8000</v>
      </c>
      <c r="D293">
        <f t="shared" si="29"/>
        <v>5.875</v>
      </c>
      <c r="F293" t="b">
        <f t="shared" si="30"/>
        <v>0</v>
      </c>
      <c r="G293">
        <f t="shared" si="31"/>
        <v>5.875</v>
      </c>
      <c r="H293" t="b">
        <f t="shared" si="32"/>
        <v>1</v>
      </c>
      <c r="I293" t="b">
        <f t="shared" si="35"/>
        <v>0</v>
      </c>
      <c r="J293" t="b">
        <f t="shared" si="33"/>
        <v>1</v>
      </c>
      <c r="K293" t="b">
        <f t="shared" si="34"/>
        <v>0</v>
      </c>
    </row>
    <row r="294" spans="2:11" x14ac:dyDescent="0.3">
      <c r="B294" s="2">
        <v>53000</v>
      </c>
      <c r="C294" s="2">
        <v>0</v>
      </c>
      <c r="D294" t="e">
        <f t="shared" si="29"/>
        <v>#DIV/0!</v>
      </c>
      <c r="F294" t="b">
        <f t="shared" si="30"/>
        <v>1</v>
      </c>
      <c r="G294" t="str">
        <f t="shared" si="31"/>
        <v>error</v>
      </c>
      <c r="H294" t="e">
        <f t="shared" si="32"/>
        <v>#DIV/0!</v>
      </c>
      <c r="I294" t="e">
        <f t="shared" si="35"/>
        <v>#DIV/0!</v>
      </c>
      <c r="J294" t="b">
        <f t="shared" si="33"/>
        <v>0</v>
      </c>
      <c r="K294" t="b">
        <f t="shared" si="34"/>
        <v>0</v>
      </c>
    </row>
    <row r="295" spans="2:11" x14ac:dyDescent="0.3">
      <c r="B295" s="2">
        <v>71000</v>
      </c>
      <c r="C295" s="2">
        <v>13000</v>
      </c>
      <c r="D295">
        <f t="shared" si="29"/>
        <v>5.4615384615384617</v>
      </c>
      <c r="F295" t="b">
        <f t="shared" si="30"/>
        <v>0</v>
      </c>
      <c r="G295">
        <f t="shared" si="31"/>
        <v>5.4615384615384617</v>
      </c>
      <c r="H295" t="b">
        <f t="shared" si="32"/>
        <v>1</v>
      </c>
      <c r="I295" t="b">
        <f t="shared" si="35"/>
        <v>0</v>
      </c>
      <c r="J295" t="b">
        <f t="shared" si="33"/>
        <v>1</v>
      </c>
      <c r="K295" t="b">
        <f t="shared" si="34"/>
        <v>0</v>
      </c>
    </row>
    <row r="296" spans="2:11" x14ac:dyDescent="0.3">
      <c r="B296" s="2">
        <v>67000</v>
      </c>
      <c r="C296" s="2">
        <v>0</v>
      </c>
      <c r="D296" t="e">
        <f t="shared" si="29"/>
        <v>#DIV/0!</v>
      </c>
      <c r="F296" t="b">
        <f t="shared" si="30"/>
        <v>1</v>
      </c>
      <c r="G296" t="str">
        <f t="shared" si="31"/>
        <v>error</v>
      </c>
      <c r="H296" t="e">
        <f t="shared" si="32"/>
        <v>#DIV/0!</v>
      </c>
      <c r="I296" t="e">
        <f t="shared" si="35"/>
        <v>#DIV/0!</v>
      </c>
      <c r="J296" t="b">
        <f t="shared" si="33"/>
        <v>0</v>
      </c>
      <c r="K296" t="b">
        <f t="shared" si="34"/>
        <v>0</v>
      </c>
    </row>
    <row r="297" spans="2:11" x14ac:dyDescent="0.3">
      <c r="B297" s="2">
        <v>55000</v>
      </c>
      <c r="C297" s="2">
        <v>7000</v>
      </c>
      <c r="D297">
        <f t="shared" si="29"/>
        <v>7.8571428571428568</v>
      </c>
      <c r="F297" t="b">
        <f t="shared" si="30"/>
        <v>0</v>
      </c>
      <c r="G297">
        <f t="shared" si="31"/>
        <v>7.8571428571428568</v>
      </c>
      <c r="H297" t="b">
        <f t="shared" si="32"/>
        <v>1</v>
      </c>
      <c r="I297" t="b">
        <f t="shared" si="35"/>
        <v>0</v>
      </c>
      <c r="J297" t="b">
        <f t="shared" si="33"/>
        <v>1</v>
      </c>
      <c r="K297" t="b">
        <f t="shared" si="34"/>
        <v>0</v>
      </c>
    </row>
    <row r="298" spans="2:11" x14ac:dyDescent="0.3">
      <c r="B298" s="2">
        <v>48000</v>
      </c>
      <c r="C298" s="2">
        <v>0</v>
      </c>
      <c r="D298" t="e">
        <f t="shared" si="29"/>
        <v>#DIV/0!</v>
      </c>
      <c r="F298" t="b">
        <f t="shared" si="30"/>
        <v>1</v>
      </c>
      <c r="G298" t="str">
        <f t="shared" si="31"/>
        <v>error</v>
      </c>
      <c r="H298" t="e">
        <f t="shared" si="32"/>
        <v>#DIV/0!</v>
      </c>
      <c r="I298" t="e">
        <f t="shared" si="35"/>
        <v>#DIV/0!</v>
      </c>
      <c r="J298" t="b">
        <f t="shared" si="33"/>
        <v>0</v>
      </c>
      <c r="K298" t="b">
        <f t="shared" si="34"/>
        <v>0</v>
      </c>
    </row>
    <row r="299" spans="2:11" x14ac:dyDescent="0.3">
      <c r="B299" s="2">
        <v>62000</v>
      </c>
      <c r="C299" s="2">
        <v>12000</v>
      </c>
      <c r="D299">
        <f t="shared" si="29"/>
        <v>5.166666666666667</v>
      </c>
      <c r="F299" t="b">
        <f t="shared" si="30"/>
        <v>0</v>
      </c>
      <c r="G299">
        <f t="shared" si="31"/>
        <v>5.166666666666667</v>
      </c>
      <c r="H299" t="b">
        <f t="shared" si="32"/>
        <v>1</v>
      </c>
      <c r="I299" t="b">
        <f t="shared" si="35"/>
        <v>0</v>
      </c>
      <c r="J299" t="b">
        <f t="shared" si="33"/>
        <v>1</v>
      </c>
      <c r="K299" t="b">
        <f t="shared" si="34"/>
        <v>0</v>
      </c>
    </row>
    <row r="300" spans="2:11" x14ac:dyDescent="0.3">
      <c r="B300" s="2">
        <v>69000</v>
      </c>
      <c r="C300" s="2">
        <v>0</v>
      </c>
      <c r="D300" t="e">
        <f t="shared" si="29"/>
        <v>#DIV/0!</v>
      </c>
      <c r="F300" t="b">
        <f t="shared" si="30"/>
        <v>1</v>
      </c>
      <c r="G300" t="str">
        <f t="shared" si="31"/>
        <v>error</v>
      </c>
      <c r="H300" t="e">
        <f t="shared" si="32"/>
        <v>#DIV/0!</v>
      </c>
      <c r="I300" t="e">
        <f t="shared" si="35"/>
        <v>#DIV/0!</v>
      </c>
      <c r="J300" t="b">
        <f t="shared" si="33"/>
        <v>0</v>
      </c>
      <c r="K300" t="b">
        <f t="shared" si="34"/>
        <v>0</v>
      </c>
    </row>
    <row r="301" spans="2:11" x14ac:dyDescent="0.3">
      <c r="B301" s="2">
        <v>74000</v>
      </c>
      <c r="C301" s="2">
        <v>15000</v>
      </c>
      <c r="D301">
        <f t="shared" si="29"/>
        <v>4.9333333333333336</v>
      </c>
      <c r="F301" t="b">
        <f t="shared" si="30"/>
        <v>0</v>
      </c>
      <c r="G301">
        <f t="shared" si="31"/>
        <v>4.9333333333333336</v>
      </c>
      <c r="H301" t="b">
        <f t="shared" si="32"/>
        <v>0</v>
      </c>
      <c r="I301" t="b">
        <f t="shared" si="35"/>
        <v>1</v>
      </c>
      <c r="J301" t="b">
        <f t="shared" si="33"/>
        <v>1</v>
      </c>
      <c r="K301" t="b">
        <f t="shared" si="34"/>
        <v>0</v>
      </c>
    </row>
    <row r="302" spans="2:11" x14ac:dyDescent="0.3">
      <c r="B302" s="2">
        <v>50000</v>
      </c>
      <c r="C302" s="2">
        <v>0</v>
      </c>
      <c r="D302" t="e">
        <f t="shared" si="29"/>
        <v>#DIV/0!</v>
      </c>
      <c r="F302" t="b">
        <f t="shared" si="30"/>
        <v>1</v>
      </c>
      <c r="G302" t="str">
        <f t="shared" si="31"/>
        <v>error</v>
      </c>
      <c r="H302" t="e">
        <f t="shared" si="32"/>
        <v>#DIV/0!</v>
      </c>
      <c r="I302" t="e">
        <f t="shared" si="35"/>
        <v>#DIV/0!</v>
      </c>
      <c r="J302" t="b">
        <f t="shared" si="33"/>
        <v>0</v>
      </c>
      <c r="K302" t="b">
        <f t="shared" si="34"/>
        <v>0</v>
      </c>
    </row>
    <row r="303" spans="2:11" x14ac:dyDescent="0.3">
      <c r="B303" s="2">
        <v>55000</v>
      </c>
      <c r="C303" s="2">
        <v>10000</v>
      </c>
      <c r="D303">
        <f t="shared" si="29"/>
        <v>5.5</v>
      </c>
      <c r="F303" t="b">
        <f t="shared" si="30"/>
        <v>0</v>
      </c>
      <c r="G303">
        <f t="shared" si="31"/>
        <v>5.5</v>
      </c>
      <c r="H303" t="b">
        <f t="shared" si="32"/>
        <v>1</v>
      </c>
      <c r="I303" t="b">
        <f t="shared" si="35"/>
        <v>0</v>
      </c>
      <c r="J303" t="b">
        <f t="shared" si="33"/>
        <v>1</v>
      </c>
      <c r="K303" t="b">
        <f t="shared" si="34"/>
        <v>0</v>
      </c>
    </row>
    <row r="304" spans="2:11" x14ac:dyDescent="0.3">
      <c r="B304" s="2">
        <v>62000</v>
      </c>
      <c r="C304" s="2">
        <v>0</v>
      </c>
      <c r="D304" t="e">
        <f t="shared" si="29"/>
        <v>#DIV/0!</v>
      </c>
      <c r="F304" t="b">
        <f t="shared" si="30"/>
        <v>1</v>
      </c>
      <c r="G304" t="str">
        <f t="shared" si="31"/>
        <v>error</v>
      </c>
      <c r="H304" t="e">
        <f t="shared" si="32"/>
        <v>#DIV/0!</v>
      </c>
      <c r="I304" t="e">
        <f t="shared" si="35"/>
        <v>#DIV/0!</v>
      </c>
      <c r="J304" t="b">
        <f t="shared" si="33"/>
        <v>0</v>
      </c>
      <c r="K304" t="b">
        <f t="shared" si="34"/>
        <v>0</v>
      </c>
    </row>
    <row r="305" spans="2:11" x14ac:dyDescent="0.3">
      <c r="B305" s="2">
        <v>48000</v>
      </c>
      <c r="C305" s="2">
        <v>5000</v>
      </c>
      <c r="D305">
        <f t="shared" si="29"/>
        <v>9.6</v>
      </c>
      <c r="F305" t="b">
        <f t="shared" si="30"/>
        <v>0</v>
      </c>
      <c r="G305">
        <f t="shared" si="31"/>
        <v>9.6</v>
      </c>
      <c r="H305" t="b">
        <f t="shared" si="32"/>
        <v>1</v>
      </c>
      <c r="I305" t="b">
        <f t="shared" si="35"/>
        <v>0</v>
      </c>
      <c r="J305" t="b">
        <f t="shared" si="33"/>
        <v>1</v>
      </c>
      <c r="K305" t="b">
        <f t="shared" si="34"/>
        <v>0</v>
      </c>
    </row>
    <row r="306" spans="2:11" x14ac:dyDescent="0.3">
      <c r="B306" s="2">
        <v>59000</v>
      </c>
      <c r="C306" s="2">
        <v>0</v>
      </c>
      <c r="D306" t="e">
        <f t="shared" si="29"/>
        <v>#DIV/0!</v>
      </c>
      <c r="F306" t="b">
        <f t="shared" si="30"/>
        <v>1</v>
      </c>
      <c r="G306" t="str">
        <f t="shared" si="31"/>
        <v>error</v>
      </c>
      <c r="H306" t="e">
        <f t="shared" si="32"/>
        <v>#DIV/0!</v>
      </c>
      <c r="I306" t="e">
        <f t="shared" si="35"/>
        <v>#DIV/0!</v>
      </c>
      <c r="J306" t="b">
        <f t="shared" si="33"/>
        <v>0</v>
      </c>
      <c r="K306" t="b">
        <f t="shared" si="34"/>
        <v>0</v>
      </c>
    </row>
    <row r="307" spans="2:11" x14ac:dyDescent="0.3">
      <c r="B307" s="2">
        <v>73000</v>
      </c>
      <c r="C307" s="2">
        <v>13000</v>
      </c>
      <c r="D307">
        <f t="shared" si="29"/>
        <v>5.615384615384615</v>
      </c>
      <c r="F307" t="b">
        <f t="shared" si="30"/>
        <v>0</v>
      </c>
      <c r="G307">
        <f t="shared" si="31"/>
        <v>5.615384615384615</v>
      </c>
      <c r="H307" t="b">
        <f t="shared" si="32"/>
        <v>1</v>
      </c>
      <c r="I307" t="b">
        <f t="shared" si="35"/>
        <v>0</v>
      </c>
      <c r="J307" t="b">
        <f t="shared" si="33"/>
        <v>1</v>
      </c>
      <c r="K307" t="b">
        <f t="shared" si="34"/>
        <v>0</v>
      </c>
    </row>
    <row r="308" spans="2:11" x14ac:dyDescent="0.3">
      <c r="B308" s="2">
        <v>65000</v>
      </c>
      <c r="C308" s="2">
        <v>0</v>
      </c>
      <c r="D308" t="e">
        <f t="shared" si="29"/>
        <v>#DIV/0!</v>
      </c>
      <c r="F308" t="b">
        <f t="shared" si="30"/>
        <v>1</v>
      </c>
      <c r="G308" t="str">
        <f t="shared" si="31"/>
        <v>error</v>
      </c>
      <c r="H308" t="e">
        <f t="shared" si="32"/>
        <v>#DIV/0!</v>
      </c>
      <c r="I308" t="e">
        <f t="shared" si="35"/>
        <v>#DIV/0!</v>
      </c>
      <c r="J308" t="b">
        <f t="shared" si="33"/>
        <v>0</v>
      </c>
      <c r="K308" t="b">
        <f t="shared" si="34"/>
        <v>0</v>
      </c>
    </row>
    <row r="309" spans="2:11" x14ac:dyDescent="0.3">
      <c r="B309" s="2">
        <v>60000</v>
      </c>
      <c r="C309" s="2">
        <v>8000</v>
      </c>
      <c r="D309">
        <f t="shared" si="29"/>
        <v>7.5</v>
      </c>
      <c r="F309" t="b">
        <f t="shared" si="30"/>
        <v>0</v>
      </c>
      <c r="G309">
        <f t="shared" si="31"/>
        <v>7.5</v>
      </c>
      <c r="H309" t="b">
        <f t="shared" si="32"/>
        <v>1</v>
      </c>
      <c r="I309" t="b">
        <f t="shared" si="35"/>
        <v>0</v>
      </c>
      <c r="J309" t="b">
        <f t="shared" si="33"/>
        <v>1</v>
      </c>
      <c r="K309" t="b">
        <f t="shared" si="34"/>
        <v>0</v>
      </c>
    </row>
    <row r="310" spans="2:11" x14ac:dyDescent="0.3">
      <c r="B310" s="2">
        <v>53000</v>
      </c>
      <c r="C310" s="2">
        <v>0</v>
      </c>
      <c r="D310" t="e">
        <f t="shared" si="29"/>
        <v>#DIV/0!</v>
      </c>
      <c r="F310" t="b">
        <f t="shared" si="30"/>
        <v>1</v>
      </c>
      <c r="G310" t="str">
        <f t="shared" si="31"/>
        <v>error</v>
      </c>
      <c r="H310" t="e">
        <f t="shared" si="32"/>
        <v>#DIV/0!</v>
      </c>
      <c r="I310" t="e">
        <f t="shared" si="35"/>
        <v>#DIV/0!</v>
      </c>
      <c r="J310" t="b">
        <f t="shared" si="33"/>
        <v>0</v>
      </c>
      <c r="K310" t="b">
        <f t="shared" si="34"/>
        <v>0</v>
      </c>
    </row>
    <row r="311" spans="2:11" x14ac:dyDescent="0.3">
      <c r="B311" s="2">
        <v>68000</v>
      </c>
      <c r="C311" s="2">
        <v>15000</v>
      </c>
      <c r="D311">
        <f t="shared" si="29"/>
        <v>4.5333333333333332</v>
      </c>
      <c r="F311" t="b">
        <f t="shared" si="30"/>
        <v>0</v>
      </c>
      <c r="G311">
        <f t="shared" si="31"/>
        <v>4.5333333333333332</v>
      </c>
      <c r="H311" t="b">
        <f t="shared" si="32"/>
        <v>0</v>
      </c>
      <c r="I311" t="b">
        <f t="shared" si="35"/>
        <v>1</v>
      </c>
      <c r="J311" t="b">
        <f t="shared" si="33"/>
        <v>1</v>
      </c>
      <c r="K311" t="b">
        <f t="shared" si="34"/>
        <v>0</v>
      </c>
    </row>
    <row r="312" spans="2:11" x14ac:dyDescent="0.3">
      <c r="B312" s="2">
        <v>71000</v>
      </c>
      <c r="C312" s="2">
        <v>0</v>
      </c>
      <c r="D312" t="e">
        <f t="shared" si="29"/>
        <v>#DIV/0!</v>
      </c>
      <c r="F312" t="b">
        <f t="shared" si="30"/>
        <v>1</v>
      </c>
      <c r="G312" t="str">
        <f t="shared" si="31"/>
        <v>error</v>
      </c>
      <c r="H312" t="e">
        <f t="shared" si="32"/>
        <v>#DIV/0!</v>
      </c>
      <c r="I312" t="e">
        <f t="shared" si="35"/>
        <v>#DIV/0!</v>
      </c>
      <c r="J312" t="b">
        <f t="shared" si="33"/>
        <v>0</v>
      </c>
      <c r="K312" t="b">
        <f t="shared" si="34"/>
        <v>0</v>
      </c>
    </row>
    <row r="313" spans="2:11" x14ac:dyDescent="0.3">
      <c r="B313" s="2">
        <v>56000</v>
      </c>
      <c r="C313" s="2">
        <v>10000</v>
      </c>
      <c r="D313">
        <f t="shared" si="29"/>
        <v>5.6</v>
      </c>
      <c r="F313" t="b">
        <f t="shared" si="30"/>
        <v>0</v>
      </c>
      <c r="G313">
        <f t="shared" si="31"/>
        <v>5.6</v>
      </c>
      <c r="H313" t="b">
        <f t="shared" si="32"/>
        <v>1</v>
      </c>
      <c r="I313" t="b">
        <f t="shared" si="35"/>
        <v>0</v>
      </c>
      <c r="J313" t="b">
        <f t="shared" si="33"/>
        <v>1</v>
      </c>
      <c r="K313" t="b">
        <f t="shared" si="34"/>
        <v>0</v>
      </c>
    </row>
    <row r="314" spans="2:11" x14ac:dyDescent="0.3">
      <c r="B314" s="2">
        <v>45000</v>
      </c>
      <c r="C314" s="2">
        <v>0</v>
      </c>
      <c r="D314" t="e">
        <f t="shared" si="29"/>
        <v>#DIV/0!</v>
      </c>
      <c r="F314" t="b">
        <f t="shared" si="30"/>
        <v>1</v>
      </c>
      <c r="G314" t="str">
        <f t="shared" si="31"/>
        <v>error</v>
      </c>
      <c r="H314" t="e">
        <f t="shared" si="32"/>
        <v>#DIV/0!</v>
      </c>
      <c r="I314" t="e">
        <f t="shared" si="35"/>
        <v>#DIV/0!</v>
      </c>
      <c r="J314" t="b">
        <f t="shared" si="33"/>
        <v>0</v>
      </c>
      <c r="K314" t="b">
        <f t="shared" si="34"/>
        <v>0</v>
      </c>
    </row>
    <row r="315" spans="2:11" x14ac:dyDescent="0.3">
      <c r="B315" s="2">
        <v>74000</v>
      </c>
      <c r="C315" s="2">
        <v>12000</v>
      </c>
      <c r="D315">
        <f t="shared" si="29"/>
        <v>6.166666666666667</v>
      </c>
      <c r="F315" t="b">
        <f t="shared" si="30"/>
        <v>0</v>
      </c>
      <c r="G315">
        <f t="shared" si="31"/>
        <v>6.166666666666667</v>
      </c>
      <c r="H315" t="b">
        <f t="shared" si="32"/>
        <v>0</v>
      </c>
      <c r="I315" t="b">
        <f t="shared" si="35"/>
        <v>1</v>
      </c>
      <c r="J315" t="b">
        <f t="shared" si="33"/>
        <v>1</v>
      </c>
      <c r="K315" t="b">
        <f t="shared" si="34"/>
        <v>0</v>
      </c>
    </row>
    <row r="316" spans="2:11" x14ac:dyDescent="0.3">
      <c r="B316" s="2">
        <v>63000</v>
      </c>
      <c r="C316" s="2">
        <v>0</v>
      </c>
      <c r="D316" t="e">
        <f t="shared" si="29"/>
        <v>#DIV/0!</v>
      </c>
      <c r="F316" t="b">
        <f t="shared" si="30"/>
        <v>1</v>
      </c>
      <c r="G316" t="str">
        <f t="shared" si="31"/>
        <v>error</v>
      </c>
      <c r="H316" t="e">
        <f t="shared" si="32"/>
        <v>#DIV/0!</v>
      </c>
      <c r="I316" t="e">
        <f t="shared" si="35"/>
        <v>#DIV/0!</v>
      </c>
      <c r="J316" t="b">
        <f t="shared" si="33"/>
        <v>0</v>
      </c>
      <c r="K316" t="b">
        <f t="shared" si="34"/>
        <v>0</v>
      </c>
    </row>
    <row r="317" spans="2:11" x14ac:dyDescent="0.3">
      <c r="B317" s="2">
        <v>47000</v>
      </c>
      <c r="C317" s="2">
        <v>5000</v>
      </c>
      <c r="D317">
        <f t="shared" si="29"/>
        <v>9.4</v>
      </c>
      <c r="F317" t="b">
        <f t="shared" si="30"/>
        <v>0</v>
      </c>
      <c r="G317">
        <f t="shared" si="31"/>
        <v>9.4</v>
      </c>
      <c r="H317" t="b">
        <f t="shared" si="32"/>
        <v>1</v>
      </c>
      <c r="I317" t="b">
        <f t="shared" si="35"/>
        <v>0</v>
      </c>
      <c r="J317" t="b">
        <f t="shared" si="33"/>
        <v>1</v>
      </c>
      <c r="K317" t="b">
        <f t="shared" si="34"/>
        <v>0</v>
      </c>
    </row>
    <row r="318" spans="2:11" x14ac:dyDescent="0.3">
      <c r="B318" s="2">
        <v>55000</v>
      </c>
      <c r="C318" s="2">
        <v>0</v>
      </c>
      <c r="D318" t="e">
        <f t="shared" si="29"/>
        <v>#DIV/0!</v>
      </c>
      <c r="F318" t="b">
        <f t="shared" si="30"/>
        <v>1</v>
      </c>
      <c r="G318" t="str">
        <f t="shared" si="31"/>
        <v>error</v>
      </c>
      <c r="H318" t="e">
        <f t="shared" si="32"/>
        <v>#DIV/0!</v>
      </c>
      <c r="I318" t="e">
        <f t="shared" si="35"/>
        <v>#DIV/0!</v>
      </c>
      <c r="J318" t="b">
        <f t="shared" si="33"/>
        <v>0</v>
      </c>
      <c r="K318" t="b">
        <f t="shared" si="34"/>
        <v>0</v>
      </c>
    </row>
    <row r="319" spans="2:11" x14ac:dyDescent="0.3">
      <c r="B319" s="2">
        <v>62000</v>
      </c>
      <c r="C319" s="2">
        <v>10000</v>
      </c>
      <c r="D319">
        <f t="shared" si="29"/>
        <v>6.2</v>
      </c>
      <c r="F319" t="b">
        <f t="shared" si="30"/>
        <v>0</v>
      </c>
      <c r="G319">
        <f t="shared" si="31"/>
        <v>6.2</v>
      </c>
      <c r="H319" t="b">
        <f t="shared" si="32"/>
        <v>0</v>
      </c>
      <c r="I319" t="b">
        <f t="shared" si="35"/>
        <v>1</v>
      </c>
      <c r="J319" t="b">
        <f t="shared" si="33"/>
        <v>1</v>
      </c>
      <c r="K319" t="b">
        <f t="shared" si="34"/>
        <v>0</v>
      </c>
    </row>
    <row r="320" spans="2:11" x14ac:dyDescent="0.3">
      <c r="B320" s="2">
        <v>67000</v>
      </c>
      <c r="C320" s="2">
        <v>0</v>
      </c>
      <c r="D320" t="e">
        <f t="shared" si="29"/>
        <v>#DIV/0!</v>
      </c>
      <c r="F320" t="b">
        <f t="shared" si="30"/>
        <v>1</v>
      </c>
      <c r="G320" t="str">
        <f t="shared" si="31"/>
        <v>error</v>
      </c>
      <c r="H320" t="e">
        <f t="shared" si="32"/>
        <v>#DIV/0!</v>
      </c>
      <c r="I320" t="e">
        <f t="shared" si="35"/>
        <v>#DIV/0!</v>
      </c>
      <c r="J320" t="b">
        <f t="shared" si="33"/>
        <v>0</v>
      </c>
      <c r="K320" t="b">
        <f t="shared" si="34"/>
        <v>0</v>
      </c>
    </row>
    <row r="321" spans="2:11" x14ac:dyDescent="0.3">
      <c r="B321" s="2">
        <v>49000</v>
      </c>
      <c r="C321" s="2">
        <v>7000</v>
      </c>
      <c r="D321">
        <f t="shared" si="29"/>
        <v>7</v>
      </c>
      <c r="F321" t="b">
        <f t="shared" si="30"/>
        <v>0</v>
      </c>
      <c r="G321">
        <f t="shared" si="31"/>
        <v>7</v>
      </c>
      <c r="H321" t="b">
        <f t="shared" si="32"/>
        <v>1</v>
      </c>
      <c r="I321" t="b">
        <f t="shared" si="35"/>
        <v>0</v>
      </c>
      <c r="J321" t="b">
        <f t="shared" si="33"/>
        <v>1</v>
      </c>
      <c r="K321" t="b">
        <f t="shared" si="34"/>
        <v>0</v>
      </c>
    </row>
    <row r="322" spans="2:11" x14ac:dyDescent="0.3">
      <c r="B322" s="2">
        <v>71000</v>
      </c>
      <c r="C322" s="2">
        <v>0</v>
      </c>
      <c r="D322" t="e">
        <f t="shared" si="29"/>
        <v>#DIV/0!</v>
      </c>
      <c r="F322" t="b">
        <f t="shared" si="30"/>
        <v>1</v>
      </c>
      <c r="G322" t="str">
        <f t="shared" si="31"/>
        <v>error</v>
      </c>
      <c r="H322" t="e">
        <f t="shared" si="32"/>
        <v>#DIV/0!</v>
      </c>
      <c r="I322" t="e">
        <f t="shared" si="35"/>
        <v>#DIV/0!</v>
      </c>
      <c r="J322" t="b">
        <f t="shared" si="33"/>
        <v>0</v>
      </c>
      <c r="K322" t="b">
        <f t="shared" si="34"/>
        <v>0</v>
      </c>
    </row>
    <row r="323" spans="2:11" x14ac:dyDescent="0.3">
      <c r="B323" s="2">
        <v>73000</v>
      </c>
      <c r="C323" s="2">
        <v>13000</v>
      </c>
      <c r="D323">
        <f t="shared" si="29"/>
        <v>5.615384615384615</v>
      </c>
      <c r="F323" t="b">
        <f t="shared" si="30"/>
        <v>0</v>
      </c>
      <c r="G323">
        <f t="shared" si="31"/>
        <v>5.615384615384615</v>
      </c>
      <c r="H323" t="b">
        <f t="shared" si="32"/>
        <v>1</v>
      </c>
      <c r="I323" t="b">
        <f t="shared" si="35"/>
        <v>0</v>
      </c>
      <c r="J323" t="b">
        <f t="shared" si="33"/>
        <v>1</v>
      </c>
      <c r="K323" t="b">
        <f t="shared" si="34"/>
        <v>0</v>
      </c>
    </row>
    <row r="324" spans="2:11" x14ac:dyDescent="0.3">
      <c r="B324" s="2">
        <v>47000</v>
      </c>
      <c r="C324" s="2">
        <v>0</v>
      </c>
      <c r="D324" t="e">
        <f t="shared" si="29"/>
        <v>#DIV/0!</v>
      </c>
      <c r="F324" t="b">
        <f t="shared" si="30"/>
        <v>1</v>
      </c>
      <c r="G324" t="str">
        <f t="shared" si="31"/>
        <v>error</v>
      </c>
      <c r="H324" t="e">
        <f t="shared" si="32"/>
        <v>#DIV/0!</v>
      </c>
      <c r="I324" t="e">
        <f t="shared" si="35"/>
        <v>#DIV/0!</v>
      </c>
      <c r="J324" t="b">
        <f t="shared" si="33"/>
        <v>0</v>
      </c>
      <c r="K324" t="b">
        <f t="shared" si="34"/>
        <v>0</v>
      </c>
    </row>
    <row r="325" spans="2:11" x14ac:dyDescent="0.3">
      <c r="B325" s="2">
        <v>53000</v>
      </c>
      <c r="C325" s="2">
        <v>8000</v>
      </c>
      <c r="D325">
        <f t="shared" si="29"/>
        <v>6.625</v>
      </c>
      <c r="F325" t="b">
        <f t="shared" si="30"/>
        <v>0</v>
      </c>
      <c r="G325">
        <f t="shared" si="31"/>
        <v>6.625</v>
      </c>
      <c r="H325" t="b">
        <f t="shared" si="32"/>
        <v>0</v>
      </c>
      <c r="I325" t="b">
        <f t="shared" si="35"/>
        <v>1</v>
      </c>
      <c r="J325" t="b">
        <f t="shared" si="33"/>
        <v>1</v>
      </c>
      <c r="K325" t="b">
        <f t="shared" si="34"/>
        <v>0</v>
      </c>
    </row>
    <row r="326" spans="2:11" x14ac:dyDescent="0.3">
      <c r="B326" s="2">
        <v>69000</v>
      </c>
      <c r="C326" s="2">
        <v>0</v>
      </c>
      <c r="D326" t="e">
        <f t="shared" si="29"/>
        <v>#DIV/0!</v>
      </c>
      <c r="F326" t="b">
        <f t="shared" si="30"/>
        <v>1</v>
      </c>
      <c r="G326" t="str">
        <f t="shared" si="31"/>
        <v>error</v>
      </c>
      <c r="H326" t="e">
        <f t="shared" si="32"/>
        <v>#DIV/0!</v>
      </c>
      <c r="I326" t="e">
        <f t="shared" si="35"/>
        <v>#DIV/0!</v>
      </c>
      <c r="J326" t="b">
        <f t="shared" si="33"/>
        <v>0</v>
      </c>
      <c r="K326" t="b">
        <f t="shared" si="34"/>
        <v>0</v>
      </c>
    </row>
    <row r="327" spans="2:11" x14ac:dyDescent="0.3">
      <c r="B327" s="2">
        <v>45000</v>
      </c>
      <c r="C327" s="2">
        <v>5000</v>
      </c>
      <c r="D327">
        <f t="shared" si="29"/>
        <v>9</v>
      </c>
      <c r="F327" t="b">
        <f t="shared" si="30"/>
        <v>0</v>
      </c>
      <c r="G327">
        <f t="shared" si="31"/>
        <v>9</v>
      </c>
      <c r="H327" t="b">
        <f t="shared" si="32"/>
        <v>1</v>
      </c>
      <c r="I327" t="b">
        <f t="shared" si="35"/>
        <v>0</v>
      </c>
      <c r="J327" t="b">
        <f t="shared" si="33"/>
        <v>1</v>
      </c>
      <c r="K327" t="b">
        <f t="shared" si="34"/>
        <v>0</v>
      </c>
    </row>
    <row r="328" spans="2:11" x14ac:dyDescent="0.3">
      <c r="B328" s="2">
        <v>74000</v>
      </c>
      <c r="C328" s="2">
        <v>0</v>
      </c>
      <c r="D328" t="e">
        <f t="shared" si="29"/>
        <v>#DIV/0!</v>
      </c>
      <c r="F328" t="b">
        <f t="shared" si="30"/>
        <v>1</v>
      </c>
      <c r="G328" t="str">
        <f t="shared" si="31"/>
        <v>error</v>
      </c>
      <c r="H328" t="e">
        <f t="shared" si="32"/>
        <v>#DIV/0!</v>
      </c>
      <c r="I328" t="e">
        <f t="shared" si="35"/>
        <v>#DIV/0!</v>
      </c>
      <c r="J328" t="b">
        <f t="shared" si="33"/>
        <v>0</v>
      </c>
      <c r="K328" t="b">
        <f t="shared" si="34"/>
        <v>0</v>
      </c>
    </row>
    <row r="329" spans="2:11" x14ac:dyDescent="0.3">
      <c r="B329" s="2">
        <v>60000</v>
      </c>
      <c r="C329" s="2">
        <v>8000</v>
      </c>
      <c r="D329">
        <f t="shared" si="29"/>
        <v>7.5</v>
      </c>
      <c r="F329" t="b">
        <f t="shared" si="30"/>
        <v>0</v>
      </c>
      <c r="G329">
        <f t="shared" si="31"/>
        <v>7.5</v>
      </c>
      <c r="H329" t="b">
        <f t="shared" si="32"/>
        <v>1</v>
      </c>
      <c r="I329" t="b">
        <f t="shared" si="35"/>
        <v>0</v>
      </c>
      <c r="J329" t="b">
        <f t="shared" si="33"/>
        <v>1</v>
      </c>
      <c r="K329" t="b">
        <f t="shared" si="34"/>
        <v>0</v>
      </c>
    </row>
    <row r="330" spans="2:11" x14ac:dyDescent="0.3">
      <c r="B330" s="2">
        <v>55000</v>
      </c>
      <c r="C330" s="2">
        <v>0</v>
      </c>
      <c r="D330" t="e">
        <f t="shared" si="29"/>
        <v>#DIV/0!</v>
      </c>
      <c r="F330" t="b">
        <f t="shared" si="30"/>
        <v>1</v>
      </c>
      <c r="G330" t="str">
        <f t="shared" si="31"/>
        <v>error</v>
      </c>
      <c r="H330" t="e">
        <f t="shared" si="32"/>
        <v>#DIV/0!</v>
      </c>
      <c r="I330" t="e">
        <f t="shared" si="35"/>
        <v>#DIV/0!</v>
      </c>
      <c r="J330" t="b">
        <f t="shared" si="33"/>
        <v>0</v>
      </c>
      <c r="K330" t="b">
        <f t="shared" si="34"/>
        <v>0</v>
      </c>
    </row>
    <row r="331" spans="2:11" x14ac:dyDescent="0.3">
      <c r="B331" s="2">
        <v>62000</v>
      </c>
      <c r="C331" s="2">
        <v>0</v>
      </c>
      <c r="D331" t="e">
        <f t="shared" si="29"/>
        <v>#DIV/0!</v>
      </c>
      <c r="F331" t="b">
        <f t="shared" si="30"/>
        <v>1</v>
      </c>
      <c r="G331" t="str">
        <f t="shared" si="31"/>
        <v>error</v>
      </c>
      <c r="H331" t="e">
        <f t="shared" si="32"/>
        <v>#DIV/0!</v>
      </c>
      <c r="I331" t="e">
        <f t="shared" si="35"/>
        <v>#DIV/0!</v>
      </c>
      <c r="J331" t="b">
        <f t="shared" si="33"/>
        <v>0</v>
      </c>
      <c r="K331" t="b">
        <f t="shared" si="34"/>
        <v>0</v>
      </c>
    </row>
    <row r="332" spans="2:11" x14ac:dyDescent="0.3">
      <c r="B332" s="2">
        <v>75000</v>
      </c>
      <c r="C332" s="2">
        <v>0</v>
      </c>
      <c r="D332" t="e">
        <f t="shared" si="29"/>
        <v>#DIV/0!</v>
      </c>
      <c r="F332" t="b">
        <f t="shared" si="30"/>
        <v>1</v>
      </c>
      <c r="G332" t="str">
        <f t="shared" si="31"/>
        <v>error</v>
      </c>
      <c r="H332" t="e">
        <f t="shared" si="32"/>
        <v>#DIV/0!</v>
      </c>
      <c r="I332" t="e">
        <f t="shared" si="35"/>
        <v>#DIV/0!</v>
      </c>
      <c r="J332" t="b">
        <f t="shared" si="33"/>
        <v>0</v>
      </c>
      <c r="K332" t="b">
        <f t="shared" si="34"/>
        <v>0</v>
      </c>
    </row>
    <row r="333" spans="2:11" x14ac:dyDescent="0.3">
      <c r="B333" s="2">
        <v>48000</v>
      </c>
      <c r="C333" s="2">
        <v>0</v>
      </c>
      <c r="D333" t="e">
        <f t="shared" si="29"/>
        <v>#DIV/0!</v>
      </c>
      <c r="F333" t="b">
        <f t="shared" si="30"/>
        <v>1</v>
      </c>
      <c r="G333" t="str">
        <f t="shared" si="31"/>
        <v>error</v>
      </c>
      <c r="H333" t="e">
        <f t="shared" si="32"/>
        <v>#DIV/0!</v>
      </c>
      <c r="I333" t="e">
        <f t="shared" si="35"/>
        <v>#DIV/0!</v>
      </c>
      <c r="J333" t="b">
        <f t="shared" si="33"/>
        <v>0</v>
      </c>
      <c r="K333" t="b">
        <f t="shared" si="34"/>
        <v>0</v>
      </c>
    </row>
    <row r="334" spans="2:11" x14ac:dyDescent="0.3">
      <c r="B334" s="2">
        <v>58000</v>
      </c>
      <c r="C334" s="2">
        <v>0</v>
      </c>
      <c r="D334" t="e">
        <f t="shared" si="29"/>
        <v>#DIV/0!</v>
      </c>
      <c r="F334" t="b">
        <f t="shared" si="30"/>
        <v>1</v>
      </c>
      <c r="G334" t="str">
        <f t="shared" si="31"/>
        <v>error</v>
      </c>
      <c r="H334" t="e">
        <f t="shared" si="32"/>
        <v>#DIV/0!</v>
      </c>
      <c r="I334" t="e">
        <f t="shared" si="35"/>
        <v>#DIV/0!</v>
      </c>
      <c r="J334" t="b">
        <f t="shared" si="33"/>
        <v>0</v>
      </c>
      <c r="K334" t="b">
        <f t="shared" si="34"/>
        <v>0</v>
      </c>
    </row>
    <row r="335" spans="2:11" x14ac:dyDescent="0.3">
      <c r="B335" s="2">
        <v>70000</v>
      </c>
      <c r="C335" s="2">
        <v>0</v>
      </c>
      <c r="D335" t="e">
        <f t="shared" si="29"/>
        <v>#DIV/0!</v>
      </c>
      <c r="F335" t="b">
        <f t="shared" si="30"/>
        <v>1</v>
      </c>
      <c r="G335" t="str">
        <f t="shared" si="31"/>
        <v>error</v>
      </c>
      <c r="H335" t="e">
        <f t="shared" si="32"/>
        <v>#DIV/0!</v>
      </c>
      <c r="I335" t="e">
        <f t="shared" si="35"/>
        <v>#DIV/0!</v>
      </c>
      <c r="J335" t="b">
        <f t="shared" si="33"/>
        <v>0</v>
      </c>
      <c r="K335" t="b">
        <f t="shared" si="34"/>
        <v>0</v>
      </c>
    </row>
    <row r="336" spans="2:11" x14ac:dyDescent="0.3">
      <c r="B336" s="2">
        <v>82000</v>
      </c>
      <c r="C336" s="2">
        <v>0</v>
      </c>
      <c r="D336" t="e">
        <f t="shared" si="29"/>
        <v>#DIV/0!</v>
      </c>
      <c r="F336" t="b">
        <f t="shared" si="30"/>
        <v>1</v>
      </c>
      <c r="G336" t="str">
        <f t="shared" si="31"/>
        <v>error</v>
      </c>
      <c r="H336" t="e">
        <f t="shared" si="32"/>
        <v>#DIV/0!</v>
      </c>
      <c r="I336" t="e">
        <f t="shared" si="35"/>
        <v>#DIV/0!</v>
      </c>
      <c r="J336" t="b">
        <f t="shared" si="33"/>
        <v>0</v>
      </c>
      <c r="K336" t="b">
        <f t="shared" si="34"/>
        <v>0</v>
      </c>
    </row>
    <row r="337" spans="2:11" x14ac:dyDescent="0.3">
      <c r="B337" s="2">
        <v>43000</v>
      </c>
      <c r="C337" s="2">
        <v>0</v>
      </c>
      <c r="D337" t="e">
        <f t="shared" si="29"/>
        <v>#DIV/0!</v>
      </c>
      <c r="F337" t="b">
        <f t="shared" si="30"/>
        <v>1</v>
      </c>
      <c r="G337" t="str">
        <f t="shared" si="31"/>
        <v>error</v>
      </c>
      <c r="H337" t="e">
        <f t="shared" si="32"/>
        <v>#DIV/0!</v>
      </c>
      <c r="I337" t="e">
        <f t="shared" si="35"/>
        <v>#DIV/0!</v>
      </c>
      <c r="J337" t="b">
        <f t="shared" si="33"/>
        <v>0</v>
      </c>
      <c r="K337" t="b">
        <f t="shared" si="34"/>
        <v>0</v>
      </c>
    </row>
    <row r="338" spans="2:11" x14ac:dyDescent="0.3">
      <c r="B338" s="2">
        <v>55000</v>
      </c>
      <c r="C338" s="2">
        <v>13000</v>
      </c>
      <c r="D338">
        <f t="shared" si="29"/>
        <v>4.2307692307692308</v>
      </c>
      <c r="F338" t="b">
        <f t="shared" si="30"/>
        <v>0</v>
      </c>
      <c r="G338">
        <f t="shared" si="31"/>
        <v>4.2307692307692308</v>
      </c>
      <c r="H338" t="b">
        <f t="shared" si="32"/>
        <v>0</v>
      </c>
      <c r="I338" t="b">
        <f t="shared" si="35"/>
        <v>1</v>
      </c>
      <c r="J338" t="b">
        <f t="shared" si="33"/>
        <v>1</v>
      </c>
      <c r="K338" t="b">
        <f t="shared" si="34"/>
        <v>0</v>
      </c>
    </row>
    <row r="339" spans="2:11" x14ac:dyDescent="0.3">
      <c r="B339" s="2">
        <v>65000</v>
      </c>
      <c r="C339" s="2">
        <v>0</v>
      </c>
      <c r="D339" t="e">
        <f t="shared" si="29"/>
        <v>#DIV/0!</v>
      </c>
      <c r="F339" t="b">
        <f t="shared" si="30"/>
        <v>1</v>
      </c>
      <c r="G339" t="str">
        <f t="shared" si="31"/>
        <v>error</v>
      </c>
      <c r="H339" t="e">
        <f t="shared" si="32"/>
        <v>#DIV/0!</v>
      </c>
      <c r="I339" t="e">
        <f t="shared" si="35"/>
        <v>#DIV/0!</v>
      </c>
      <c r="J339" t="b">
        <f t="shared" si="33"/>
        <v>0</v>
      </c>
      <c r="K339" t="b">
        <f t="shared" si="34"/>
        <v>0</v>
      </c>
    </row>
    <row r="340" spans="2:11" x14ac:dyDescent="0.3">
      <c r="B340" s="2">
        <v>47000</v>
      </c>
      <c r="C340" s="2">
        <v>0</v>
      </c>
      <c r="D340" t="e">
        <f t="shared" si="29"/>
        <v>#DIV/0!</v>
      </c>
      <c r="F340" t="b">
        <f t="shared" si="30"/>
        <v>1</v>
      </c>
      <c r="G340" t="str">
        <f t="shared" si="31"/>
        <v>error</v>
      </c>
      <c r="H340" t="e">
        <f t="shared" si="32"/>
        <v>#DIV/0!</v>
      </c>
      <c r="I340" t="e">
        <f t="shared" si="35"/>
        <v>#DIV/0!</v>
      </c>
      <c r="J340" t="b">
        <f t="shared" si="33"/>
        <v>0</v>
      </c>
      <c r="K340" t="b">
        <f t="shared" si="34"/>
        <v>0</v>
      </c>
    </row>
    <row r="341" spans="2:11" x14ac:dyDescent="0.3">
      <c r="B341" s="2">
        <v>72000</v>
      </c>
      <c r="C341" s="2">
        <v>0</v>
      </c>
      <c r="D341" t="e">
        <f t="shared" si="29"/>
        <v>#DIV/0!</v>
      </c>
      <c r="F341" t="b">
        <f t="shared" si="30"/>
        <v>1</v>
      </c>
      <c r="G341" t="str">
        <f t="shared" si="31"/>
        <v>error</v>
      </c>
      <c r="H341" t="e">
        <f t="shared" si="32"/>
        <v>#DIV/0!</v>
      </c>
      <c r="I341" t="e">
        <f t="shared" si="35"/>
        <v>#DIV/0!</v>
      </c>
      <c r="J341" t="b">
        <f t="shared" si="33"/>
        <v>0</v>
      </c>
      <c r="K341" t="b">
        <f t="shared" si="34"/>
        <v>0</v>
      </c>
    </row>
    <row r="342" spans="2:11" x14ac:dyDescent="0.3">
      <c r="B342" s="2">
        <v>53000</v>
      </c>
      <c r="C342" s="2">
        <v>0</v>
      </c>
      <c r="D342" t="e">
        <f t="shared" si="29"/>
        <v>#DIV/0!</v>
      </c>
      <c r="F342" t="b">
        <f t="shared" si="30"/>
        <v>1</v>
      </c>
      <c r="G342" t="str">
        <f t="shared" si="31"/>
        <v>error</v>
      </c>
      <c r="H342" t="e">
        <f t="shared" si="32"/>
        <v>#DIV/0!</v>
      </c>
      <c r="I342" t="e">
        <f t="shared" si="35"/>
        <v>#DIV/0!</v>
      </c>
      <c r="J342" t="b">
        <f t="shared" si="33"/>
        <v>0</v>
      </c>
      <c r="K342" t="b">
        <f t="shared" si="34"/>
        <v>0</v>
      </c>
    </row>
    <row r="343" spans="2:11" x14ac:dyDescent="0.3">
      <c r="B343" s="2">
        <v>60000</v>
      </c>
      <c r="C343" s="2">
        <v>0</v>
      </c>
      <c r="D343" t="e">
        <f t="shared" si="29"/>
        <v>#DIV/0!</v>
      </c>
      <c r="F343" t="b">
        <f t="shared" si="30"/>
        <v>1</v>
      </c>
      <c r="G343" t="str">
        <f t="shared" si="31"/>
        <v>error</v>
      </c>
      <c r="H343" t="e">
        <f t="shared" si="32"/>
        <v>#DIV/0!</v>
      </c>
      <c r="I343" t="e">
        <f t="shared" si="35"/>
        <v>#DIV/0!</v>
      </c>
      <c r="J343" t="b">
        <f t="shared" si="33"/>
        <v>0</v>
      </c>
      <c r="K343" t="b">
        <f t="shared" si="34"/>
        <v>0</v>
      </c>
    </row>
    <row r="344" spans="2:11" x14ac:dyDescent="0.3">
      <c r="B344" s="2">
        <v>85000</v>
      </c>
      <c r="C344" s="2">
        <v>0</v>
      </c>
      <c r="D344" t="e">
        <f t="shared" si="29"/>
        <v>#DIV/0!</v>
      </c>
      <c r="F344" t="b">
        <f t="shared" si="30"/>
        <v>1</v>
      </c>
      <c r="G344" t="str">
        <f t="shared" si="31"/>
        <v>error</v>
      </c>
      <c r="H344" t="e">
        <f t="shared" si="32"/>
        <v>#DIV/0!</v>
      </c>
      <c r="I344" t="e">
        <f t="shared" si="35"/>
        <v>#DIV/0!</v>
      </c>
      <c r="J344" t="b">
        <f t="shared" si="33"/>
        <v>0</v>
      </c>
      <c r="K344" t="b">
        <f t="shared" si="34"/>
        <v>0</v>
      </c>
    </row>
    <row r="345" spans="2:11" x14ac:dyDescent="0.3">
      <c r="B345" s="2">
        <v>49000</v>
      </c>
      <c r="C345" s="2">
        <v>0</v>
      </c>
      <c r="D345" t="e">
        <f t="shared" si="29"/>
        <v>#DIV/0!</v>
      </c>
      <c r="F345" t="b">
        <f t="shared" si="30"/>
        <v>1</v>
      </c>
      <c r="G345" t="str">
        <f t="shared" si="31"/>
        <v>error</v>
      </c>
      <c r="H345" t="e">
        <f t="shared" si="32"/>
        <v>#DIV/0!</v>
      </c>
      <c r="I345" t="e">
        <f t="shared" si="35"/>
        <v>#DIV/0!</v>
      </c>
      <c r="J345" t="b">
        <f t="shared" si="33"/>
        <v>0</v>
      </c>
      <c r="K345" t="b">
        <f t="shared" si="34"/>
        <v>0</v>
      </c>
    </row>
    <row r="346" spans="2:11" x14ac:dyDescent="0.3">
      <c r="B346" s="2">
        <v>45000</v>
      </c>
      <c r="C346" s="2">
        <v>0</v>
      </c>
      <c r="D346" t="e">
        <f t="shared" si="29"/>
        <v>#DIV/0!</v>
      </c>
      <c r="F346" t="b">
        <f t="shared" si="30"/>
        <v>1</v>
      </c>
      <c r="G346" t="str">
        <f t="shared" si="31"/>
        <v>error</v>
      </c>
      <c r="H346" t="e">
        <f t="shared" si="32"/>
        <v>#DIV/0!</v>
      </c>
      <c r="I346" t="e">
        <f t="shared" si="35"/>
        <v>#DIV/0!</v>
      </c>
      <c r="J346" t="b">
        <f t="shared" si="33"/>
        <v>0</v>
      </c>
      <c r="K346" t="b">
        <f t="shared" si="34"/>
        <v>0</v>
      </c>
    </row>
    <row r="347" spans="2:11" x14ac:dyDescent="0.3">
      <c r="B347" s="2">
        <v>77000</v>
      </c>
      <c r="C347" s="2">
        <v>0</v>
      </c>
      <c r="D347" t="e">
        <f t="shared" si="29"/>
        <v>#DIV/0!</v>
      </c>
      <c r="F347" t="b">
        <f t="shared" si="30"/>
        <v>1</v>
      </c>
      <c r="G347" t="str">
        <f t="shared" si="31"/>
        <v>error</v>
      </c>
      <c r="H347" t="e">
        <f t="shared" si="32"/>
        <v>#DIV/0!</v>
      </c>
      <c r="I347" t="e">
        <f t="shared" si="35"/>
        <v>#DIV/0!</v>
      </c>
      <c r="J347" t="b">
        <f t="shared" si="33"/>
        <v>0</v>
      </c>
      <c r="K347" t="b">
        <f t="shared" si="34"/>
        <v>0</v>
      </c>
    </row>
    <row r="348" spans="2:11" x14ac:dyDescent="0.3">
      <c r="B348" s="2">
        <v>50000</v>
      </c>
      <c r="C348" s="2">
        <v>0</v>
      </c>
      <c r="D348" t="e">
        <f t="shared" si="29"/>
        <v>#DIV/0!</v>
      </c>
      <c r="F348" t="b">
        <f t="shared" si="30"/>
        <v>1</v>
      </c>
      <c r="G348" t="str">
        <f t="shared" si="31"/>
        <v>error</v>
      </c>
      <c r="H348" t="e">
        <f t="shared" si="32"/>
        <v>#DIV/0!</v>
      </c>
      <c r="I348" t="e">
        <f t="shared" si="35"/>
        <v>#DIV/0!</v>
      </c>
      <c r="J348" t="b">
        <f t="shared" si="33"/>
        <v>0</v>
      </c>
      <c r="K348" t="b">
        <f t="shared" si="34"/>
        <v>0</v>
      </c>
    </row>
    <row r="349" spans="2:11" x14ac:dyDescent="0.3">
      <c r="B349" s="2">
        <v>69000</v>
      </c>
      <c r="C349" s="2">
        <v>0</v>
      </c>
      <c r="D349" t="e">
        <f t="shared" ref="D349:D376" si="36">B349/C349</f>
        <v>#DIV/0!</v>
      </c>
      <c r="F349" t="b">
        <f t="shared" ref="F349:F376" si="37">ISERROR(D349)</f>
        <v>1</v>
      </c>
      <c r="G349" t="str">
        <f t="shared" ref="G349:G376" si="38">IFERROR(D349,"error")</f>
        <v>error</v>
      </c>
      <c r="H349" t="e">
        <f t="shared" ref="H349:H376" si="39">ISODD(D349)</f>
        <v>#DIV/0!</v>
      </c>
      <c r="I349" t="e">
        <f t="shared" si="35"/>
        <v>#DIV/0!</v>
      </c>
      <c r="J349" t="b">
        <f t="shared" ref="J349:J376" si="40">ISNUMBER(D349)</f>
        <v>0</v>
      </c>
      <c r="K349" t="b">
        <f t="shared" ref="K349:K376" si="41">ISTEXT(D349)</f>
        <v>0</v>
      </c>
    </row>
    <row r="350" spans="2:11" x14ac:dyDescent="0.3">
      <c r="B350" s="2">
        <v>54000</v>
      </c>
      <c r="C350" s="2">
        <v>0</v>
      </c>
      <c r="D350" t="e">
        <f t="shared" si="36"/>
        <v>#DIV/0!</v>
      </c>
      <c r="F350" t="b">
        <f t="shared" si="37"/>
        <v>1</v>
      </c>
      <c r="G350" t="str">
        <f t="shared" si="38"/>
        <v>error</v>
      </c>
      <c r="H350" t="e">
        <f t="shared" si="39"/>
        <v>#DIV/0!</v>
      </c>
      <c r="I350" t="e">
        <f t="shared" si="35"/>
        <v>#DIV/0!</v>
      </c>
      <c r="J350" t="b">
        <f t="shared" si="40"/>
        <v>0</v>
      </c>
      <c r="K350" t="b">
        <f t="shared" si="41"/>
        <v>0</v>
      </c>
    </row>
    <row r="351" spans="2:11" x14ac:dyDescent="0.3">
      <c r="B351" s="2">
        <v>74000</v>
      </c>
      <c r="C351" s="2">
        <v>0</v>
      </c>
      <c r="D351" t="e">
        <f t="shared" si="36"/>
        <v>#DIV/0!</v>
      </c>
      <c r="F351" t="b">
        <f t="shared" si="37"/>
        <v>1</v>
      </c>
      <c r="G351" t="str">
        <f t="shared" si="38"/>
        <v>error</v>
      </c>
      <c r="H351" t="e">
        <f t="shared" si="39"/>
        <v>#DIV/0!</v>
      </c>
      <c r="I351" t="e">
        <f t="shared" si="35"/>
        <v>#DIV/0!</v>
      </c>
      <c r="J351" t="b">
        <f t="shared" si="40"/>
        <v>0</v>
      </c>
      <c r="K351" t="b">
        <f t="shared" si="41"/>
        <v>0</v>
      </c>
    </row>
    <row r="352" spans="2:11" x14ac:dyDescent="0.3">
      <c r="B352" s="2">
        <v>68000</v>
      </c>
      <c r="C352" s="2">
        <v>0</v>
      </c>
      <c r="D352" t="e">
        <f t="shared" si="36"/>
        <v>#DIV/0!</v>
      </c>
      <c r="F352" t="b">
        <f t="shared" si="37"/>
        <v>1</v>
      </c>
      <c r="G352" t="str">
        <f t="shared" si="38"/>
        <v>error</v>
      </c>
      <c r="H352" t="e">
        <f t="shared" si="39"/>
        <v>#DIV/0!</v>
      </c>
      <c r="I352" t="e">
        <f t="shared" ref="I352:I376" si="42">ISEVEN(D352)</f>
        <v>#DIV/0!</v>
      </c>
      <c r="J352" t="b">
        <f t="shared" si="40"/>
        <v>0</v>
      </c>
      <c r="K352" t="b">
        <f t="shared" si="41"/>
        <v>0</v>
      </c>
    </row>
    <row r="353" spans="2:11" x14ac:dyDescent="0.3">
      <c r="B353" s="2">
        <v>45000</v>
      </c>
      <c r="C353" s="2">
        <v>0</v>
      </c>
      <c r="D353" t="e">
        <f t="shared" si="36"/>
        <v>#DIV/0!</v>
      </c>
      <c r="F353" t="b">
        <f t="shared" si="37"/>
        <v>1</v>
      </c>
      <c r="G353" t="str">
        <f t="shared" si="38"/>
        <v>error</v>
      </c>
      <c r="H353" t="e">
        <f t="shared" si="39"/>
        <v>#DIV/0!</v>
      </c>
      <c r="I353" t="e">
        <f t="shared" si="42"/>
        <v>#DIV/0!</v>
      </c>
      <c r="J353" t="b">
        <f t="shared" si="40"/>
        <v>0</v>
      </c>
      <c r="K353" t="b">
        <f t="shared" si="41"/>
        <v>0</v>
      </c>
    </row>
    <row r="354" spans="2:11" x14ac:dyDescent="0.3">
      <c r="B354" s="2">
        <v>80000</v>
      </c>
      <c r="C354" s="2">
        <v>0</v>
      </c>
      <c r="D354" t="e">
        <f t="shared" si="36"/>
        <v>#DIV/0!</v>
      </c>
      <c r="F354" t="b">
        <f t="shared" si="37"/>
        <v>1</v>
      </c>
      <c r="G354" t="str">
        <f t="shared" si="38"/>
        <v>error</v>
      </c>
      <c r="H354" t="e">
        <f t="shared" si="39"/>
        <v>#DIV/0!</v>
      </c>
      <c r="I354" t="e">
        <f t="shared" si="42"/>
        <v>#DIV/0!</v>
      </c>
      <c r="J354" t="b">
        <f t="shared" si="40"/>
        <v>0</v>
      </c>
      <c r="K354" t="b">
        <f t="shared" si="41"/>
        <v>0</v>
      </c>
    </row>
    <row r="355" spans="2:11" x14ac:dyDescent="0.3">
      <c r="B355" s="2">
        <v>47000</v>
      </c>
      <c r="C355" s="2">
        <v>0</v>
      </c>
      <c r="D355" t="e">
        <f t="shared" si="36"/>
        <v>#DIV/0!</v>
      </c>
      <c r="F355" t="b">
        <f t="shared" si="37"/>
        <v>1</v>
      </c>
      <c r="G355" t="str">
        <f t="shared" si="38"/>
        <v>error</v>
      </c>
      <c r="H355" t="e">
        <f t="shared" si="39"/>
        <v>#DIV/0!</v>
      </c>
      <c r="I355" t="e">
        <f t="shared" si="42"/>
        <v>#DIV/0!</v>
      </c>
      <c r="J355" t="b">
        <f t="shared" si="40"/>
        <v>0</v>
      </c>
      <c r="K355" t="b">
        <f t="shared" si="41"/>
        <v>0</v>
      </c>
    </row>
    <row r="356" spans="2:11" x14ac:dyDescent="0.3">
      <c r="B356" s="2">
        <v>53000</v>
      </c>
      <c r="C356" s="2">
        <v>0</v>
      </c>
      <c r="D356" t="e">
        <f t="shared" si="36"/>
        <v>#DIV/0!</v>
      </c>
      <c r="F356" t="b">
        <f t="shared" si="37"/>
        <v>1</v>
      </c>
      <c r="G356" t="str">
        <f t="shared" si="38"/>
        <v>error</v>
      </c>
      <c r="H356" t="e">
        <f t="shared" si="39"/>
        <v>#DIV/0!</v>
      </c>
      <c r="I356" t="e">
        <f t="shared" si="42"/>
        <v>#DIV/0!</v>
      </c>
      <c r="J356" t="b">
        <f t="shared" si="40"/>
        <v>0</v>
      </c>
      <c r="K356" t="b">
        <f t="shared" si="41"/>
        <v>0</v>
      </c>
    </row>
    <row r="357" spans="2:11" x14ac:dyDescent="0.3">
      <c r="B357" s="2">
        <v>71000</v>
      </c>
      <c r="C357" s="2">
        <v>0</v>
      </c>
      <c r="D357" t="e">
        <f t="shared" si="36"/>
        <v>#DIV/0!</v>
      </c>
      <c r="F357" t="b">
        <f t="shared" si="37"/>
        <v>1</v>
      </c>
      <c r="G357" t="str">
        <f t="shared" si="38"/>
        <v>error</v>
      </c>
      <c r="H357" t="e">
        <f t="shared" si="39"/>
        <v>#DIV/0!</v>
      </c>
      <c r="I357" t="e">
        <f t="shared" si="42"/>
        <v>#DIV/0!</v>
      </c>
      <c r="J357" t="b">
        <f t="shared" si="40"/>
        <v>0</v>
      </c>
      <c r="K357" t="b">
        <f t="shared" si="41"/>
        <v>0</v>
      </c>
    </row>
    <row r="358" spans="2:11" x14ac:dyDescent="0.3">
      <c r="B358" s="2">
        <v>67000</v>
      </c>
      <c r="C358" s="2">
        <v>0</v>
      </c>
      <c r="D358" t="e">
        <f t="shared" si="36"/>
        <v>#DIV/0!</v>
      </c>
      <c r="F358" t="b">
        <f t="shared" si="37"/>
        <v>1</v>
      </c>
      <c r="G358" t="str">
        <f t="shared" si="38"/>
        <v>error</v>
      </c>
      <c r="H358" t="e">
        <f t="shared" si="39"/>
        <v>#DIV/0!</v>
      </c>
      <c r="I358" t="e">
        <f t="shared" si="42"/>
        <v>#DIV/0!</v>
      </c>
      <c r="J358" t="b">
        <f t="shared" si="40"/>
        <v>0</v>
      </c>
      <c r="K358" t="b">
        <f t="shared" si="41"/>
        <v>0</v>
      </c>
    </row>
    <row r="359" spans="2:11" x14ac:dyDescent="0.3">
      <c r="B359" s="2">
        <v>55000</v>
      </c>
      <c r="C359" s="2">
        <v>0</v>
      </c>
      <c r="D359" t="e">
        <f t="shared" si="36"/>
        <v>#DIV/0!</v>
      </c>
      <c r="F359" t="b">
        <f t="shared" si="37"/>
        <v>1</v>
      </c>
      <c r="G359" t="str">
        <f t="shared" si="38"/>
        <v>error</v>
      </c>
      <c r="H359" t="e">
        <f t="shared" si="39"/>
        <v>#DIV/0!</v>
      </c>
      <c r="I359" t="e">
        <f t="shared" si="42"/>
        <v>#DIV/0!</v>
      </c>
      <c r="J359" t="b">
        <f t="shared" si="40"/>
        <v>0</v>
      </c>
      <c r="K359" t="b">
        <f t="shared" si="41"/>
        <v>0</v>
      </c>
    </row>
    <row r="360" spans="2:11" x14ac:dyDescent="0.3">
      <c r="B360" s="2">
        <v>48000</v>
      </c>
      <c r="C360" s="2">
        <v>0</v>
      </c>
      <c r="D360" t="e">
        <f t="shared" si="36"/>
        <v>#DIV/0!</v>
      </c>
      <c r="F360" t="b">
        <f t="shared" si="37"/>
        <v>1</v>
      </c>
      <c r="G360" t="str">
        <f t="shared" si="38"/>
        <v>error</v>
      </c>
      <c r="H360" t="e">
        <f t="shared" si="39"/>
        <v>#DIV/0!</v>
      </c>
      <c r="I360" t="e">
        <f t="shared" si="42"/>
        <v>#DIV/0!</v>
      </c>
      <c r="J360" t="b">
        <f t="shared" si="40"/>
        <v>0</v>
      </c>
      <c r="K360" t="b">
        <f t="shared" si="41"/>
        <v>0</v>
      </c>
    </row>
    <row r="361" spans="2:11" x14ac:dyDescent="0.3">
      <c r="B361" s="2">
        <v>62000</v>
      </c>
      <c r="C361" s="2">
        <v>0</v>
      </c>
      <c r="D361" t="e">
        <f t="shared" si="36"/>
        <v>#DIV/0!</v>
      </c>
      <c r="F361" t="b">
        <f t="shared" si="37"/>
        <v>1</v>
      </c>
      <c r="G361" t="str">
        <f t="shared" si="38"/>
        <v>error</v>
      </c>
      <c r="H361" t="e">
        <f t="shared" si="39"/>
        <v>#DIV/0!</v>
      </c>
      <c r="I361" t="e">
        <f t="shared" si="42"/>
        <v>#DIV/0!</v>
      </c>
      <c r="J361" t="b">
        <f t="shared" si="40"/>
        <v>0</v>
      </c>
      <c r="K361" t="b">
        <f t="shared" si="41"/>
        <v>0</v>
      </c>
    </row>
    <row r="362" spans="2:11" x14ac:dyDescent="0.3">
      <c r="B362" s="2">
        <v>69000</v>
      </c>
      <c r="C362" s="2">
        <v>0</v>
      </c>
      <c r="D362" t="e">
        <f t="shared" si="36"/>
        <v>#DIV/0!</v>
      </c>
      <c r="F362" t="b">
        <f t="shared" si="37"/>
        <v>1</v>
      </c>
      <c r="G362" t="str">
        <f t="shared" si="38"/>
        <v>error</v>
      </c>
      <c r="H362" t="e">
        <f t="shared" si="39"/>
        <v>#DIV/0!</v>
      </c>
      <c r="I362" t="e">
        <f t="shared" si="42"/>
        <v>#DIV/0!</v>
      </c>
      <c r="J362" t="b">
        <f t="shared" si="40"/>
        <v>0</v>
      </c>
      <c r="K362" t="b">
        <f t="shared" si="41"/>
        <v>0</v>
      </c>
    </row>
    <row r="363" spans="2:11" x14ac:dyDescent="0.3">
      <c r="B363" s="2">
        <v>74000</v>
      </c>
      <c r="C363" s="2">
        <v>0</v>
      </c>
      <c r="D363" t="e">
        <f t="shared" si="36"/>
        <v>#DIV/0!</v>
      </c>
      <c r="F363" t="b">
        <f t="shared" si="37"/>
        <v>1</v>
      </c>
      <c r="G363" t="str">
        <f t="shared" si="38"/>
        <v>error</v>
      </c>
      <c r="H363" t="e">
        <f t="shared" si="39"/>
        <v>#DIV/0!</v>
      </c>
      <c r="I363" t="e">
        <f t="shared" si="42"/>
        <v>#DIV/0!</v>
      </c>
      <c r="J363" t="b">
        <f t="shared" si="40"/>
        <v>0</v>
      </c>
      <c r="K363" t="b">
        <f t="shared" si="41"/>
        <v>0</v>
      </c>
    </row>
    <row r="364" spans="2:11" x14ac:dyDescent="0.3">
      <c r="B364" s="2">
        <v>50000</v>
      </c>
      <c r="C364" s="2">
        <v>0</v>
      </c>
      <c r="D364" t="e">
        <f t="shared" si="36"/>
        <v>#DIV/0!</v>
      </c>
      <c r="F364" t="b">
        <f t="shared" si="37"/>
        <v>1</v>
      </c>
      <c r="G364" t="str">
        <f t="shared" si="38"/>
        <v>error</v>
      </c>
      <c r="H364" t="e">
        <f t="shared" si="39"/>
        <v>#DIV/0!</v>
      </c>
      <c r="I364" t="e">
        <f t="shared" si="42"/>
        <v>#DIV/0!</v>
      </c>
      <c r="J364" t="b">
        <f t="shared" si="40"/>
        <v>0</v>
      </c>
      <c r="K364" t="b">
        <f t="shared" si="41"/>
        <v>0</v>
      </c>
    </row>
    <row r="365" spans="2:11" x14ac:dyDescent="0.3">
      <c r="B365" s="2">
        <v>55000</v>
      </c>
      <c r="C365" s="2">
        <v>0</v>
      </c>
      <c r="D365" t="e">
        <f t="shared" si="36"/>
        <v>#DIV/0!</v>
      </c>
      <c r="F365" t="b">
        <f t="shared" si="37"/>
        <v>1</v>
      </c>
      <c r="G365" t="str">
        <f t="shared" si="38"/>
        <v>error</v>
      </c>
      <c r="H365" t="e">
        <f t="shared" si="39"/>
        <v>#DIV/0!</v>
      </c>
      <c r="I365" t="e">
        <f t="shared" si="42"/>
        <v>#DIV/0!</v>
      </c>
      <c r="J365" t="b">
        <f t="shared" si="40"/>
        <v>0</v>
      </c>
      <c r="K365" t="b">
        <f t="shared" si="41"/>
        <v>0</v>
      </c>
    </row>
    <row r="366" spans="2:11" x14ac:dyDescent="0.3">
      <c r="B366" s="2">
        <v>62000</v>
      </c>
      <c r="C366" s="2">
        <v>0</v>
      </c>
      <c r="D366" t="e">
        <f t="shared" si="36"/>
        <v>#DIV/0!</v>
      </c>
      <c r="F366" t="b">
        <f t="shared" si="37"/>
        <v>1</v>
      </c>
      <c r="G366" t="str">
        <f t="shared" si="38"/>
        <v>error</v>
      </c>
      <c r="H366" t="e">
        <f t="shared" si="39"/>
        <v>#DIV/0!</v>
      </c>
      <c r="I366" t="e">
        <f t="shared" si="42"/>
        <v>#DIV/0!</v>
      </c>
      <c r="J366" t="b">
        <f t="shared" si="40"/>
        <v>0</v>
      </c>
      <c r="K366" t="b">
        <f t="shared" si="41"/>
        <v>0</v>
      </c>
    </row>
    <row r="367" spans="2:11" x14ac:dyDescent="0.3">
      <c r="B367" s="2">
        <v>48000</v>
      </c>
      <c r="C367" s="2">
        <v>0</v>
      </c>
      <c r="D367" t="e">
        <f t="shared" si="36"/>
        <v>#DIV/0!</v>
      </c>
      <c r="F367" t="b">
        <f t="shared" si="37"/>
        <v>1</v>
      </c>
      <c r="G367" t="str">
        <f t="shared" si="38"/>
        <v>error</v>
      </c>
      <c r="H367" t="e">
        <f t="shared" si="39"/>
        <v>#DIV/0!</v>
      </c>
      <c r="I367" t="e">
        <f t="shared" si="42"/>
        <v>#DIV/0!</v>
      </c>
      <c r="J367" t="b">
        <f t="shared" si="40"/>
        <v>0</v>
      </c>
      <c r="K367" t="b">
        <f t="shared" si="41"/>
        <v>0</v>
      </c>
    </row>
    <row r="368" spans="2:11" x14ac:dyDescent="0.3">
      <c r="B368" s="2">
        <v>59000</v>
      </c>
      <c r="C368" s="2">
        <v>0</v>
      </c>
      <c r="D368" t="e">
        <f t="shared" si="36"/>
        <v>#DIV/0!</v>
      </c>
      <c r="F368" t="b">
        <f t="shared" si="37"/>
        <v>1</v>
      </c>
      <c r="G368" t="str">
        <f t="shared" si="38"/>
        <v>error</v>
      </c>
      <c r="H368" t="e">
        <f t="shared" si="39"/>
        <v>#DIV/0!</v>
      </c>
      <c r="I368" t="e">
        <f t="shared" si="42"/>
        <v>#DIV/0!</v>
      </c>
      <c r="J368" t="b">
        <f t="shared" si="40"/>
        <v>0</v>
      </c>
      <c r="K368" t="b">
        <f t="shared" si="41"/>
        <v>0</v>
      </c>
    </row>
    <row r="369" spans="2:11" x14ac:dyDescent="0.3">
      <c r="B369" s="2">
        <v>73000</v>
      </c>
      <c r="C369" s="2">
        <v>0</v>
      </c>
      <c r="D369" t="e">
        <f t="shared" si="36"/>
        <v>#DIV/0!</v>
      </c>
      <c r="F369" t="b">
        <f t="shared" si="37"/>
        <v>1</v>
      </c>
      <c r="G369" t="str">
        <f t="shared" si="38"/>
        <v>error</v>
      </c>
      <c r="H369" t="e">
        <f t="shared" si="39"/>
        <v>#DIV/0!</v>
      </c>
      <c r="I369" t="e">
        <f t="shared" si="42"/>
        <v>#DIV/0!</v>
      </c>
      <c r="J369" t="b">
        <f t="shared" si="40"/>
        <v>0</v>
      </c>
      <c r="K369" t="b">
        <f t="shared" si="41"/>
        <v>0</v>
      </c>
    </row>
    <row r="370" spans="2:11" x14ac:dyDescent="0.3">
      <c r="B370" s="2">
        <v>65000</v>
      </c>
      <c r="C370" s="2">
        <v>0</v>
      </c>
      <c r="D370" t="e">
        <f t="shared" si="36"/>
        <v>#DIV/0!</v>
      </c>
      <c r="F370" t="b">
        <f t="shared" si="37"/>
        <v>1</v>
      </c>
      <c r="G370" t="str">
        <f t="shared" si="38"/>
        <v>error</v>
      </c>
      <c r="H370" t="e">
        <f t="shared" si="39"/>
        <v>#DIV/0!</v>
      </c>
      <c r="I370" t="e">
        <f t="shared" si="42"/>
        <v>#DIV/0!</v>
      </c>
      <c r="J370" t="b">
        <f t="shared" si="40"/>
        <v>0</v>
      </c>
      <c r="K370" t="b">
        <f t="shared" si="41"/>
        <v>0</v>
      </c>
    </row>
    <row r="371" spans="2:11" x14ac:dyDescent="0.3">
      <c r="B371" s="2">
        <v>60000</v>
      </c>
      <c r="C371" s="2">
        <v>0</v>
      </c>
      <c r="D371" t="e">
        <f t="shared" si="36"/>
        <v>#DIV/0!</v>
      </c>
      <c r="F371" t="b">
        <f t="shared" si="37"/>
        <v>1</v>
      </c>
      <c r="G371" t="str">
        <f t="shared" si="38"/>
        <v>error</v>
      </c>
      <c r="H371" t="e">
        <f t="shared" si="39"/>
        <v>#DIV/0!</v>
      </c>
      <c r="I371" t="e">
        <f t="shared" si="42"/>
        <v>#DIV/0!</v>
      </c>
      <c r="J371" t="b">
        <f t="shared" si="40"/>
        <v>0</v>
      </c>
      <c r="K371" t="b">
        <f t="shared" si="41"/>
        <v>0</v>
      </c>
    </row>
    <row r="372" spans="2:11" x14ac:dyDescent="0.3">
      <c r="B372" s="2">
        <v>53000</v>
      </c>
      <c r="C372" s="2">
        <v>0</v>
      </c>
      <c r="D372" t="e">
        <f t="shared" si="36"/>
        <v>#DIV/0!</v>
      </c>
      <c r="F372" t="b">
        <f t="shared" si="37"/>
        <v>1</v>
      </c>
      <c r="G372" t="str">
        <f t="shared" si="38"/>
        <v>error</v>
      </c>
      <c r="H372" t="e">
        <f t="shared" si="39"/>
        <v>#DIV/0!</v>
      </c>
      <c r="I372" t="e">
        <f t="shared" si="42"/>
        <v>#DIV/0!</v>
      </c>
      <c r="J372" t="b">
        <f t="shared" si="40"/>
        <v>0</v>
      </c>
      <c r="K372" t="b">
        <f t="shared" si="41"/>
        <v>0</v>
      </c>
    </row>
    <row r="373" spans="2:11" x14ac:dyDescent="0.3">
      <c r="B373" s="2">
        <v>68000</v>
      </c>
      <c r="C373" s="2">
        <v>0</v>
      </c>
      <c r="D373" t="e">
        <f t="shared" si="36"/>
        <v>#DIV/0!</v>
      </c>
      <c r="F373" t="b">
        <f t="shared" si="37"/>
        <v>1</v>
      </c>
      <c r="G373" t="str">
        <f t="shared" si="38"/>
        <v>error</v>
      </c>
      <c r="H373" t="e">
        <f t="shared" si="39"/>
        <v>#DIV/0!</v>
      </c>
      <c r="I373" t="e">
        <f t="shared" si="42"/>
        <v>#DIV/0!</v>
      </c>
      <c r="J373" t="b">
        <f t="shared" si="40"/>
        <v>0</v>
      </c>
      <c r="K373" t="b">
        <f t="shared" si="41"/>
        <v>0</v>
      </c>
    </row>
    <row r="374" spans="2:11" x14ac:dyDescent="0.3">
      <c r="B374" s="2">
        <v>71000</v>
      </c>
      <c r="C374" s="2">
        <v>0</v>
      </c>
      <c r="D374" t="e">
        <f t="shared" si="36"/>
        <v>#DIV/0!</v>
      </c>
      <c r="F374" t="b">
        <f t="shared" si="37"/>
        <v>1</v>
      </c>
      <c r="G374" t="str">
        <f t="shared" si="38"/>
        <v>error</v>
      </c>
      <c r="H374" t="e">
        <f t="shared" si="39"/>
        <v>#DIV/0!</v>
      </c>
      <c r="I374" t="e">
        <f t="shared" si="42"/>
        <v>#DIV/0!</v>
      </c>
      <c r="J374" t="b">
        <f t="shared" si="40"/>
        <v>0</v>
      </c>
      <c r="K374" t="b">
        <f t="shared" si="41"/>
        <v>0</v>
      </c>
    </row>
    <row r="375" spans="2:11" x14ac:dyDescent="0.3">
      <c r="B375" s="2">
        <v>56000</v>
      </c>
      <c r="C375" s="2">
        <v>0</v>
      </c>
      <c r="D375" t="e">
        <f t="shared" si="36"/>
        <v>#DIV/0!</v>
      </c>
      <c r="F375" t="b">
        <f t="shared" si="37"/>
        <v>1</v>
      </c>
      <c r="G375" t="str">
        <f t="shared" si="38"/>
        <v>error</v>
      </c>
      <c r="H375" t="e">
        <f t="shared" si="39"/>
        <v>#DIV/0!</v>
      </c>
      <c r="I375" t="e">
        <f t="shared" si="42"/>
        <v>#DIV/0!</v>
      </c>
      <c r="J375" t="b">
        <f t="shared" si="40"/>
        <v>0</v>
      </c>
      <c r="K375" t="b">
        <f t="shared" si="41"/>
        <v>0</v>
      </c>
    </row>
    <row r="376" spans="2:11" x14ac:dyDescent="0.3">
      <c r="B376" s="2">
        <v>45000</v>
      </c>
      <c r="C376" s="2">
        <v>0</v>
      </c>
      <c r="D376" t="e">
        <f t="shared" si="36"/>
        <v>#DIV/0!</v>
      </c>
      <c r="F376" t="b">
        <f t="shared" si="37"/>
        <v>1</v>
      </c>
      <c r="G376" t="str">
        <f t="shared" si="38"/>
        <v>error</v>
      </c>
      <c r="H376" t="e">
        <f t="shared" si="39"/>
        <v>#DIV/0!</v>
      </c>
      <c r="I376" t="e">
        <f t="shared" si="42"/>
        <v>#DIV/0!</v>
      </c>
      <c r="J376" t="b">
        <f t="shared" si="40"/>
        <v>0</v>
      </c>
      <c r="K376" t="b">
        <f t="shared" si="4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3437-ECFC-4139-B4A8-8EC0F26F9D0C}">
  <dimension ref="A1:O47"/>
  <sheetViews>
    <sheetView workbookViewId="0">
      <selection activeCell="G38" sqref="G38"/>
    </sheetView>
  </sheetViews>
  <sheetFormatPr defaultRowHeight="14.4" x14ac:dyDescent="0.3"/>
  <sheetData>
    <row r="1" spans="1:15" ht="18" x14ac:dyDescent="0.35">
      <c r="B1" s="6" t="s">
        <v>333</v>
      </c>
    </row>
    <row r="2" spans="1:15" x14ac:dyDescent="0.3">
      <c r="A2" t="s">
        <v>82</v>
      </c>
      <c r="B2" t="s">
        <v>332</v>
      </c>
    </row>
    <row r="3" spans="1:15" x14ac:dyDescent="0.3">
      <c r="A3" t="s">
        <v>318</v>
      </c>
      <c r="B3" t="s">
        <v>334</v>
      </c>
      <c r="M3" s="7">
        <f>COUNTIF(Dataset!N2:N350,Dataset!N335)</f>
        <v>182</v>
      </c>
    </row>
    <row r="4" spans="1:15" x14ac:dyDescent="0.3">
      <c r="B4" t="s">
        <v>369</v>
      </c>
      <c r="M4" s="7" cm="1">
        <f t="array" ref="M4">_xlfn.PERCENTILE.INC(IF(Dataset!N2:N350="Active",Dataset!H2:H350),0.5)</f>
        <v>60000</v>
      </c>
    </row>
    <row r="6" spans="1:15" x14ac:dyDescent="0.3">
      <c r="A6" t="s">
        <v>83</v>
      </c>
      <c r="B6" t="s">
        <v>340</v>
      </c>
    </row>
    <row r="7" spans="1:15" x14ac:dyDescent="0.3">
      <c r="A7" t="s">
        <v>320</v>
      </c>
      <c r="B7" t="s">
        <v>341</v>
      </c>
      <c r="M7" s="7">
        <f>COUNTIF(Dataset!I2:I350,Dataset!I335)</f>
        <v>169</v>
      </c>
    </row>
    <row r="8" spans="1:15" x14ac:dyDescent="0.3">
      <c r="B8" t="s">
        <v>342</v>
      </c>
      <c r="M8" s="7">
        <f>MAX(Dataset!J2:J350)</f>
        <v>20000</v>
      </c>
    </row>
    <row r="10" spans="1:15" x14ac:dyDescent="0.3">
      <c r="A10" t="s">
        <v>84</v>
      </c>
      <c r="B10" t="s">
        <v>343</v>
      </c>
    </row>
    <row r="11" spans="1:15" x14ac:dyDescent="0.3">
      <c r="A11" t="s">
        <v>321</v>
      </c>
      <c r="B11" t="s">
        <v>371</v>
      </c>
      <c r="M11" s="7" cm="1">
        <f t="array" ref="M11">SMALL(_xlfn.UNIQUE(IF(Dataset!I2:I350="no",Dataset!G2:G350)),3)</f>
        <v>2200</v>
      </c>
    </row>
    <row r="14" spans="1:15" x14ac:dyDescent="0.3">
      <c r="A14" t="s">
        <v>85</v>
      </c>
      <c r="B14" t="s">
        <v>344</v>
      </c>
    </row>
    <row r="15" spans="1:15" x14ac:dyDescent="0.3">
      <c r="A15" t="s">
        <v>382</v>
      </c>
      <c r="B15" t="s">
        <v>345</v>
      </c>
      <c r="O15" s="7" cm="1">
        <f t="array" ref="O15">SMALL(IF(Dataset!E2:E350="F",Dataset!H2:H350),2)</f>
        <v>45000</v>
      </c>
    </row>
    <row r="17" spans="1:12" x14ac:dyDescent="0.3">
      <c r="A17" t="s">
        <v>87</v>
      </c>
      <c r="B17" t="s">
        <v>346</v>
      </c>
    </row>
    <row r="18" spans="1:12" x14ac:dyDescent="0.3">
      <c r="A18" t="s">
        <v>347</v>
      </c>
      <c r="B18" t="s">
        <v>348</v>
      </c>
      <c r="L18" s="7" cm="1">
        <f t="array" ref="L18">_xlfn.MODE.MULT(Dataset!G2:G350)</f>
        <v>4000</v>
      </c>
    </row>
    <row r="19" spans="1:12" x14ac:dyDescent="0.3">
      <c r="B19" t="s">
        <v>370</v>
      </c>
      <c r="L19" s="7">
        <f>AVERAGE(Dataset!G2:G350)</f>
        <v>6148.997134670487</v>
      </c>
    </row>
    <row r="21" spans="1:12" x14ac:dyDescent="0.3">
      <c r="A21" t="s">
        <v>88</v>
      </c>
      <c r="B21" t="s">
        <v>349</v>
      </c>
    </row>
    <row r="22" spans="1:12" x14ac:dyDescent="0.3">
      <c r="A22" t="s">
        <v>350</v>
      </c>
      <c r="B22" t="s">
        <v>351</v>
      </c>
      <c r="K22" s="7">
        <f>_xlfn.PERCENTILE.INC(Dataset!H2:H350,0.75)</f>
        <v>70000</v>
      </c>
    </row>
    <row r="23" spans="1:12" x14ac:dyDescent="0.3">
      <c r="B23" t="s">
        <v>352</v>
      </c>
      <c r="K23" s="7">
        <f>_xlfn.PERCENTILE.INC(Dataset!G2:G350,0.75)</f>
        <v>8000</v>
      </c>
    </row>
    <row r="35" spans="1:5" x14ac:dyDescent="0.3">
      <c r="E35" s="7"/>
    </row>
    <row r="41" spans="1:5" x14ac:dyDescent="0.3">
      <c r="D41" s="7"/>
    </row>
    <row r="42" spans="1:5" x14ac:dyDescent="0.3">
      <c r="D42" s="7"/>
    </row>
    <row r="43" spans="1:5" x14ac:dyDescent="0.3">
      <c r="D43" s="7"/>
    </row>
    <row r="47" spans="1:5" x14ac:dyDescent="0.3">
      <c r="A4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BB96-244B-4B66-A436-28881C88891D}">
  <dimension ref="A1:AB49"/>
  <sheetViews>
    <sheetView workbookViewId="0">
      <selection activeCell="B26" sqref="B26"/>
    </sheetView>
  </sheetViews>
  <sheetFormatPr defaultRowHeight="14.4" x14ac:dyDescent="0.3"/>
  <sheetData>
    <row r="1" spans="1:21" ht="18" x14ac:dyDescent="0.35">
      <c r="B1" s="6" t="s">
        <v>91</v>
      </c>
    </row>
    <row r="2" spans="1:21" x14ac:dyDescent="0.3">
      <c r="A2" t="s">
        <v>82</v>
      </c>
      <c r="B2" t="s">
        <v>353</v>
      </c>
    </row>
    <row r="3" spans="1:21" x14ac:dyDescent="0.3">
      <c r="A3" t="s">
        <v>318</v>
      </c>
      <c r="B3" t="s">
        <v>354</v>
      </c>
      <c r="U3" s="7">
        <f>_xlfn.MAXIFS(Dataset!G2:G350,Dataset!E2:E350,Dataset!E330,Dataset!L2:L350,Dataset!L334,Dataset!K2:K350,"&gt;500")</f>
        <v>15000</v>
      </c>
    </row>
    <row r="4" spans="1:21" x14ac:dyDescent="0.3">
      <c r="B4" t="s">
        <v>372</v>
      </c>
      <c r="N4" s="7">
        <f>COUNTIFS(Dataset!E2:E350, "F", Dataset!L2:L350, "Mutual Funds", Dataset!K2:K350, "&gt;500")</f>
        <v>87</v>
      </c>
    </row>
    <row r="5" spans="1:21" x14ac:dyDescent="0.3">
      <c r="N5" s="7"/>
    </row>
    <row r="7" spans="1:21" x14ac:dyDescent="0.3">
      <c r="A7" t="s">
        <v>83</v>
      </c>
      <c r="B7" t="s">
        <v>386</v>
      </c>
    </row>
    <row r="8" spans="1:21" x14ac:dyDescent="0.3">
      <c r="A8" t="s">
        <v>320</v>
      </c>
      <c r="B8" t="s">
        <v>387</v>
      </c>
      <c r="N8" s="7">
        <f>_xlfn.MAXIFS(Dataset!H2:H350,Dataset!L2:L350,Dataset!L2)</f>
        <v>80000</v>
      </c>
    </row>
    <row r="9" spans="1:21" x14ac:dyDescent="0.3">
      <c r="B9" t="s">
        <v>388</v>
      </c>
      <c r="N9" s="7">
        <f>_xlfn.MAXIFS(Dataset!H2:H350,Dataset!L2:L350,Dataset!L3)</f>
        <v>77000</v>
      </c>
    </row>
    <row r="10" spans="1:21" x14ac:dyDescent="0.3">
      <c r="B10" t="s">
        <v>389</v>
      </c>
      <c r="N10" s="7">
        <f>_xlfn.MAXIFS(Dataset!H2:H350,Dataset!L2:L350,Dataset!L5)</f>
        <v>74000</v>
      </c>
    </row>
    <row r="11" spans="1:21" x14ac:dyDescent="0.3">
      <c r="B11" t="s">
        <v>390</v>
      </c>
      <c r="N11" s="7">
        <f>_xlfn.MAXIFS(Dataset!H2:H350,Dataset!L2:L350,Dataset!L4)</f>
        <v>85000</v>
      </c>
    </row>
    <row r="14" spans="1:21" x14ac:dyDescent="0.3">
      <c r="A14" t="s">
        <v>84</v>
      </c>
      <c r="B14" t="s">
        <v>357</v>
      </c>
    </row>
    <row r="15" spans="1:21" x14ac:dyDescent="0.3">
      <c r="A15" t="s">
        <v>321</v>
      </c>
      <c r="B15" t="s">
        <v>358</v>
      </c>
      <c r="P15" s="7">
        <f>_xlfn.MAXIFS(Dataset!H2:H350,Dataset!M2:M350,Dataset!M2)</f>
        <v>82000</v>
      </c>
    </row>
    <row r="16" spans="1:21" x14ac:dyDescent="0.3">
      <c r="B16" t="s">
        <v>359</v>
      </c>
      <c r="P16" s="7">
        <f>_xlfn.MAXIFS(Dataset!H2:H350,Dataset!M2:M350,Dataset!M3)</f>
        <v>74000</v>
      </c>
    </row>
    <row r="17" spans="1:28" x14ac:dyDescent="0.3">
      <c r="B17" t="s">
        <v>360</v>
      </c>
      <c r="N17" s="9"/>
      <c r="P17" s="7">
        <f>_xlfn.MAXIFS(Dataset!H2:H350,Dataset!M2:M350,Dataset!M4)</f>
        <v>85000</v>
      </c>
      <c r="AB17" s="7"/>
    </row>
    <row r="19" spans="1:28" x14ac:dyDescent="0.3">
      <c r="A19" t="s">
        <v>85</v>
      </c>
      <c r="B19" t="s">
        <v>355</v>
      </c>
    </row>
    <row r="20" spans="1:28" x14ac:dyDescent="0.3">
      <c r="A20" t="s">
        <v>322</v>
      </c>
      <c r="B20" t="s">
        <v>356</v>
      </c>
      <c r="R20" s="7" cm="1">
        <f t="array" ref="R20">_xlfn.PERCENTILE.INC(IF(Dataset!L2:L350="Mutual Funds",Dataset!G2:G350),0.2)</f>
        <v>2599.9999999999995</v>
      </c>
    </row>
    <row r="22" spans="1:28" x14ac:dyDescent="0.3">
      <c r="A22" t="s">
        <v>86</v>
      </c>
      <c r="B22" t="s">
        <v>361</v>
      </c>
    </row>
    <row r="23" spans="1:28" x14ac:dyDescent="0.3">
      <c r="A23" s="9" t="s">
        <v>324</v>
      </c>
      <c r="B23" s="10" t="s">
        <v>391</v>
      </c>
      <c r="I23" s="7">
        <f>COUNTIF(Dataset!E2:E350, "F")</f>
        <v>170</v>
      </c>
    </row>
    <row r="24" spans="1:28" x14ac:dyDescent="0.3">
      <c r="B24" t="s">
        <v>362</v>
      </c>
      <c r="M24" s="7" cm="1">
        <f t="array" ref="M24">SMALL(IF(Dataset!E2:E350="F",Dataset!H2:H350),2)</f>
        <v>45000</v>
      </c>
    </row>
    <row r="26" spans="1:28" x14ac:dyDescent="0.3">
      <c r="A26" t="s">
        <v>87</v>
      </c>
      <c r="B26" t="s">
        <v>363</v>
      </c>
    </row>
    <row r="27" spans="1:28" x14ac:dyDescent="0.3">
      <c r="A27" t="s">
        <v>325</v>
      </c>
      <c r="B27" t="s">
        <v>392</v>
      </c>
      <c r="G27" s="7">
        <f>COUNTIF(Dataset!F2:F350,"Savings")</f>
        <v>160</v>
      </c>
    </row>
    <row r="28" spans="1:28" x14ac:dyDescent="0.3">
      <c r="B28" t="s">
        <v>393</v>
      </c>
      <c r="G28" s="7">
        <f>MEDIAN(Dataset!H2:H350)</f>
        <v>60000</v>
      </c>
    </row>
    <row r="29" spans="1:28" x14ac:dyDescent="0.3">
      <c r="B29" t="s">
        <v>394</v>
      </c>
      <c r="G29" s="7">
        <f>COUNTIFS(Dataset!F2:F350,"Savings",Dataset!H2:H350,"&gt;60000")</f>
        <v>77</v>
      </c>
    </row>
    <row r="30" spans="1:28" x14ac:dyDescent="0.3">
      <c r="B30" t="s">
        <v>395</v>
      </c>
      <c r="G30" s="7">
        <f>_xlfn.MAXIFS(Dataset!H2:H350,Dataset!F2:F350,"Savings",Dataset!H2:H350,"&gt;60000")</f>
        <v>80000</v>
      </c>
    </row>
    <row r="32" spans="1:28" x14ac:dyDescent="0.3">
      <c r="A32" t="s">
        <v>88</v>
      </c>
      <c r="B32" t="s">
        <v>364</v>
      </c>
    </row>
    <row r="33" spans="1:13" x14ac:dyDescent="0.3">
      <c r="B33" t="s">
        <v>365</v>
      </c>
      <c r="M33" s="7">
        <f>SUMIF(Dataset!F2:F350,Dataset!F330,Dataset!H2:H350)</f>
        <v>9611000</v>
      </c>
    </row>
    <row r="34" spans="1:13" x14ac:dyDescent="0.3">
      <c r="B34" t="s">
        <v>366</v>
      </c>
      <c r="M34" s="7">
        <f>_xlfn.MAXIFS(Dataset!H2:H350,Dataset!F2:F350,Dataset!F340)</f>
        <v>80000</v>
      </c>
    </row>
    <row r="41" spans="1:13" x14ac:dyDescent="0.3">
      <c r="J41" s="9"/>
    </row>
    <row r="42" spans="1:13" x14ac:dyDescent="0.3">
      <c r="A42" s="8"/>
      <c r="J42" s="8"/>
    </row>
    <row r="44" spans="1:13" x14ac:dyDescent="0.3">
      <c r="J44" s="9"/>
    </row>
    <row r="45" spans="1:13" x14ac:dyDescent="0.3">
      <c r="M45" s="9"/>
    </row>
    <row r="48" spans="1:13" x14ac:dyDescent="0.3">
      <c r="G48" s="9"/>
    </row>
    <row r="49" spans="7:7" x14ac:dyDescent="0.3">
      <c r="G49"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QUESTIONS</vt:lpstr>
      <vt:lpstr>EASY</vt:lpstr>
      <vt:lpstr>MEDIUM</vt:lpstr>
      <vt:lpstr>HARD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SAXENA</dc:creator>
  <cp:lastModifiedBy>ANANYA SAXENA</cp:lastModifiedBy>
  <dcterms:created xsi:type="dcterms:W3CDTF">2024-09-05T16:39:58Z</dcterms:created>
  <dcterms:modified xsi:type="dcterms:W3CDTF">2025-01-30T08:43:46Z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2024-09-06T09:03:56Z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5dc6faec-6a3b-4875-88f2-4f842008fdf8</vt:lpwstr>
  </property>
  <property fmtid="{D5CDD505-2E9C-101B-9397-08002B2CF9AE}" pid="7" name="MSIP_Label_defa4170-0d19-0005-0004-bc88714345d2_ActionId">
    <vt:lpwstr>7a4499d6-b37e-488f-843e-d8bd0035c8d4</vt:lpwstr>
  </property>
  <property fmtid="{D5CDD505-2E9C-101B-9397-08002B2CF9AE}" pid="8" name="MSIP_Label_defa4170-0d19-0005-0004-bc88714345d2_ContentBits">
    <vt:lpwstr>0</vt:lpwstr>
  </property>
</Properties>
</file>