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ANANYA SAXENA\Downloads\"/>
    </mc:Choice>
  </mc:AlternateContent>
  <xr:revisionPtr revIDLastSave="0" documentId="13_ncr:1_{A40E4BBF-D653-42B6-8F00-D684F580A2CF}" xr6:coauthVersionLast="47" xr6:coauthVersionMax="47" xr10:uidLastSave="{00000000-0000-0000-0000-000000000000}"/>
  <bookViews>
    <workbookView xWindow="-108" yWindow="-108" windowWidth="23256" windowHeight="12456" activeTab="4" xr2:uid="{CE3B3D7E-0BE9-4D5A-A54B-1240C4612186}"/>
  </bookViews>
  <sheets>
    <sheet name="Dataset" sheetId="1" r:id="rId1"/>
    <sheet name="QUESTIONS" sheetId="6" r:id="rId2"/>
    <sheet name="EASY" sheetId="7" r:id="rId3"/>
    <sheet name="MEDIUM" sheetId="8" r:id="rId4"/>
    <sheet name="HARD" sheetId="9" r:id="rId5"/>
  </sheets>
  <definedNames>
    <definedName name="_xlnm._FilterDatabase" localSheetId="0" hidden="1">Dataset!$A$1:$AB$350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3" i="9" l="1"/>
  <c r="S9" i="9"/>
  <c r="O17" i="8" a="1"/>
  <c r="O17" i="8" s="1"/>
  <c r="M11" i="8" a="1"/>
  <c r="M11" i="8" s="1"/>
  <c r="P21" i="7"/>
  <c r="L15" i="7"/>
  <c r="E52" i="9"/>
  <c r="M48" i="9"/>
  <c r="M47" i="9"/>
  <c r="Q44" i="9"/>
  <c r="BC3" i="1"/>
  <c r="BC4" i="1"/>
  <c r="BC5" i="1"/>
  <c r="BC6" i="1"/>
  <c r="BC7" i="1"/>
  <c r="BC8" i="1"/>
  <c r="BC9" i="1"/>
  <c r="BC10" i="1"/>
  <c r="BC11" i="1"/>
  <c r="BC12" i="1"/>
  <c r="BC13" i="1"/>
  <c r="BC14" i="1"/>
  <c r="BC15" i="1"/>
  <c r="BC16" i="1"/>
  <c r="BC17" i="1"/>
  <c r="BC18" i="1"/>
  <c r="BC19" i="1"/>
  <c r="BC20" i="1"/>
  <c r="BC21" i="1"/>
  <c r="BC22" i="1"/>
  <c r="BC23" i="1"/>
  <c r="BC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D99" i="1"/>
  <c r="BD100" i="1"/>
  <c r="BD101" i="1"/>
  <c r="BD102" i="1"/>
  <c r="BD103" i="1"/>
  <c r="BD104" i="1"/>
  <c r="BD105" i="1"/>
  <c r="BD106" i="1"/>
  <c r="BD107" i="1"/>
  <c r="BD108" i="1"/>
  <c r="BD109" i="1"/>
  <c r="BD110" i="1"/>
  <c r="BD111" i="1"/>
  <c r="BD112" i="1"/>
  <c r="BD113" i="1"/>
  <c r="BD114" i="1"/>
  <c r="BD115" i="1"/>
  <c r="BD116" i="1"/>
  <c r="BD117" i="1"/>
  <c r="BD118" i="1"/>
  <c r="BD119" i="1"/>
  <c r="BD120" i="1"/>
  <c r="BD121" i="1"/>
  <c r="BD122" i="1"/>
  <c r="BD123" i="1"/>
  <c r="BD124" i="1"/>
  <c r="BD125" i="1"/>
  <c r="BD126" i="1"/>
  <c r="BD127" i="1"/>
  <c r="BD128" i="1"/>
  <c r="BD129" i="1"/>
  <c r="BD130" i="1"/>
  <c r="BD131" i="1"/>
  <c r="BD132" i="1"/>
  <c r="BD133" i="1"/>
  <c r="BD134" i="1"/>
  <c r="BD135" i="1"/>
  <c r="BD136" i="1"/>
  <c r="BD137" i="1"/>
  <c r="BD138" i="1"/>
  <c r="BD139" i="1"/>
  <c r="BD140" i="1"/>
  <c r="BD141" i="1"/>
  <c r="BD142" i="1"/>
  <c r="BD143" i="1"/>
  <c r="BD144" i="1"/>
  <c r="BD145" i="1"/>
  <c r="BD146" i="1"/>
  <c r="BD147" i="1"/>
  <c r="BD148" i="1"/>
  <c r="BD149" i="1"/>
  <c r="BD150" i="1"/>
  <c r="BD151" i="1"/>
  <c r="BD152" i="1"/>
  <c r="BD153" i="1"/>
  <c r="BD154" i="1"/>
  <c r="BD155" i="1"/>
  <c r="BD156" i="1"/>
  <c r="BD157" i="1"/>
  <c r="BD158" i="1"/>
  <c r="BD159" i="1"/>
  <c r="BD160" i="1"/>
  <c r="BD161" i="1"/>
  <c r="BD162" i="1"/>
  <c r="BD163" i="1"/>
  <c r="BD164" i="1"/>
  <c r="BD165" i="1"/>
  <c r="BD166" i="1"/>
  <c r="BD167" i="1"/>
  <c r="BD168" i="1"/>
  <c r="BD169" i="1"/>
  <c r="BD170" i="1"/>
  <c r="BD171" i="1"/>
  <c r="BD172" i="1"/>
  <c r="BD173" i="1"/>
  <c r="BD174" i="1"/>
  <c r="BD175" i="1"/>
  <c r="BD176" i="1"/>
  <c r="BD177" i="1"/>
  <c r="BD178" i="1"/>
  <c r="BD179" i="1"/>
  <c r="BD180" i="1"/>
  <c r="BD181" i="1"/>
  <c r="BD182" i="1"/>
  <c r="BD183" i="1"/>
  <c r="BD184" i="1"/>
  <c r="BD185" i="1"/>
  <c r="BD186" i="1"/>
  <c r="BD187" i="1"/>
  <c r="BD188" i="1"/>
  <c r="BD189" i="1"/>
  <c r="BD190" i="1"/>
  <c r="BD191" i="1"/>
  <c r="BD192" i="1"/>
  <c r="BD193" i="1"/>
  <c r="BD194" i="1"/>
  <c r="BD195" i="1"/>
  <c r="BD196" i="1"/>
  <c r="BD197" i="1"/>
  <c r="BD198" i="1"/>
  <c r="BD199" i="1"/>
  <c r="BD200" i="1"/>
  <c r="BD201" i="1"/>
  <c r="BD202" i="1"/>
  <c r="BD203" i="1"/>
  <c r="BD204" i="1"/>
  <c r="BD205" i="1"/>
  <c r="BD206" i="1"/>
  <c r="BD207" i="1"/>
  <c r="BD208" i="1"/>
  <c r="BD209" i="1"/>
  <c r="BD210" i="1"/>
  <c r="BD211" i="1"/>
  <c r="BD212" i="1"/>
  <c r="BD213" i="1"/>
  <c r="BD214" i="1"/>
  <c r="BD215" i="1"/>
  <c r="BD216" i="1"/>
  <c r="BD217" i="1"/>
  <c r="BD218" i="1"/>
  <c r="BD219" i="1"/>
  <c r="BD220" i="1"/>
  <c r="BD221" i="1"/>
  <c r="BD222" i="1"/>
  <c r="BD223" i="1"/>
  <c r="BD224" i="1"/>
  <c r="BD225" i="1"/>
  <c r="BD226" i="1"/>
  <c r="BD227" i="1"/>
  <c r="BD228" i="1"/>
  <c r="BD229" i="1"/>
  <c r="BD230" i="1"/>
  <c r="BD231" i="1"/>
  <c r="BD232" i="1"/>
  <c r="BD233" i="1"/>
  <c r="BD234" i="1"/>
  <c r="BD235" i="1"/>
  <c r="BD236" i="1"/>
  <c r="BD237" i="1"/>
  <c r="BD238" i="1"/>
  <c r="BD239" i="1"/>
  <c r="BD240" i="1"/>
  <c r="BD241" i="1"/>
  <c r="BD242" i="1"/>
  <c r="BD243" i="1"/>
  <c r="BD244" i="1"/>
  <c r="BD245" i="1"/>
  <c r="BD246" i="1"/>
  <c r="BD247" i="1"/>
  <c r="BD248" i="1"/>
  <c r="BD249" i="1"/>
  <c r="BD250" i="1"/>
  <c r="BD251" i="1"/>
  <c r="BD252" i="1"/>
  <c r="BD253" i="1"/>
  <c r="BD254" i="1"/>
  <c r="BD255" i="1"/>
  <c r="BD256" i="1"/>
  <c r="BD257" i="1"/>
  <c r="BD258" i="1"/>
  <c r="BD259" i="1"/>
  <c r="BD260" i="1"/>
  <c r="BD261" i="1"/>
  <c r="BD262" i="1"/>
  <c r="BD263" i="1"/>
  <c r="BD264" i="1"/>
  <c r="BD265" i="1"/>
  <c r="BD266" i="1"/>
  <c r="BD267" i="1"/>
  <c r="BD268" i="1"/>
  <c r="BD269" i="1"/>
  <c r="BD270" i="1"/>
  <c r="BD271" i="1"/>
  <c r="BD272" i="1"/>
  <c r="BD273" i="1"/>
  <c r="BD274" i="1"/>
  <c r="BD275" i="1"/>
  <c r="BD276" i="1"/>
  <c r="BD277" i="1"/>
  <c r="BD278" i="1"/>
  <c r="BD279" i="1"/>
  <c r="BD280" i="1"/>
  <c r="BD281" i="1"/>
  <c r="BD282" i="1"/>
  <c r="BD283" i="1"/>
  <c r="BD284" i="1"/>
  <c r="BD285" i="1"/>
  <c r="BD286" i="1"/>
  <c r="BD287" i="1"/>
  <c r="BD288" i="1"/>
  <c r="BD289" i="1"/>
  <c r="BD290" i="1"/>
  <c r="BD291" i="1"/>
  <c r="BD292" i="1"/>
  <c r="BD293" i="1"/>
  <c r="BD294" i="1"/>
  <c r="BD295" i="1"/>
  <c r="BD296" i="1"/>
  <c r="BD297" i="1"/>
  <c r="BD298" i="1"/>
  <c r="BD299" i="1"/>
  <c r="BD300" i="1"/>
  <c r="BD301" i="1"/>
  <c r="BD302" i="1"/>
  <c r="BD303" i="1"/>
  <c r="BD304" i="1"/>
  <c r="BD305" i="1"/>
  <c r="BD306" i="1"/>
  <c r="BD307" i="1"/>
  <c r="BD308" i="1"/>
  <c r="BD309" i="1"/>
  <c r="BD310" i="1"/>
  <c r="BD311" i="1"/>
  <c r="BD312" i="1"/>
  <c r="BD313" i="1"/>
  <c r="BD314" i="1"/>
  <c r="BD315" i="1"/>
  <c r="BD316" i="1"/>
  <c r="BD317" i="1"/>
  <c r="BD318" i="1"/>
  <c r="BD319" i="1"/>
  <c r="BD320" i="1"/>
  <c r="BD321" i="1"/>
  <c r="BD322" i="1"/>
  <c r="BD323" i="1"/>
  <c r="BD324" i="1"/>
  <c r="BD325" i="1"/>
  <c r="BD326" i="1"/>
  <c r="BD327" i="1"/>
  <c r="BD328" i="1"/>
  <c r="BD329" i="1"/>
  <c r="BD330" i="1"/>
  <c r="BD331" i="1"/>
  <c r="BD332" i="1"/>
  <c r="BD333" i="1"/>
  <c r="BD334" i="1"/>
  <c r="BD335" i="1"/>
  <c r="BD336" i="1"/>
  <c r="BD337" i="1"/>
  <c r="BD338" i="1"/>
  <c r="BD339" i="1"/>
  <c r="BD340" i="1"/>
  <c r="BD341" i="1"/>
  <c r="BD342" i="1"/>
  <c r="BD343" i="1"/>
  <c r="BD344" i="1"/>
  <c r="BD345" i="1"/>
  <c r="BD346" i="1"/>
  <c r="BD347" i="1"/>
  <c r="BD348" i="1"/>
  <c r="BD349" i="1"/>
  <c r="BD350" i="1"/>
  <c r="BC2" i="1"/>
  <c r="AY2" i="1"/>
  <c r="AA4" i="1"/>
  <c r="N40" i="9" a="1"/>
  <c r="N40" i="9" s="1"/>
  <c r="O37" i="9"/>
  <c r="O36" i="9"/>
  <c r="O35" i="9"/>
  <c r="O32" i="9"/>
  <c r="O31" i="9"/>
  <c r="O30" i="9"/>
  <c r="O29" i="9"/>
  <c r="R26" i="9" a="1"/>
  <c r="R26" i="9" s="1"/>
  <c r="AT3" i="1"/>
  <c r="AT4" i="1"/>
  <c r="AT5" i="1"/>
  <c r="AT6" i="1"/>
  <c r="AT7" i="1"/>
  <c r="AT8" i="1"/>
  <c r="AT9" i="1"/>
  <c r="AT10" i="1"/>
  <c r="AT11" i="1"/>
  <c r="AT12" i="1"/>
  <c r="AT13" i="1"/>
  <c r="AT14" i="1"/>
  <c r="AT15" i="1"/>
  <c r="AT16" i="1"/>
  <c r="AT17" i="1"/>
  <c r="AT18" i="1"/>
  <c r="AT19" i="1"/>
  <c r="AT20" i="1"/>
  <c r="AT21" i="1"/>
  <c r="AT22" i="1"/>
  <c r="AT23" i="1"/>
  <c r="AT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T2" i="1"/>
  <c r="AP3" i="1"/>
  <c r="AP4" i="1"/>
  <c r="AP5" i="1"/>
  <c r="AP6" i="1"/>
  <c r="AP7" i="1"/>
  <c r="AP8" i="1"/>
  <c r="AP9" i="1"/>
  <c r="AP10" i="1"/>
  <c r="AP11" i="1"/>
  <c r="AP12" i="1"/>
  <c r="AP13" i="1"/>
  <c r="AP14" i="1"/>
  <c r="AP15" i="1"/>
  <c r="AP16" i="1"/>
  <c r="AP17" i="1"/>
  <c r="AP18" i="1"/>
  <c r="AP19" i="1"/>
  <c r="AP20" i="1"/>
  <c r="AP21" i="1"/>
  <c r="AP22" i="1"/>
  <c r="AP23" i="1"/>
  <c r="AP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P2" i="1"/>
  <c r="S10" i="9"/>
  <c r="AM3" i="1"/>
  <c r="AM4" i="1"/>
  <c r="AM5" i="1"/>
  <c r="AM6" i="1"/>
  <c r="AM7" i="1"/>
  <c r="AM8" i="1"/>
  <c r="AM9" i="1"/>
  <c r="AM10" i="1"/>
  <c r="AM11" i="1"/>
  <c r="AM12" i="1"/>
  <c r="AM13" i="1"/>
  <c r="AM14" i="1"/>
  <c r="AM15" i="1"/>
  <c r="AM16" i="1"/>
  <c r="AM17" i="1"/>
  <c r="AM18" i="1"/>
  <c r="AM19" i="1"/>
  <c r="AM20" i="1"/>
  <c r="AM21" i="1"/>
  <c r="AM22" i="1"/>
  <c r="AM23" i="1"/>
  <c r="AM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M2" i="1"/>
  <c r="U3" i="9"/>
  <c r="L45" i="8"/>
  <c r="L44" i="8"/>
  <c r="L43" i="8"/>
  <c r="AH3" i="1"/>
  <c r="AH4" i="1"/>
  <c r="AH5" i="1"/>
  <c r="AH6" i="1"/>
  <c r="AH7" i="1"/>
  <c r="AH8" i="1"/>
  <c r="AH9" i="1"/>
  <c r="AH10" i="1"/>
  <c r="AH11" i="1"/>
  <c r="AH12" i="1"/>
  <c r="AH13" i="1"/>
  <c r="AH14" i="1"/>
  <c r="AH15" i="1"/>
  <c r="AH16" i="1"/>
  <c r="AH17" i="1"/>
  <c r="AH18" i="1"/>
  <c r="AH19" i="1"/>
  <c r="AH20" i="1"/>
  <c r="AH21" i="1"/>
  <c r="AH22" i="1"/>
  <c r="AH23" i="1"/>
  <c r="AH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H2" i="1"/>
  <c r="AF3" i="1"/>
  <c r="AF4" i="1"/>
  <c r="AF5" i="1"/>
  <c r="AF6" i="1"/>
  <c r="AF7" i="1"/>
  <c r="AF8" i="1"/>
  <c r="AF9" i="1"/>
  <c r="AF10" i="1"/>
  <c r="AF11" i="1"/>
  <c r="AF12" i="1"/>
  <c r="AF13" i="1"/>
  <c r="AF14" i="1"/>
  <c r="AF15" i="1"/>
  <c r="AF16" i="1"/>
  <c r="AF17" i="1"/>
  <c r="AF18" i="1"/>
  <c r="AF19" i="1"/>
  <c r="AF20" i="1"/>
  <c r="AF21" i="1"/>
  <c r="AF22" i="1"/>
  <c r="AF23" i="1"/>
  <c r="AF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F2" i="1"/>
  <c r="AA3" i="1"/>
  <c r="AA5" i="1"/>
  <c r="AA6" i="1"/>
  <c r="AA7" i="1"/>
  <c r="AA8" i="1"/>
  <c r="AA9" i="1"/>
  <c r="AA10" i="1"/>
  <c r="AA11" i="1"/>
  <c r="AA12" i="1"/>
  <c r="AA13" i="1"/>
  <c r="AA14" i="1"/>
  <c r="AA15" i="1"/>
  <c r="AA16" i="1"/>
  <c r="AA17" i="1"/>
  <c r="AA18" i="1"/>
  <c r="AA19" i="1"/>
  <c r="AA20" i="1"/>
  <c r="AA21" i="1"/>
  <c r="AA22" i="1"/>
  <c r="AA23" i="1"/>
  <c r="AA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A2" i="1"/>
  <c r="K25" i="8"/>
  <c r="K24" i="8"/>
  <c r="L21" i="8"/>
  <c r="L20" i="8" a="1"/>
  <c r="L20" i="8" s="1"/>
  <c r="M7" i="8"/>
  <c r="M8" i="8"/>
  <c r="M4" i="8" a="1"/>
  <c r="M4" i="8" s="1"/>
  <c r="M3" i="8"/>
  <c r="I46" i="7"/>
  <c r="I45" i="7"/>
  <c r="I44" i="7"/>
  <c r="I40" i="7"/>
  <c r="I39" i="7"/>
  <c r="X3" i="1"/>
  <c r="X4" i="1"/>
  <c r="X5" i="1"/>
  <c r="X6" i="1"/>
  <c r="X7" i="1"/>
  <c r="X8" i="1"/>
  <c r="X9" i="1"/>
  <c r="X10" i="1"/>
  <c r="X11" i="1"/>
  <c r="X12" i="1"/>
  <c r="X13" i="1"/>
  <c r="X14" i="1"/>
  <c r="X15" i="1"/>
  <c r="X16" i="1"/>
  <c r="X17" i="1"/>
  <c r="X18" i="1"/>
  <c r="X19" i="1"/>
  <c r="X20" i="1"/>
  <c r="X21" i="1"/>
  <c r="X22" i="1"/>
  <c r="X23" i="1"/>
  <c r="X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X2" i="1"/>
  <c r="F18" i="7"/>
  <c r="F15" i="7"/>
  <c r="G11" i="7"/>
  <c r="F8" i="7"/>
  <c r="F4" i="7"/>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2" i="1"/>
  <c r="R3" i="1"/>
  <c r="S3" i="1" s="1"/>
  <c r="R4" i="1"/>
  <c r="S4" i="1" s="1"/>
  <c r="R5" i="1"/>
  <c r="S5" i="1" s="1"/>
  <c r="R6" i="1"/>
  <c r="S6" i="1" s="1"/>
  <c r="R7" i="1"/>
  <c r="S7" i="1" s="1"/>
  <c r="R8" i="1"/>
  <c r="R9" i="1"/>
  <c r="R10" i="1"/>
  <c r="R11" i="1"/>
  <c r="R12" i="1"/>
  <c r="R13" i="1"/>
  <c r="R14" i="1"/>
  <c r="S14" i="1" s="1"/>
  <c r="R15" i="1"/>
  <c r="S15" i="1" s="1"/>
  <c r="R16" i="1"/>
  <c r="S16" i="1" s="1"/>
  <c r="R17" i="1"/>
  <c r="S17" i="1" s="1"/>
  <c r="R18" i="1"/>
  <c r="S18" i="1" s="1"/>
  <c r="R19" i="1"/>
  <c r="S19" i="1" s="1"/>
  <c r="R20" i="1"/>
  <c r="S20" i="1" s="1"/>
  <c r="R21" i="1"/>
  <c r="S21" i="1" s="1"/>
  <c r="R22" i="1"/>
  <c r="S22" i="1" s="1"/>
  <c r="R23" i="1"/>
  <c r="S23" i="1" s="1"/>
  <c r="R24" i="1"/>
  <c r="R25" i="1"/>
  <c r="R26" i="1"/>
  <c r="R27" i="1"/>
  <c r="R28" i="1"/>
  <c r="R29" i="1"/>
  <c r="S29" i="1" s="1"/>
  <c r="R30" i="1"/>
  <c r="S30" i="1" s="1"/>
  <c r="R31" i="1"/>
  <c r="S31" i="1" s="1"/>
  <c r="R32" i="1"/>
  <c r="S32" i="1" s="1"/>
  <c r="R33" i="1"/>
  <c r="S33" i="1" s="1"/>
  <c r="R34" i="1"/>
  <c r="S34" i="1" s="1"/>
  <c r="R35" i="1"/>
  <c r="S35" i="1" s="1"/>
  <c r="R36" i="1"/>
  <c r="S36" i="1" s="1"/>
  <c r="R37" i="1"/>
  <c r="S37" i="1" s="1"/>
  <c r="R38" i="1"/>
  <c r="S38" i="1" s="1"/>
  <c r="R39" i="1"/>
  <c r="S39" i="1" s="1"/>
  <c r="R40" i="1"/>
  <c r="R41" i="1"/>
  <c r="R42" i="1"/>
  <c r="R43" i="1"/>
  <c r="R44" i="1"/>
  <c r="R45" i="1"/>
  <c r="S45" i="1" s="1"/>
  <c r="R46" i="1"/>
  <c r="S46" i="1" s="1"/>
  <c r="R47" i="1"/>
  <c r="S47" i="1" s="1"/>
  <c r="R48" i="1"/>
  <c r="S48" i="1" s="1"/>
  <c r="R49" i="1"/>
  <c r="S49" i="1" s="1"/>
  <c r="R50" i="1"/>
  <c r="S50" i="1" s="1"/>
  <c r="R51" i="1"/>
  <c r="S51" i="1" s="1"/>
  <c r="R52" i="1"/>
  <c r="S52" i="1" s="1"/>
  <c r="R53" i="1"/>
  <c r="S53" i="1" s="1"/>
  <c r="R54" i="1"/>
  <c r="S54" i="1" s="1"/>
  <c r="R55" i="1"/>
  <c r="S55" i="1" s="1"/>
  <c r="R56" i="1"/>
  <c r="R57" i="1"/>
  <c r="R58" i="1"/>
  <c r="R59" i="1"/>
  <c r="R60" i="1"/>
  <c r="R61" i="1"/>
  <c r="S61" i="1" s="1"/>
  <c r="R62" i="1"/>
  <c r="S62" i="1" s="1"/>
  <c r="R63" i="1"/>
  <c r="S63" i="1" s="1"/>
  <c r="R64" i="1"/>
  <c r="S64" i="1" s="1"/>
  <c r="R65" i="1"/>
  <c r="S65" i="1" s="1"/>
  <c r="R66" i="1"/>
  <c r="S66" i="1" s="1"/>
  <c r="R67" i="1"/>
  <c r="S67" i="1" s="1"/>
  <c r="R68" i="1"/>
  <c r="S68" i="1" s="1"/>
  <c r="R69" i="1"/>
  <c r="S69" i="1" s="1"/>
  <c r="R70" i="1"/>
  <c r="S70" i="1" s="1"/>
  <c r="R71" i="1"/>
  <c r="S71" i="1" s="1"/>
  <c r="R72" i="1"/>
  <c r="R73" i="1"/>
  <c r="R74" i="1"/>
  <c r="R75" i="1"/>
  <c r="R76" i="1"/>
  <c r="R77" i="1"/>
  <c r="S77" i="1" s="1"/>
  <c r="R78" i="1"/>
  <c r="S78" i="1" s="1"/>
  <c r="R79" i="1"/>
  <c r="S79" i="1" s="1"/>
  <c r="R80" i="1"/>
  <c r="S80" i="1" s="1"/>
  <c r="R81" i="1"/>
  <c r="S81" i="1" s="1"/>
  <c r="R82" i="1"/>
  <c r="S82" i="1" s="1"/>
  <c r="R83" i="1"/>
  <c r="S83" i="1" s="1"/>
  <c r="R84" i="1"/>
  <c r="S84" i="1" s="1"/>
  <c r="R85" i="1"/>
  <c r="S85" i="1" s="1"/>
  <c r="R86" i="1"/>
  <c r="S86" i="1" s="1"/>
  <c r="R87" i="1"/>
  <c r="S87" i="1" s="1"/>
  <c r="R88" i="1"/>
  <c r="R89" i="1"/>
  <c r="R90" i="1"/>
  <c r="R91" i="1"/>
  <c r="R92" i="1"/>
  <c r="R93" i="1"/>
  <c r="S93" i="1" s="1"/>
  <c r="R94" i="1"/>
  <c r="S94" i="1" s="1"/>
  <c r="R95" i="1"/>
  <c r="S95" i="1" s="1"/>
  <c r="R96" i="1"/>
  <c r="S96" i="1" s="1"/>
  <c r="R97" i="1"/>
  <c r="S97" i="1" s="1"/>
  <c r="R98" i="1"/>
  <c r="S98" i="1" s="1"/>
  <c r="R99" i="1"/>
  <c r="S99" i="1" s="1"/>
  <c r="R100" i="1"/>
  <c r="S100" i="1" s="1"/>
  <c r="R101" i="1"/>
  <c r="S101" i="1" s="1"/>
  <c r="R102" i="1"/>
  <c r="S102" i="1" s="1"/>
  <c r="R103" i="1"/>
  <c r="S103" i="1" s="1"/>
  <c r="R104" i="1"/>
  <c r="R105" i="1"/>
  <c r="R106" i="1"/>
  <c r="R107" i="1"/>
  <c r="R108" i="1"/>
  <c r="R109" i="1"/>
  <c r="S109" i="1" s="1"/>
  <c r="R110" i="1"/>
  <c r="S110" i="1" s="1"/>
  <c r="R111" i="1"/>
  <c r="S111" i="1" s="1"/>
  <c r="R112" i="1"/>
  <c r="S112" i="1" s="1"/>
  <c r="R113" i="1"/>
  <c r="S113" i="1" s="1"/>
  <c r="R114" i="1"/>
  <c r="S114" i="1" s="1"/>
  <c r="R115" i="1"/>
  <c r="S115" i="1" s="1"/>
  <c r="R116" i="1"/>
  <c r="S116" i="1" s="1"/>
  <c r="R117" i="1"/>
  <c r="S117" i="1" s="1"/>
  <c r="R118" i="1"/>
  <c r="S118" i="1" s="1"/>
  <c r="R119" i="1"/>
  <c r="S119" i="1" s="1"/>
  <c r="R120" i="1"/>
  <c r="R121" i="1"/>
  <c r="R122" i="1"/>
  <c r="R123" i="1"/>
  <c r="R124" i="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R137" i="1"/>
  <c r="R138" i="1"/>
  <c r="R139" i="1"/>
  <c r="R140" i="1"/>
  <c r="R141" i="1"/>
  <c r="S141" i="1" s="1"/>
  <c r="R142" i="1"/>
  <c r="S142" i="1" s="1"/>
  <c r="R143" i="1"/>
  <c r="S143" i="1" s="1"/>
  <c r="R144" i="1"/>
  <c r="S144" i="1" s="1"/>
  <c r="R145" i="1"/>
  <c r="S145" i="1" s="1"/>
  <c r="R146" i="1"/>
  <c r="S146" i="1" s="1"/>
  <c r="R147" i="1"/>
  <c r="S147" i="1" s="1"/>
  <c r="R148" i="1"/>
  <c r="S148" i="1" s="1"/>
  <c r="R149" i="1"/>
  <c r="S149" i="1" s="1"/>
  <c r="R150" i="1"/>
  <c r="S150" i="1" s="1"/>
  <c r="R151" i="1"/>
  <c r="S151" i="1" s="1"/>
  <c r="R152" i="1"/>
  <c r="R153" i="1"/>
  <c r="R154" i="1"/>
  <c r="R155" i="1"/>
  <c r="R156" i="1"/>
  <c r="R157" i="1"/>
  <c r="S157" i="1" s="1"/>
  <c r="R158" i="1"/>
  <c r="S158" i="1" s="1"/>
  <c r="R159" i="1"/>
  <c r="S159" i="1" s="1"/>
  <c r="R160" i="1"/>
  <c r="S160" i="1" s="1"/>
  <c r="R161" i="1"/>
  <c r="S161" i="1" s="1"/>
  <c r="R162" i="1"/>
  <c r="S162" i="1" s="1"/>
  <c r="R163" i="1"/>
  <c r="S163" i="1" s="1"/>
  <c r="R164" i="1"/>
  <c r="S164" i="1" s="1"/>
  <c r="R165" i="1"/>
  <c r="S165" i="1" s="1"/>
  <c r="R166" i="1"/>
  <c r="S166" i="1" s="1"/>
  <c r="R167" i="1"/>
  <c r="S167" i="1" s="1"/>
  <c r="R168" i="1"/>
  <c r="R169" i="1"/>
  <c r="R170" i="1"/>
  <c r="R171" i="1"/>
  <c r="R172" i="1"/>
  <c r="R173" i="1"/>
  <c r="S173" i="1" s="1"/>
  <c r="R174" i="1"/>
  <c r="S174" i="1" s="1"/>
  <c r="R175" i="1"/>
  <c r="S175" i="1" s="1"/>
  <c r="R176" i="1"/>
  <c r="S176" i="1" s="1"/>
  <c r="R177" i="1"/>
  <c r="S177" i="1" s="1"/>
  <c r="R178" i="1"/>
  <c r="S178" i="1" s="1"/>
  <c r="R179" i="1"/>
  <c r="S179" i="1" s="1"/>
  <c r="R180" i="1"/>
  <c r="S180" i="1" s="1"/>
  <c r="R181" i="1"/>
  <c r="S181" i="1" s="1"/>
  <c r="R182" i="1"/>
  <c r="S182" i="1" s="1"/>
  <c r="R183" i="1"/>
  <c r="S183" i="1" s="1"/>
  <c r="R184" i="1"/>
  <c r="R185" i="1"/>
  <c r="R186" i="1"/>
  <c r="R187" i="1"/>
  <c r="R188" i="1"/>
  <c r="R189" i="1"/>
  <c r="S189" i="1" s="1"/>
  <c r="R190" i="1"/>
  <c r="S190" i="1" s="1"/>
  <c r="R191" i="1"/>
  <c r="S191" i="1" s="1"/>
  <c r="R192" i="1"/>
  <c r="S192" i="1" s="1"/>
  <c r="R193" i="1"/>
  <c r="S193" i="1" s="1"/>
  <c r="R194" i="1"/>
  <c r="S194" i="1" s="1"/>
  <c r="R195" i="1"/>
  <c r="S195" i="1" s="1"/>
  <c r="R196" i="1"/>
  <c r="S196" i="1" s="1"/>
  <c r="R197" i="1"/>
  <c r="S197" i="1" s="1"/>
  <c r="R198" i="1"/>
  <c r="S198" i="1" s="1"/>
  <c r="R199" i="1"/>
  <c r="S199" i="1" s="1"/>
  <c r="R200" i="1"/>
  <c r="R201" i="1"/>
  <c r="R202" i="1"/>
  <c r="R203" i="1"/>
  <c r="R204" i="1"/>
  <c r="R205" i="1"/>
  <c r="S205" i="1" s="1"/>
  <c r="R206" i="1"/>
  <c r="S206" i="1" s="1"/>
  <c r="R207" i="1"/>
  <c r="S207" i="1" s="1"/>
  <c r="R208" i="1"/>
  <c r="S208" i="1" s="1"/>
  <c r="R209" i="1"/>
  <c r="S209" i="1" s="1"/>
  <c r="R210" i="1"/>
  <c r="S210" i="1" s="1"/>
  <c r="R211" i="1"/>
  <c r="S211" i="1" s="1"/>
  <c r="R212" i="1"/>
  <c r="S212" i="1" s="1"/>
  <c r="R213" i="1"/>
  <c r="S213" i="1" s="1"/>
  <c r="R214" i="1"/>
  <c r="S214" i="1" s="1"/>
  <c r="R215" i="1"/>
  <c r="S215" i="1" s="1"/>
  <c r="R216" i="1"/>
  <c r="R217" i="1"/>
  <c r="R218" i="1"/>
  <c r="R219" i="1"/>
  <c r="R220" i="1"/>
  <c r="R221" i="1"/>
  <c r="S221" i="1" s="1"/>
  <c r="R222" i="1"/>
  <c r="S222" i="1" s="1"/>
  <c r="R223" i="1"/>
  <c r="S223" i="1" s="1"/>
  <c r="R224" i="1"/>
  <c r="S224" i="1" s="1"/>
  <c r="R225" i="1"/>
  <c r="S225" i="1" s="1"/>
  <c r="R226" i="1"/>
  <c r="S226" i="1" s="1"/>
  <c r="R227" i="1"/>
  <c r="S227" i="1" s="1"/>
  <c r="R228" i="1"/>
  <c r="S228" i="1" s="1"/>
  <c r="R229" i="1"/>
  <c r="S229" i="1" s="1"/>
  <c r="R230" i="1"/>
  <c r="S230" i="1" s="1"/>
  <c r="R231" i="1"/>
  <c r="S231" i="1" s="1"/>
  <c r="R232" i="1"/>
  <c r="R233" i="1"/>
  <c r="R234" i="1"/>
  <c r="R235" i="1"/>
  <c r="R236" i="1"/>
  <c r="R237" i="1"/>
  <c r="S237" i="1" s="1"/>
  <c r="R238" i="1"/>
  <c r="S238" i="1" s="1"/>
  <c r="R239" i="1"/>
  <c r="S239" i="1" s="1"/>
  <c r="R240" i="1"/>
  <c r="S240" i="1" s="1"/>
  <c r="R241" i="1"/>
  <c r="S241" i="1" s="1"/>
  <c r="R242" i="1"/>
  <c r="S242" i="1" s="1"/>
  <c r="R243" i="1"/>
  <c r="S243" i="1" s="1"/>
  <c r="R244" i="1"/>
  <c r="S244" i="1" s="1"/>
  <c r="R245" i="1"/>
  <c r="S245" i="1" s="1"/>
  <c r="R246" i="1"/>
  <c r="S246" i="1" s="1"/>
  <c r="R247" i="1"/>
  <c r="S247" i="1" s="1"/>
  <c r="R248" i="1"/>
  <c r="R249" i="1"/>
  <c r="R250" i="1"/>
  <c r="R251" i="1"/>
  <c r="R252" i="1"/>
  <c r="R253" i="1"/>
  <c r="S253" i="1" s="1"/>
  <c r="R254" i="1"/>
  <c r="S254" i="1" s="1"/>
  <c r="R255" i="1"/>
  <c r="S255" i="1" s="1"/>
  <c r="R256" i="1"/>
  <c r="S256" i="1" s="1"/>
  <c r="R257" i="1"/>
  <c r="S257" i="1" s="1"/>
  <c r="R258" i="1"/>
  <c r="S258" i="1" s="1"/>
  <c r="R259" i="1"/>
  <c r="S259" i="1" s="1"/>
  <c r="R260" i="1"/>
  <c r="S260" i="1" s="1"/>
  <c r="R261" i="1"/>
  <c r="S261" i="1" s="1"/>
  <c r="R262" i="1"/>
  <c r="S262" i="1" s="1"/>
  <c r="R263" i="1"/>
  <c r="S263" i="1" s="1"/>
  <c r="R264" i="1"/>
  <c r="R265" i="1"/>
  <c r="R266" i="1"/>
  <c r="R267" i="1"/>
  <c r="R268" i="1"/>
  <c r="R269" i="1"/>
  <c r="S269" i="1" s="1"/>
  <c r="R270" i="1"/>
  <c r="S270" i="1" s="1"/>
  <c r="R271" i="1"/>
  <c r="S271" i="1" s="1"/>
  <c r="R272" i="1"/>
  <c r="S272" i="1" s="1"/>
  <c r="R273" i="1"/>
  <c r="S273" i="1" s="1"/>
  <c r="R274" i="1"/>
  <c r="S274" i="1" s="1"/>
  <c r="R275" i="1"/>
  <c r="S275" i="1" s="1"/>
  <c r="R276" i="1"/>
  <c r="S276" i="1" s="1"/>
  <c r="R277" i="1"/>
  <c r="S277" i="1" s="1"/>
  <c r="R278" i="1"/>
  <c r="S278" i="1" s="1"/>
  <c r="R279" i="1"/>
  <c r="S279" i="1" s="1"/>
  <c r="R280" i="1"/>
  <c r="R281" i="1"/>
  <c r="R282" i="1"/>
  <c r="R283" i="1"/>
  <c r="R284" i="1"/>
  <c r="R285" i="1"/>
  <c r="S285" i="1" s="1"/>
  <c r="R286" i="1"/>
  <c r="S286" i="1" s="1"/>
  <c r="R287" i="1"/>
  <c r="S287" i="1" s="1"/>
  <c r="R288" i="1"/>
  <c r="S288" i="1" s="1"/>
  <c r="R289" i="1"/>
  <c r="S289" i="1" s="1"/>
  <c r="R290" i="1"/>
  <c r="S290" i="1" s="1"/>
  <c r="R291" i="1"/>
  <c r="S291" i="1" s="1"/>
  <c r="R292" i="1"/>
  <c r="S292" i="1" s="1"/>
  <c r="R293" i="1"/>
  <c r="S293" i="1" s="1"/>
  <c r="R294" i="1"/>
  <c r="S294" i="1" s="1"/>
  <c r="R295" i="1"/>
  <c r="S295" i="1" s="1"/>
  <c r="R296" i="1"/>
  <c r="R297" i="1"/>
  <c r="R298" i="1"/>
  <c r="R299" i="1"/>
  <c r="R300" i="1"/>
  <c r="R301" i="1"/>
  <c r="S301" i="1" s="1"/>
  <c r="R302" i="1"/>
  <c r="S302" i="1" s="1"/>
  <c r="R303" i="1"/>
  <c r="S303" i="1" s="1"/>
  <c r="R304" i="1"/>
  <c r="S304" i="1" s="1"/>
  <c r="R305" i="1"/>
  <c r="S305" i="1" s="1"/>
  <c r="R306" i="1"/>
  <c r="S306" i="1" s="1"/>
  <c r="R307" i="1"/>
  <c r="S307" i="1" s="1"/>
  <c r="R308" i="1"/>
  <c r="S308" i="1" s="1"/>
  <c r="R309" i="1"/>
  <c r="S309" i="1" s="1"/>
  <c r="R310" i="1"/>
  <c r="S310" i="1" s="1"/>
  <c r="R311" i="1"/>
  <c r="S311" i="1" s="1"/>
  <c r="R312" i="1"/>
  <c r="R313" i="1"/>
  <c r="R314" i="1"/>
  <c r="R315" i="1"/>
  <c r="R316" i="1"/>
  <c r="R317" i="1"/>
  <c r="S317" i="1" s="1"/>
  <c r="R318" i="1"/>
  <c r="S318" i="1" s="1"/>
  <c r="R319" i="1"/>
  <c r="S319" i="1" s="1"/>
  <c r="R320" i="1"/>
  <c r="S320" i="1" s="1"/>
  <c r="R321" i="1"/>
  <c r="S321" i="1" s="1"/>
  <c r="R322" i="1"/>
  <c r="S322" i="1" s="1"/>
  <c r="R323" i="1"/>
  <c r="S323" i="1" s="1"/>
  <c r="R324" i="1"/>
  <c r="S324" i="1" s="1"/>
  <c r="R325" i="1"/>
  <c r="S325" i="1" s="1"/>
  <c r="R326" i="1"/>
  <c r="S326" i="1" s="1"/>
  <c r="R327" i="1"/>
  <c r="S327" i="1" s="1"/>
  <c r="R328" i="1"/>
  <c r="R329" i="1"/>
  <c r="R330" i="1"/>
  <c r="R331" i="1"/>
  <c r="R332" i="1"/>
  <c r="R333" i="1"/>
  <c r="S333" i="1" s="1"/>
  <c r="R334" i="1"/>
  <c r="S334" i="1" s="1"/>
  <c r="R335" i="1"/>
  <c r="S335" i="1" s="1"/>
  <c r="R336" i="1"/>
  <c r="S336" i="1" s="1"/>
  <c r="R337" i="1"/>
  <c r="S337" i="1" s="1"/>
  <c r="R338" i="1"/>
  <c r="S338" i="1" s="1"/>
  <c r="R339" i="1"/>
  <c r="S339" i="1" s="1"/>
  <c r="R340" i="1"/>
  <c r="S340" i="1" s="1"/>
  <c r="R341" i="1"/>
  <c r="S341" i="1" s="1"/>
  <c r="R342" i="1"/>
  <c r="S342" i="1" s="1"/>
  <c r="R343" i="1"/>
  <c r="S343" i="1" s="1"/>
  <c r="R344" i="1"/>
  <c r="R345" i="1"/>
  <c r="R346" i="1"/>
  <c r="R347" i="1"/>
  <c r="R348" i="1"/>
  <c r="R349" i="1"/>
  <c r="S349" i="1" s="1"/>
  <c r="R350" i="1"/>
  <c r="S350" i="1" s="1"/>
  <c r="R2" i="1"/>
  <c r="S2" i="1" s="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05"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88" i="1"/>
  <c r="N16" i="9" l="1"/>
  <c r="AE64" i="1"/>
  <c r="AE30" i="1"/>
  <c r="AD17" i="1"/>
  <c r="AE33" i="1"/>
  <c r="AD16" i="1"/>
  <c r="AE321" i="1"/>
  <c r="AE320" i="1"/>
  <c r="AE304" i="1"/>
  <c r="AE273" i="1"/>
  <c r="AE272" i="1"/>
  <c r="AE176" i="1"/>
  <c r="AE161" i="1"/>
  <c r="AE209" i="1"/>
  <c r="AE177" i="1"/>
  <c r="AE160" i="1"/>
  <c r="AE145" i="1"/>
  <c r="AE224" i="1"/>
  <c r="AE208" i="1"/>
  <c r="AE193" i="1"/>
  <c r="AE192" i="1"/>
  <c r="AE336" i="1"/>
  <c r="AE144" i="1"/>
  <c r="AE257" i="1"/>
  <c r="AE241" i="1"/>
  <c r="AE240" i="1"/>
  <c r="AE112" i="1"/>
  <c r="AE237" i="1"/>
  <c r="AE96" i="1"/>
  <c r="AE128" i="1"/>
  <c r="AE113" i="1"/>
  <c r="AE225" i="1"/>
  <c r="AE65" i="1"/>
  <c r="AE287" i="1"/>
  <c r="AE79" i="1"/>
  <c r="AE335" i="1"/>
  <c r="AE127" i="1"/>
  <c r="AE175" i="1"/>
  <c r="AE77" i="1"/>
  <c r="AE125" i="1"/>
  <c r="AE173" i="1"/>
  <c r="AD14" i="1"/>
  <c r="AE319" i="1"/>
  <c r="AE269" i="1"/>
  <c r="AE111" i="1"/>
  <c r="AE62" i="1"/>
  <c r="AE318" i="1"/>
  <c r="AE159" i="1"/>
  <c r="AE110" i="1"/>
  <c r="AE61" i="1"/>
  <c r="AE317" i="1"/>
  <c r="AE256" i="1"/>
  <c r="AE207" i="1"/>
  <c r="AE158" i="1"/>
  <c r="AE109" i="1"/>
  <c r="AE49" i="1"/>
  <c r="AD2" i="1"/>
  <c r="AE305" i="1"/>
  <c r="AE255" i="1"/>
  <c r="AE206" i="1"/>
  <c r="AE157" i="1"/>
  <c r="AE97" i="1"/>
  <c r="AE48" i="1"/>
  <c r="AE223" i="1"/>
  <c r="AE222" i="1"/>
  <c r="AE270" i="1"/>
  <c r="AE63" i="1"/>
  <c r="AE205" i="1"/>
  <c r="AE303" i="1"/>
  <c r="AE95" i="1"/>
  <c r="AD3" i="1"/>
  <c r="AE302" i="1"/>
  <c r="AE143" i="1"/>
  <c r="AE94" i="1"/>
  <c r="AE350" i="1"/>
  <c r="AE301" i="1"/>
  <c r="AE191" i="1"/>
  <c r="AE142" i="1"/>
  <c r="AE93" i="1"/>
  <c r="AE349" i="1"/>
  <c r="AE289" i="1"/>
  <c r="AE239" i="1"/>
  <c r="AE190" i="1"/>
  <c r="AE141" i="1"/>
  <c r="AE81" i="1"/>
  <c r="AE32" i="1"/>
  <c r="AE286" i="1"/>
  <c r="AE78" i="1"/>
  <c r="AE334" i="1"/>
  <c r="AE126" i="1"/>
  <c r="AE333" i="1"/>
  <c r="AE174" i="1"/>
  <c r="AD15" i="1"/>
  <c r="AE271" i="1"/>
  <c r="AE221" i="1"/>
  <c r="AD5" i="1"/>
  <c r="AE254" i="1"/>
  <c r="AE47" i="1"/>
  <c r="AD4" i="1"/>
  <c r="AE253" i="1"/>
  <c r="AE46" i="1"/>
  <c r="AE45" i="1"/>
  <c r="AE337" i="1"/>
  <c r="AE288" i="1"/>
  <c r="AE238" i="1"/>
  <c r="AE189" i="1"/>
  <c r="AE129" i="1"/>
  <c r="AE80" i="1"/>
  <c r="AE31" i="1"/>
  <c r="S332" i="1"/>
  <c r="AE332" i="1"/>
  <c r="S300" i="1"/>
  <c r="AE300" i="1"/>
  <c r="S268" i="1"/>
  <c r="AE268" i="1"/>
  <c r="S236" i="1"/>
  <c r="AE236" i="1"/>
  <c r="S204" i="1"/>
  <c r="AE204" i="1"/>
  <c r="S172" i="1"/>
  <c r="AE172" i="1"/>
  <c r="S140" i="1"/>
  <c r="AE140" i="1"/>
  <c r="S108" i="1"/>
  <c r="AE108" i="1"/>
  <c r="S76" i="1"/>
  <c r="AE76" i="1"/>
  <c r="S44" i="1"/>
  <c r="AE44" i="1"/>
  <c r="S12" i="1"/>
  <c r="AD12" i="1"/>
  <c r="S347" i="1"/>
  <c r="AE347" i="1"/>
  <c r="S315" i="1"/>
  <c r="AE315" i="1"/>
  <c r="S283" i="1"/>
  <c r="AE283" i="1"/>
  <c r="S251" i="1"/>
  <c r="AE251" i="1"/>
  <c r="S219" i="1"/>
  <c r="AE219" i="1"/>
  <c r="S171" i="1"/>
  <c r="AE171" i="1"/>
  <c r="S139" i="1"/>
  <c r="AE139" i="1"/>
  <c r="S107" i="1"/>
  <c r="AE107" i="1"/>
  <c r="S75" i="1"/>
  <c r="AE75" i="1"/>
  <c r="S43" i="1"/>
  <c r="AE43" i="1"/>
  <c r="S346" i="1"/>
  <c r="AE346" i="1"/>
  <c r="S314" i="1"/>
  <c r="AE314" i="1"/>
  <c r="S282" i="1"/>
  <c r="AE282" i="1"/>
  <c r="S234" i="1"/>
  <c r="AE234" i="1"/>
  <c r="S202" i="1"/>
  <c r="AE202" i="1"/>
  <c r="S170" i="1"/>
  <c r="AE170" i="1"/>
  <c r="S138" i="1"/>
  <c r="AE138" i="1"/>
  <c r="S106" i="1"/>
  <c r="AE106" i="1"/>
  <c r="S74" i="1"/>
  <c r="AE74" i="1"/>
  <c r="S42" i="1"/>
  <c r="AE42" i="1"/>
  <c r="S10" i="1"/>
  <c r="AD10" i="1"/>
  <c r="S329" i="1"/>
  <c r="AE329" i="1"/>
  <c r="S281" i="1"/>
  <c r="AE281" i="1"/>
  <c r="S249" i="1"/>
  <c r="AE249" i="1"/>
  <c r="S217" i="1"/>
  <c r="AE217" i="1"/>
  <c r="S185" i="1"/>
  <c r="AE185" i="1"/>
  <c r="S153" i="1"/>
  <c r="AE153" i="1"/>
  <c r="S121" i="1"/>
  <c r="AE121" i="1"/>
  <c r="S89" i="1"/>
  <c r="AE89" i="1"/>
  <c r="S57" i="1"/>
  <c r="AE57" i="1"/>
  <c r="S41" i="1"/>
  <c r="AE41" i="1"/>
  <c r="S9" i="1"/>
  <c r="AD9" i="1"/>
  <c r="S344" i="1"/>
  <c r="AE344" i="1"/>
  <c r="S312" i="1"/>
  <c r="AE312" i="1"/>
  <c r="S280" i="1"/>
  <c r="AE280" i="1"/>
  <c r="S248" i="1"/>
  <c r="AE248" i="1"/>
  <c r="S216" i="1"/>
  <c r="AE216" i="1"/>
  <c r="S184" i="1"/>
  <c r="AE184" i="1"/>
  <c r="S152" i="1"/>
  <c r="AE152" i="1"/>
  <c r="S104" i="1"/>
  <c r="AE104" i="1"/>
  <c r="S72" i="1"/>
  <c r="AE72" i="1"/>
  <c r="S24" i="1"/>
  <c r="AD24" i="1"/>
  <c r="S348" i="1"/>
  <c r="AE348" i="1"/>
  <c r="S316" i="1"/>
  <c r="AE316" i="1"/>
  <c r="S284" i="1"/>
  <c r="AE284" i="1"/>
  <c r="S252" i="1"/>
  <c r="AE252" i="1"/>
  <c r="S220" i="1"/>
  <c r="AE220" i="1"/>
  <c r="S188" i="1"/>
  <c r="AE188" i="1"/>
  <c r="S156" i="1"/>
  <c r="AE156" i="1"/>
  <c r="S124" i="1"/>
  <c r="AE124" i="1"/>
  <c r="S92" i="1"/>
  <c r="AE92" i="1"/>
  <c r="S60" i="1"/>
  <c r="AE60" i="1"/>
  <c r="S28" i="1"/>
  <c r="AE28" i="1"/>
  <c r="S331" i="1"/>
  <c r="AE331" i="1"/>
  <c r="S299" i="1"/>
  <c r="AE299" i="1"/>
  <c r="S267" i="1"/>
  <c r="AE267" i="1"/>
  <c r="S235" i="1"/>
  <c r="AE235" i="1"/>
  <c r="S203" i="1"/>
  <c r="AE203" i="1"/>
  <c r="S187" i="1"/>
  <c r="AE187" i="1"/>
  <c r="S155" i="1"/>
  <c r="AE155" i="1"/>
  <c r="S123" i="1"/>
  <c r="AE123" i="1"/>
  <c r="S91" i="1"/>
  <c r="AE91" i="1"/>
  <c r="S59" i="1"/>
  <c r="AE59" i="1"/>
  <c r="S27" i="1"/>
  <c r="AE27" i="1"/>
  <c r="S11" i="1"/>
  <c r="AD11" i="1"/>
  <c r="S330" i="1"/>
  <c r="AE330" i="1"/>
  <c r="S298" i="1"/>
  <c r="AE298" i="1"/>
  <c r="S266" i="1"/>
  <c r="AE266" i="1"/>
  <c r="S250" i="1"/>
  <c r="AE250" i="1"/>
  <c r="S218" i="1"/>
  <c r="AE218" i="1"/>
  <c r="S186" i="1"/>
  <c r="AE186" i="1"/>
  <c r="S154" i="1"/>
  <c r="AE154" i="1"/>
  <c r="S122" i="1"/>
  <c r="AE122" i="1"/>
  <c r="S90" i="1"/>
  <c r="AE90" i="1"/>
  <c r="S58" i="1"/>
  <c r="AE58" i="1"/>
  <c r="S26" i="1"/>
  <c r="AE26" i="1"/>
  <c r="S345" i="1"/>
  <c r="AE345" i="1"/>
  <c r="S313" i="1"/>
  <c r="AE313" i="1"/>
  <c r="S297" i="1"/>
  <c r="AE297" i="1"/>
  <c r="S265" i="1"/>
  <c r="AE265" i="1"/>
  <c r="S233" i="1"/>
  <c r="AE233" i="1"/>
  <c r="S201" i="1"/>
  <c r="AE201" i="1"/>
  <c r="S169" i="1"/>
  <c r="AE169" i="1"/>
  <c r="S137" i="1"/>
  <c r="AE137" i="1"/>
  <c r="S105" i="1"/>
  <c r="AE105" i="1"/>
  <c r="S73" i="1"/>
  <c r="AE73" i="1"/>
  <c r="S25" i="1"/>
  <c r="AE25" i="1"/>
  <c r="S328" i="1"/>
  <c r="AE328" i="1"/>
  <c r="S296" i="1"/>
  <c r="AE296" i="1"/>
  <c r="S264" i="1"/>
  <c r="AE264" i="1"/>
  <c r="S232" i="1"/>
  <c r="AE232" i="1"/>
  <c r="S200" i="1"/>
  <c r="AE200" i="1"/>
  <c r="S168" i="1"/>
  <c r="AE168" i="1"/>
  <c r="S136" i="1"/>
  <c r="AE136" i="1"/>
  <c r="S120" i="1"/>
  <c r="AE120" i="1"/>
  <c r="S88" i="1"/>
  <c r="AE88" i="1"/>
  <c r="S56" i="1"/>
  <c r="AE56" i="1"/>
  <c r="S40" i="1"/>
  <c r="AE40" i="1"/>
  <c r="S8" i="1"/>
  <c r="AD8" i="1"/>
  <c r="S13" i="1"/>
  <c r="AD13" i="1"/>
  <c r="AE285" i="1"/>
  <c r="AE29" i="1"/>
  <c r="AE327" i="1"/>
  <c r="AE279" i="1"/>
  <c r="AE231" i="1"/>
  <c r="AE183" i="1"/>
  <c r="AE151" i="1"/>
  <c r="AE103" i="1"/>
  <c r="AE71" i="1"/>
  <c r="AE39" i="1"/>
  <c r="AE326" i="1"/>
  <c r="AE278" i="1"/>
  <c r="AE230" i="1"/>
  <c r="AE166" i="1"/>
  <c r="AE102" i="1"/>
  <c r="AE54" i="1"/>
  <c r="AE340" i="1"/>
  <c r="AE324" i="1"/>
  <c r="AE308" i="1"/>
  <c r="AE292" i="1"/>
  <c r="AE276" i="1"/>
  <c r="AE260" i="1"/>
  <c r="AE244" i="1"/>
  <c r="AE228" i="1"/>
  <c r="AE212" i="1"/>
  <c r="AE196" i="1"/>
  <c r="AE180" i="1"/>
  <c r="AE164" i="1"/>
  <c r="AE148" i="1"/>
  <c r="AE132" i="1"/>
  <c r="AE116" i="1"/>
  <c r="AE100" i="1"/>
  <c r="AE84" i="1"/>
  <c r="AE68" i="1"/>
  <c r="AE52" i="1"/>
  <c r="AE36" i="1"/>
  <c r="AD20" i="1"/>
  <c r="AE311" i="1"/>
  <c r="AE263" i="1"/>
  <c r="AE247" i="1"/>
  <c r="AE199" i="1"/>
  <c r="AE135" i="1"/>
  <c r="AE87" i="1"/>
  <c r="AD23" i="1"/>
  <c r="AE310" i="1"/>
  <c r="AE262" i="1"/>
  <c r="AE214" i="1"/>
  <c r="AE182" i="1"/>
  <c r="AE134" i="1"/>
  <c r="AE86" i="1"/>
  <c r="AE38" i="1"/>
  <c r="AE341" i="1"/>
  <c r="AE309" i="1"/>
  <c r="AE277" i="1"/>
  <c r="AE245" i="1"/>
  <c r="AE197" i="1"/>
  <c r="AE165" i="1"/>
  <c r="AE133" i="1"/>
  <c r="AE101" i="1"/>
  <c r="AE37" i="1"/>
  <c r="AD7" i="1"/>
  <c r="AE339" i="1"/>
  <c r="AE323" i="1"/>
  <c r="AE307" i="1"/>
  <c r="AE291" i="1"/>
  <c r="AE275" i="1"/>
  <c r="AE259" i="1"/>
  <c r="AE243" i="1"/>
  <c r="AE227" i="1"/>
  <c r="AE211" i="1"/>
  <c r="AE195" i="1"/>
  <c r="AE179" i="1"/>
  <c r="AE163" i="1"/>
  <c r="AE147" i="1"/>
  <c r="AE131" i="1"/>
  <c r="AE115" i="1"/>
  <c r="AE99" i="1"/>
  <c r="AE83" i="1"/>
  <c r="AE67" i="1"/>
  <c r="AE51" i="1"/>
  <c r="AE35" i="1"/>
  <c r="AD19" i="1"/>
  <c r="AE343" i="1"/>
  <c r="AE295" i="1"/>
  <c r="AE215" i="1"/>
  <c r="AE167" i="1"/>
  <c r="AE119" i="1"/>
  <c r="AE55" i="1"/>
  <c r="AE342" i="1"/>
  <c r="AE294" i="1"/>
  <c r="AE246" i="1"/>
  <c r="AE198" i="1"/>
  <c r="AE150" i="1"/>
  <c r="AE118" i="1"/>
  <c r="AE70" i="1"/>
  <c r="AD22" i="1"/>
  <c r="AE325" i="1"/>
  <c r="AE293" i="1"/>
  <c r="AE261" i="1"/>
  <c r="AE229" i="1"/>
  <c r="AE213" i="1"/>
  <c r="AE181" i="1"/>
  <c r="AE149" i="1"/>
  <c r="AE117" i="1"/>
  <c r="AE85" i="1"/>
  <c r="AE69" i="1"/>
  <c r="AE53" i="1"/>
  <c r="AD21" i="1"/>
  <c r="AD6" i="1"/>
  <c r="AE338" i="1"/>
  <c r="AE322" i="1"/>
  <c r="AE306" i="1"/>
  <c r="AE290" i="1"/>
  <c r="AE274" i="1"/>
  <c r="AE258" i="1"/>
  <c r="AE242" i="1"/>
  <c r="AE226" i="1"/>
  <c r="AE210" i="1"/>
  <c r="AE194" i="1"/>
  <c r="AE178" i="1"/>
  <c r="AE162" i="1"/>
  <c r="AE146" i="1"/>
  <c r="AE130" i="1"/>
  <c r="AE114" i="1"/>
  <c r="AE98" i="1"/>
  <c r="AE82" i="1"/>
  <c r="AE66" i="1"/>
  <c r="AE50" i="1"/>
  <c r="AE34" i="1"/>
  <c r="AD18" i="1"/>
  <c r="M37" i="8" l="1"/>
  <c r="U2" i="1" a="1"/>
  <c r="U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<sst xmlns="http://schemas.openxmlformats.org/spreadsheetml/2006/main" count="4130" uniqueCount="497">
  <si>
    <t>Customer ID</t>
  </si>
  <si>
    <t>First Name</t>
  </si>
  <si>
    <t>Last Name</t>
  </si>
  <si>
    <t>Age</t>
  </si>
  <si>
    <t>Gender</t>
  </si>
  <si>
    <t>Account Type</t>
  </si>
  <si>
    <t>Loan Status</t>
  </si>
  <si>
    <t>Loan Amount</t>
  </si>
  <si>
    <t>Credit Score</t>
  </si>
  <si>
    <t>Investment Type</t>
  </si>
  <si>
    <t>Credit Card Offers</t>
  </si>
  <si>
    <t>Online Banking Status</t>
  </si>
  <si>
    <t>John</t>
  </si>
  <si>
    <t>Doe</t>
  </si>
  <si>
    <t>M</t>
  </si>
  <si>
    <t>Checking</t>
  </si>
  <si>
    <t>No</t>
  </si>
  <si>
    <t>Stocks</t>
  </si>
  <si>
    <t>Active</t>
  </si>
  <si>
    <t>Jane</t>
  </si>
  <si>
    <t>Smith</t>
  </si>
  <si>
    <t>F</t>
  </si>
  <si>
    <t>Savings</t>
  </si>
  <si>
    <t>Yes</t>
  </si>
  <si>
    <t>Bonds</t>
  </si>
  <si>
    <t>Inactive</t>
  </si>
  <si>
    <t>Emily</t>
  </si>
  <si>
    <t>Johnson</t>
  </si>
  <si>
    <t>Mutual Funds</t>
  </si>
  <si>
    <t>Michael</t>
  </si>
  <si>
    <t>Brown</t>
  </si>
  <si>
    <t>Real Estate</t>
  </si>
  <si>
    <t>Sarah</t>
  </si>
  <si>
    <t>Davis</t>
  </si>
  <si>
    <t>William</t>
  </si>
  <si>
    <t>Martinez</t>
  </si>
  <si>
    <t>Olivia</t>
  </si>
  <si>
    <t>Lee</t>
  </si>
  <si>
    <t>James</t>
  </si>
  <si>
    <t>Wilson</t>
  </si>
  <si>
    <t>Ava</t>
  </si>
  <si>
    <t>Anderson</t>
  </si>
  <si>
    <t>Ethan</t>
  </si>
  <si>
    <t>Thomas</t>
  </si>
  <si>
    <t>Isabella</t>
  </si>
  <si>
    <t>White</t>
  </si>
  <si>
    <t>Benjamin</t>
  </si>
  <si>
    <t>Harris</t>
  </si>
  <si>
    <t>Mia</t>
  </si>
  <si>
    <t>Clark</t>
  </si>
  <si>
    <t>Jacob</t>
  </si>
  <si>
    <t>Lewis</t>
  </si>
  <si>
    <t>Charlotte</t>
  </si>
  <si>
    <t>Walker</t>
  </si>
  <si>
    <t>Daniel</t>
  </si>
  <si>
    <t>Hall</t>
  </si>
  <si>
    <t>Amelia</t>
  </si>
  <si>
    <t>Allen</t>
  </si>
  <si>
    <t>Lucas</t>
  </si>
  <si>
    <t>Young</t>
  </si>
  <si>
    <t>Harper</t>
  </si>
  <si>
    <t>King</t>
  </si>
  <si>
    <t>Alexander</t>
  </si>
  <si>
    <t>Scott</t>
  </si>
  <si>
    <t>Sophia</t>
  </si>
  <si>
    <t>Green</t>
  </si>
  <si>
    <t>Henry</t>
  </si>
  <si>
    <t>Adams</t>
  </si>
  <si>
    <t>Ella</t>
  </si>
  <si>
    <t>Baker</t>
  </si>
  <si>
    <t>Jack</t>
  </si>
  <si>
    <t>Nelson</t>
  </si>
  <si>
    <t>Grace</t>
  </si>
  <si>
    <t>Carter</t>
  </si>
  <si>
    <t>Mitchell</t>
  </si>
  <si>
    <t>Lily</t>
  </si>
  <si>
    <t>Roberts</t>
  </si>
  <si>
    <t>Natalie</t>
  </si>
  <si>
    <t>Thompson</t>
  </si>
  <si>
    <t>Oliver</t>
  </si>
  <si>
    <t xml:space="preserve">Premium </t>
  </si>
  <si>
    <t xml:space="preserve">standard </t>
  </si>
  <si>
    <t xml:space="preserve">none </t>
  </si>
  <si>
    <t>Q1</t>
  </si>
  <si>
    <t>Q2</t>
  </si>
  <si>
    <t>Q3</t>
  </si>
  <si>
    <t>Q4</t>
  </si>
  <si>
    <t>Q5</t>
  </si>
  <si>
    <t>Q6</t>
  </si>
  <si>
    <t>Q7</t>
  </si>
  <si>
    <t>Q8</t>
  </si>
  <si>
    <t>Q9</t>
  </si>
  <si>
    <t>Q10</t>
  </si>
  <si>
    <t>Q11</t>
  </si>
  <si>
    <t>Q12</t>
  </si>
  <si>
    <t>Q13</t>
  </si>
  <si>
    <t>Q14</t>
  </si>
  <si>
    <t>Account Balance$</t>
  </si>
  <si>
    <t>Annual Income$</t>
  </si>
  <si>
    <t>HARD</t>
  </si>
  <si>
    <t>Mary</t>
  </si>
  <si>
    <t>Patricia</t>
  </si>
  <si>
    <t>Williams</t>
  </si>
  <si>
    <t>Robert</t>
  </si>
  <si>
    <t>Jones</t>
  </si>
  <si>
    <t>Jennifer</t>
  </si>
  <si>
    <t>Miller</t>
  </si>
  <si>
    <t>Linda</t>
  </si>
  <si>
    <t>Garcia</t>
  </si>
  <si>
    <t>Rodriguez</t>
  </si>
  <si>
    <t>Elizabeth</t>
  </si>
  <si>
    <t>David</t>
  </si>
  <si>
    <t>Barbara</t>
  </si>
  <si>
    <t>Richard</t>
  </si>
  <si>
    <t>Taylor</t>
  </si>
  <si>
    <t>Susan</t>
  </si>
  <si>
    <t>Joseph</t>
  </si>
  <si>
    <t>Hernandez</t>
  </si>
  <si>
    <t>Jessica</t>
  </si>
  <si>
    <t>Moore</t>
  </si>
  <si>
    <t>Martin</t>
  </si>
  <si>
    <t>Jackson</t>
  </si>
  <si>
    <t>Charles</t>
  </si>
  <si>
    <t>Karen</t>
  </si>
  <si>
    <t>Christopher</t>
  </si>
  <si>
    <t>Nancy</t>
  </si>
  <si>
    <t>Lisa</t>
  </si>
  <si>
    <t>Matthew</t>
  </si>
  <si>
    <t>Robinson</t>
  </si>
  <si>
    <t>Margaret</t>
  </si>
  <si>
    <t>Anthony</t>
  </si>
  <si>
    <t>Perez</t>
  </si>
  <si>
    <t>Sandra</t>
  </si>
  <si>
    <t>Mark</t>
  </si>
  <si>
    <t>Donna</t>
  </si>
  <si>
    <t>Paul</t>
  </si>
  <si>
    <t>Carol</t>
  </si>
  <si>
    <t>Wright</t>
  </si>
  <si>
    <t>Steven</t>
  </si>
  <si>
    <t>Kimberly</t>
  </si>
  <si>
    <t>Andrew</t>
  </si>
  <si>
    <t>Michelle</t>
  </si>
  <si>
    <t>Joshua</t>
  </si>
  <si>
    <t>Gonzalez</t>
  </si>
  <si>
    <t>Deborah</t>
  </si>
  <si>
    <t>Kevin</t>
  </si>
  <si>
    <t>Brian</t>
  </si>
  <si>
    <t>Amanda</t>
  </si>
  <si>
    <t>George</t>
  </si>
  <si>
    <t>Turner</t>
  </si>
  <si>
    <t>Laura</t>
  </si>
  <si>
    <t>Phillips</t>
  </si>
  <si>
    <t>Edward</t>
  </si>
  <si>
    <t>Campbell</t>
  </si>
  <si>
    <t>Melissa</t>
  </si>
  <si>
    <t>Parker</t>
  </si>
  <si>
    <t>Donald</t>
  </si>
  <si>
    <t>Evans</t>
  </si>
  <si>
    <t>Rebecca</t>
  </si>
  <si>
    <t>Edwards</t>
  </si>
  <si>
    <t>Kenneth</t>
  </si>
  <si>
    <t>Collins</t>
  </si>
  <si>
    <t>Stephanie</t>
  </si>
  <si>
    <t>Stewart</t>
  </si>
  <si>
    <t>Ronald</t>
  </si>
  <si>
    <t>Morris</t>
  </si>
  <si>
    <t>Amy</t>
  </si>
  <si>
    <t>Rogers</t>
  </si>
  <si>
    <t>Timothy</t>
  </si>
  <si>
    <t>Reed</t>
  </si>
  <si>
    <t>Angela</t>
  </si>
  <si>
    <t>Cook</t>
  </si>
  <si>
    <t>Jason</t>
  </si>
  <si>
    <t>Morgan</t>
  </si>
  <si>
    <t>Sharon</t>
  </si>
  <si>
    <t>Bell</t>
  </si>
  <si>
    <t>Jeffery</t>
  </si>
  <si>
    <t>Murphy</t>
  </si>
  <si>
    <t>Anna</t>
  </si>
  <si>
    <t>Bailey</t>
  </si>
  <si>
    <t>Ryan</t>
  </si>
  <si>
    <t>Rivera</t>
  </si>
  <si>
    <t>Rachel</t>
  </si>
  <si>
    <t>Cooper</t>
  </si>
  <si>
    <t>Gary</t>
  </si>
  <si>
    <t>Richardson</t>
  </si>
  <si>
    <t>Samantha</t>
  </si>
  <si>
    <t>Cox</t>
  </si>
  <si>
    <t>Howard</t>
  </si>
  <si>
    <t>Heather</t>
  </si>
  <si>
    <t>Ward</t>
  </si>
  <si>
    <t>Nicholas</t>
  </si>
  <si>
    <t>Torres</t>
  </si>
  <si>
    <t>Megan</t>
  </si>
  <si>
    <t>Peterson</t>
  </si>
  <si>
    <t>Eric</t>
  </si>
  <si>
    <t>Gray</t>
  </si>
  <si>
    <t>Shirley</t>
  </si>
  <si>
    <t>Ramirez</t>
  </si>
  <si>
    <t>Jonathan</t>
  </si>
  <si>
    <t>Christine</t>
  </si>
  <si>
    <t>Watson</t>
  </si>
  <si>
    <t>Larry</t>
  </si>
  <si>
    <t>Brooks</t>
  </si>
  <si>
    <t>Sanders</t>
  </si>
  <si>
    <t>Justin</t>
  </si>
  <si>
    <t>Price</t>
  </si>
  <si>
    <t>Betty</t>
  </si>
  <si>
    <t>Bennett</t>
  </si>
  <si>
    <t>Raymond</t>
  </si>
  <si>
    <t>Wood</t>
  </si>
  <si>
    <t>Dorothy</t>
  </si>
  <si>
    <t>Barnes</t>
  </si>
  <si>
    <t>Ross</t>
  </si>
  <si>
    <t>Henderson</t>
  </si>
  <si>
    <t>Adam</t>
  </si>
  <si>
    <t>Coleman</t>
  </si>
  <si>
    <t>Julie</t>
  </si>
  <si>
    <t>Jenkins</t>
  </si>
  <si>
    <t>Harold</t>
  </si>
  <si>
    <t>Perry</t>
  </si>
  <si>
    <t>Evelyn</t>
  </si>
  <si>
    <t>Powell</t>
  </si>
  <si>
    <t>Long</t>
  </si>
  <si>
    <t>Lauren</t>
  </si>
  <si>
    <t>Patterson</t>
  </si>
  <si>
    <t>Frank</t>
  </si>
  <si>
    <t>Hughes</t>
  </si>
  <si>
    <t>Kathryn</t>
  </si>
  <si>
    <t>Flores</t>
  </si>
  <si>
    <t>Patrick</t>
  </si>
  <si>
    <t>Washington</t>
  </si>
  <si>
    <t>Nicole</t>
  </si>
  <si>
    <t>Butler</t>
  </si>
  <si>
    <t>Dennis</t>
  </si>
  <si>
    <t>Simmons</t>
  </si>
  <si>
    <t>Kathy</t>
  </si>
  <si>
    <t>Foster</t>
  </si>
  <si>
    <t>Jerry</t>
  </si>
  <si>
    <t>Gonzales</t>
  </si>
  <si>
    <t>Brenda</t>
  </si>
  <si>
    <t>Bryant</t>
  </si>
  <si>
    <t>Ruth</t>
  </si>
  <si>
    <t>Russell</t>
  </si>
  <si>
    <t>Carl</t>
  </si>
  <si>
    <t>Griffin</t>
  </si>
  <si>
    <t>Maria</t>
  </si>
  <si>
    <t>Diaz</t>
  </si>
  <si>
    <t>Wayne</t>
  </si>
  <si>
    <t>Hayes</t>
  </si>
  <si>
    <t>Marilyn</t>
  </si>
  <si>
    <t>Myers</t>
  </si>
  <si>
    <t>Nathan</t>
  </si>
  <si>
    <t>Ford</t>
  </si>
  <si>
    <t>Judith</t>
  </si>
  <si>
    <t>Hamilton</t>
  </si>
  <si>
    <t>Melanie</t>
  </si>
  <si>
    <t>Shane</t>
  </si>
  <si>
    <t>Sophie</t>
  </si>
  <si>
    <t>Cole</t>
  </si>
  <si>
    <t>Hannah</t>
  </si>
  <si>
    <t>Derek</t>
  </si>
  <si>
    <t>Kelly</t>
  </si>
  <si>
    <t>Teresa</t>
  </si>
  <si>
    <t>Jeremy</t>
  </si>
  <si>
    <t>Wendy</t>
  </si>
  <si>
    <t>Keith</t>
  </si>
  <si>
    <t>Stone</t>
  </si>
  <si>
    <t>Alice</t>
  </si>
  <si>
    <t>Craig</t>
  </si>
  <si>
    <t>Anita</t>
  </si>
  <si>
    <t>Julia</t>
  </si>
  <si>
    <t>Brad</t>
  </si>
  <si>
    <t>Walter</t>
  </si>
  <si>
    <t>Gina</t>
  </si>
  <si>
    <t>Carrie</t>
  </si>
  <si>
    <t>Joel</t>
  </si>
  <si>
    <t>Gilbert</t>
  </si>
  <si>
    <t>Austin</t>
  </si>
  <si>
    <t>Sylvia</t>
  </si>
  <si>
    <t>Zachary</t>
  </si>
  <si>
    <t>Bruce</t>
  </si>
  <si>
    <t>Claire</t>
  </si>
  <si>
    <t>Philip</t>
  </si>
  <si>
    <t>Bradley</t>
  </si>
  <si>
    <t>Emma</t>
  </si>
  <si>
    <t>Douglas</t>
  </si>
  <si>
    <t>Vicki</t>
  </si>
  <si>
    <t>Kurt</t>
  </si>
  <si>
    <t>Shawn</t>
  </si>
  <si>
    <t>Erin</t>
  </si>
  <si>
    <t>Monica</t>
  </si>
  <si>
    <t>Danielle</t>
  </si>
  <si>
    <t>Denise</t>
  </si>
  <si>
    <t>Theresa</t>
  </si>
  <si>
    <t>Debra</t>
  </si>
  <si>
    <t>Greg</t>
  </si>
  <si>
    <t>Janet</t>
  </si>
  <si>
    <t>West</t>
  </si>
  <si>
    <t>Alex</t>
  </si>
  <si>
    <t>Jacqueline</t>
  </si>
  <si>
    <t xml:space="preserve">Interest rate </t>
  </si>
  <si>
    <t>No loan</t>
  </si>
  <si>
    <t>Easy Level Story Problems</t>
  </si>
  <si>
    <r>
      <t>Average Income:</t>
    </r>
    <r>
      <rPr>
        <sz val="11"/>
        <color theme="1"/>
        <rFont val="Calibri"/>
        <family val="2"/>
        <scheme val="minor"/>
      </rPr>
      <t xml:space="preserve"> As a junior manager at SwiftBank, you've been asked to help the bank understand the financial profile of its customers. Your first task is to calculate the average annual income of all account holders. Can you help SwiftBank get this important insight?</t>
    </r>
  </si>
  <si>
    <r>
      <t>Median Bank Balance:</t>
    </r>
    <r>
      <rPr>
        <sz val="11"/>
        <color theme="1"/>
        <rFont val="Calibri"/>
        <family val="2"/>
        <scheme val="minor"/>
      </rPr>
      <t xml:space="preserve"> The finance team at SwiftBank is trying to understand the typical financial standing of its clients. They’ve asked you to find the median bank balance, which represents the middle value in the data. Can you calculate this to provide a better picture of the average customer’s savings?</t>
    </r>
  </si>
  <si>
    <r>
      <t>Smallest Loan:</t>
    </r>
    <r>
      <rPr>
        <sz val="11"/>
        <color theme="1"/>
        <rFont val="Calibri"/>
        <family val="2"/>
        <scheme val="minor"/>
      </rPr>
      <t xml:space="preserve"> Your manager needs to identify the 5th smallest loan amount among all SwiftBank customers. This will help understand the lower end of loan distributions. Can you find the 5th smallest loan amount in the dataset?</t>
    </r>
  </si>
  <si>
    <r>
      <t>3rd Highest Credit Score:</t>
    </r>
    <r>
      <rPr>
        <sz val="11"/>
        <color theme="1"/>
        <rFont val="Calibri"/>
        <family val="2"/>
        <scheme val="minor"/>
      </rPr>
      <t xml:space="preserve"> The credit team is working on a campaign targeting customers with excellent credit scores. To begin, they need you to identify the customer with the 3rd highest credit score in the entire bank. Can you help find this high credit score?</t>
    </r>
  </si>
  <si>
    <r>
      <t>Most Frequent Credit Score:</t>
    </r>
    <r>
      <rPr>
        <sz val="11"/>
        <color theme="1"/>
        <rFont val="Calibri"/>
        <family val="2"/>
        <scheme val="minor"/>
      </rPr>
      <t xml:space="preserve"> SwiftBank is trying to identify credit score patterns among its customers before issuing new loans. To assist, you’ve been asked to find the credit score that appears most frequently in the dataset. Can you determine which score is most common?</t>
    </r>
  </si>
  <si>
    <r>
      <t>Income-to-Loan Analysis:</t>
    </r>
    <r>
      <rPr>
        <sz val="11"/>
        <color theme="1"/>
        <rFont val="Calibri"/>
        <family val="2"/>
        <scheme val="minor"/>
      </rPr>
      <t xml:space="preserve"> You’re working on analyzing the income-to-loan ratio for SwiftBank’s customers. If any division error occurs, such as when there is no loan, you should label those cases as “Division Error.” Can you identify these errors and clean up the data?</t>
    </r>
  </si>
  <si>
    <r>
      <t>Check Data Types:</t>
    </r>
    <r>
      <rPr>
        <sz val="11"/>
        <color theme="1"/>
        <rFont val="Calibri"/>
        <family val="2"/>
        <scheme val="minor"/>
      </rPr>
      <t xml:space="preserve"> In your income-to-loan analysis, you want to ensure that all the calculated values are numbers. If any of the results are not numeric, further investigation is needed. Can you check which values are not numbers and flag them for review?</t>
    </r>
  </si>
  <si>
    <r>
      <t>Odd and Even Age Categorization:</t>
    </r>
    <r>
      <rPr>
        <sz val="11"/>
        <color theme="1"/>
        <rFont val="Calibri"/>
        <family val="2"/>
        <scheme val="minor"/>
      </rPr>
      <t xml:space="preserve"> SwiftBank wants to better understand the age distribution of its customers. To do so, they need to separate customers into two categories: odd-aged and even-aged. Can you categorize each client based on whether their age is odd or even?</t>
    </r>
  </si>
  <si>
    <r>
      <t>Lowest Account Balance (Premium Credit Card):</t>
    </r>
    <r>
      <rPr>
        <sz val="11"/>
        <color theme="1"/>
        <rFont val="Calibri"/>
        <family val="2"/>
        <scheme val="minor"/>
      </rPr>
      <t xml:space="preserve"> As part of their rewards program, SwiftBank needs to identify the customer with the lowest account balance who holds a premium credit card. Can you determine who this is?</t>
    </r>
  </si>
  <si>
    <r>
      <t>Credit Score Ranking:</t>
    </r>
    <r>
      <rPr>
        <sz val="11"/>
        <color theme="1"/>
        <rFont val="Calibri"/>
        <family val="2"/>
        <scheme val="minor"/>
      </rPr>
      <t xml:space="preserve"> SwiftBank is preparing to offer new high-value loans, but only to clients with excellent credit scores. To assist with this, they need you to rank all customers by credit score, from highest to lowest. Can you generate this ranking?</t>
    </r>
  </si>
  <si>
    <r>
      <t>Total Accounts and Smallest Balance:</t>
    </r>
    <r>
      <rPr>
        <sz val="11"/>
        <color theme="1"/>
        <rFont val="Calibri"/>
        <family val="2"/>
        <scheme val="minor"/>
      </rPr>
      <t xml:space="preserve"> SwiftBank’s leadership team wants to know how many active accounts they have. Additionally, they need to find out which customer has the smallest account balance. Can you provide the total number of accounts and identify the customer with the lowest balance?</t>
    </r>
  </si>
  <si>
    <r>
      <t>Total Annual Income and Max Values:</t>
    </r>
    <r>
      <rPr>
        <sz val="11"/>
        <color theme="1"/>
        <rFont val="Calibri"/>
        <family val="2"/>
        <scheme val="minor"/>
      </rPr>
      <t xml:space="preserve"> The bank's board of directors has requested a report that includes the total annual income of all account holders, as well as the highest annual income and largest account balance in the bank’s portfolio. Can you gather this information for the upcoming meeting?</t>
    </r>
  </si>
  <si>
    <t>Medium Level Story Problems</t>
  </si>
  <si>
    <r>
      <t>Active Online Banking Users:</t>
    </r>
    <r>
      <rPr>
        <sz val="11"/>
        <color theme="1"/>
        <rFont val="Calibri"/>
        <family val="2"/>
        <scheme val="minor"/>
      </rPr>
      <t xml:space="preserve"> SwiftBank is preparing a new strategy for its digital banking services and wants to understand how many clients actively use online banking. Additionally, they need you to calculate the 50th percentile (median) income for these active users. Can you gather this information for the bank’s report?</t>
    </r>
  </si>
  <si>
    <r>
      <t>Highest Loan Amount:</t>
    </r>
    <r>
      <rPr>
        <sz val="11"/>
        <color theme="1"/>
        <rFont val="Calibri"/>
        <family val="2"/>
        <scheme val="minor"/>
      </rPr>
      <t xml:space="preserve"> The credit department at SwiftBank wants to know how many clients have taken out loans. Additionally, they need to identify the highest loan amount in the system. Can you find this information?</t>
    </r>
  </si>
  <si>
    <r>
      <t>Non-Borrowers’ Smallest Balance:</t>
    </r>
    <r>
      <rPr>
        <sz val="11"/>
        <color theme="1"/>
        <rFont val="Calibri"/>
        <family val="2"/>
        <scheme val="minor"/>
      </rPr>
      <t xml:space="preserve"> The bank’s savings team is conducting a study on customers who haven’t taken out any loans. As part of this, they need you to find the 3rd smallest account balance among these non-borrowers. Can you provide the data?</t>
    </r>
  </si>
  <si>
    <r>
      <t>Premium Members’ Largest Balances:</t>
    </r>
    <r>
      <rPr>
        <sz val="11"/>
        <color theme="1"/>
        <rFont val="Calibri"/>
        <family val="2"/>
        <scheme val="minor"/>
      </rPr>
      <t xml:space="preserve"> SwiftBank is offering exclusive rewards to clients with premium memberships and high account balances. Your task is to find the 4th largest account balance among customers who hold premium memberships. Can you help identify this group?</t>
    </r>
  </si>
  <si>
    <r>
      <t>Female Clients’ Income:</t>
    </r>
    <r>
      <rPr>
        <sz val="11"/>
        <color theme="1"/>
        <rFont val="Calibri"/>
        <family val="2"/>
        <scheme val="minor"/>
      </rPr>
      <t xml:space="preserve"> SwiftBank is analyzing the financial health of its female clients. Your task is to find the second-lowest annual income among all women with accounts at the bank. Can you find this information for the analysis?</t>
    </r>
  </si>
  <si>
    <r>
      <t>Most Common Account Balance:</t>
    </r>
    <r>
      <rPr>
        <sz val="11"/>
        <color theme="1"/>
        <rFont val="Calibri"/>
        <family val="2"/>
        <scheme val="minor"/>
      </rPr>
      <t xml:space="preserve"> The finance team wants to understand the common financial behaviors of clients. To assist, they’ve asked you to identify the most common account balance among all customers. Additionally, they need the average balance. Can you determine both?</t>
    </r>
  </si>
  <si>
    <r>
      <t>75th Percentile Income and Balance:</t>
    </r>
    <r>
      <rPr>
        <sz val="11"/>
        <color theme="1"/>
        <rFont val="Calibri"/>
        <family val="2"/>
        <scheme val="minor"/>
      </rPr>
      <t xml:space="preserve"> SwiftBank is working on offering high-end financial products and needs to identify the wealthier clients. Your task is to find the 75th percentile for both annual income and account balance. Can you provide this data?</t>
    </r>
  </si>
  <si>
    <r>
      <t>Online Banking Users Categorization:</t>
    </r>
    <r>
      <rPr>
        <sz val="11"/>
        <color theme="1"/>
        <rFont val="Calibri"/>
        <family val="2"/>
        <scheme val="minor"/>
      </rPr>
      <t xml:space="preserve"> To better understand digital engagement, SwiftBank is categorizing clients who use online banking as “Good” users and those who don’t as “Bad” users. Can you group the customers accordingly?</t>
    </r>
  </si>
  <si>
    <r>
      <t>Error Check in Division Calculations:</t>
    </r>
    <r>
      <rPr>
        <sz val="11"/>
        <color theme="1"/>
        <rFont val="Calibri"/>
        <family val="2"/>
        <scheme val="minor"/>
      </rPr>
      <t xml:space="preserve"> In a previous analysis, you flagged cases where dividing income by loan amount resulted in errors. Now, you need to verify those flagged values using the ISERROR function to ensure there are no further issues. Can you check the accuracy of the data?</t>
    </r>
  </si>
  <si>
    <r>
      <t>Check Text in 'Interest Rate' Column:</t>
    </r>
    <r>
      <rPr>
        <sz val="11"/>
        <color theme="1"/>
        <rFont val="Calibri"/>
        <family val="2"/>
        <scheme val="minor"/>
      </rPr>
      <t xml:space="preserve"> The finance department is concerned that there might be non-numeric text in the 'Interest Rate' column, which should contain only numbers. Can you use a function to check for any text entries and flag them?</t>
    </r>
  </si>
  <si>
    <r>
      <t>40th Percentile for Odd-Aged Clients:</t>
    </r>
    <r>
      <rPr>
        <sz val="11"/>
        <color theme="1"/>
        <rFont val="Calibri"/>
        <family val="2"/>
        <scheme val="minor"/>
      </rPr>
      <t xml:space="preserve"> SwiftBank wants to learn more about clients with odd ages. First, calculate the total annual income for these odd-aged customers. Then, determine the 40th percentile of this income distribution. Can you perform this analysis?</t>
    </r>
  </si>
  <si>
    <r>
      <t>Active Consumers:</t>
    </r>
    <r>
      <rPr>
        <sz val="11"/>
        <color theme="1"/>
        <rFont val="Calibri"/>
        <family val="2"/>
        <scheme val="minor"/>
      </rPr>
      <t xml:space="preserve"> SwiftBank is identifying high-value clients for a new engagement program. To qualify, clients must have an account balance over $5,000 and an annual income greater than $7,000. Label these clients as “Active Consumers.” Can you complete this classification?</t>
    </r>
  </si>
  <si>
    <r>
      <t>Real Estate Investors:</t>
    </r>
    <r>
      <rPr>
        <sz val="11"/>
        <color theme="1"/>
        <rFont val="Calibri"/>
        <family val="2"/>
        <scheme val="minor"/>
      </rPr>
      <t xml:space="preserve"> The investment team at SwiftBank is tracking clients who are investing in real estate. They need to know how many clients are involved, the total amount invested, and the highest individual investment in real estate. Can you prepare this investment report?</t>
    </r>
  </si>
  <si>
    <t>Hard Level Story Problems</t>
  </si>
  <si>
    <r>
      <t>Female Mutual Fund Investors:</t>
    </r>
    <r>
      <rPr>
        <sz val="11"/>
        <color theme="1"/>
        <rFont val="Calibri"/>
        <family val="2"/>
        <scheme val="minor"/>
      </rPr>
      <t xml:space="preserve"> The investment team wants to focus on female clients who have invested in mutual funds and have a credit score above 500. Additionally, they want to know the highest account balance among these clients. Can you provide this report?</t>
    </r>
  </si>
  <si>
    <r>
      <t>Not Eligible for Credit Cards:</t>
    </r>
    <r>
      <rPr>
        <sz val="11"/>
        <color theme="1"/>
        <rFont val="Calibri"/>
        <family val="2"/>
        <scheme val="minor"/>
      </rPr>
      <t xml:space="preserve"> SwiftBank is reviewing its credit card offers. Clients over 40 with a credit score below 300 and an annual income under $8,000 will not be eligible for new credit cards. Can you mark these clients as “Not Eligible”?</t>
    </r>
  </si>
  <si>
    <r>
      <t>Inactive Female Clients’ Minimum Balance:</t>
    </r>
    <r>
      <rPr>
        <sz val="11"/>
        <color theme="1"/>
        <rFont val="Calibri"/>
        <family val="2"/>
        <scheme val="minor"/>
      </rPr>
      <t xml:space="preserve"> The marketing team is preparing a new campaign targeting inactive online banking users. They need you to find the minimum account balance for female clients who are not using online banking. Additionally, they need to know how many female clients are active versus inactive in online banking. Can you provide this information?</t>
    </r>
  </si>
  <si>
    <r>
      <t>Categorize Good and Bad Male Clients:</t>
    </r>
    <r>
      <rPr>
        <sz val="11"/>
        <color theme="1"/>
        <rFont val="Calibri"/>
        <family val="2"/>
        <scheme val="minor"/>
      </rPr>
      <t xml:space="preserve"> SwiftBank is analyzing its male clients who have checking accounts. Those with a balance over $2,000 and a credit score over 500 will be classified as “Good,” while others will be classified as “Bad.” Can you complete this segmentation?</t>
    </r>
  </si>
  <si>
    <r>
      <t>Report on the Highest Income (Savings Account):</t>
    </r>
    <r>
      <rPr>
        <sz val="11"/>
        <color theme="1"/>
        <rFont val="Calibri"/>
        <family val="2"/>
        <scheme val="minor"/>
      </rPr>
      <t xml:space="preserve"> SwiftBank’s leadership team needs a report on the client with the highest income who has a savings account and is eligible for a credit card. Can you prepare this report?</t>
    </r>
  </si>
  <si>
    <r>
      <t>Clients Who Accept All Offers:</t>
    </r>
    <r>
      <rPr>
        <sz val="11"/>
        <color theme="1"/>
        <rFont val="Calibri"/>
        <family val="2"/>
        <scheme val="minor"/>
      </rPr>
      <t xml:space="preserve"> In the market, only a few clients accept every offer SwiftBank provides. The bank needs you to create a new column that marks clients as “In Progress” if they have accepted a credit card offer, made an investment, and are active in online banking. Can you create this column?</t>
    </r>
  </si>
  <si>
    <r>
      <t>Second Smallest Income (Consumers from Above Question):</t>
    </r>
    <r>
      <rPr>
        <sz val="11"/>
        <color theme="1"/>
        <rFont val="Calibri"/>
        <family val="2"/>
        <scheme val="minor"/>
      </rPr>
      <t xml:space="preserve"> Using the "In Progress" customers from the previous question, the finance team would like to identify the second smallest annual income among these clients. Can you find this?</t>
    </r>
  </si>
  <si>
    <r>
      <t>20th Percentile for Mutual Fund Investors:</t>
    </r>
    <r>
      <rPr>
        <sz val="11"/>
        <color theme="1"/>
        <rFont val="Calibri"/>
        <family val="2"/>
        <scheme val="minor"/>
      </rPr>
      <t xml:space="preserve"> Mutual fund investments are becoming increasingly popular. SwiftBank wants to calculate the 20th percentile of annual income among clients who have invested in mutual funds. Can you provide this analysis?</t>
    </r>
  </si>
  <si>
    <r>
      <t>Highest Balance for Each Investment Type:</t>
    </r>
    <r>
      <rPr>
        <sz val="11"/>
        <color theme="1"/>
        <rFont val="Calibri"/>
        <family val="2"/>
        <scheme val="minor"/>
      </rPr>
      <t xml:space="preserve"> The investment team is studying current trends across various investment types. Your task is to find the highest account balance for each type of investment (stocks, bonds, real estate, and mutual funds). Can you gather these insights?</t>
    </r>
  </si>
  <si>
    <r>
      <t>Credit Card Offer Income Analysis:</t>
    </r>
    <r>
      <rPr>
        <sz val="11"/>
        <color theme="1"/>
        <rFont val="Calibri"/>
        <family val="2"/>
        <scheme val="minor"/>
      </rPr>
      <t xml:space="preserve"> SwiftBank wants to analyze its credit card offers based on annual income. Your task is to find the highest annual income for clients using each type of credit card (premium, standard, or none). Also, how many clients haven’t accepted any credit card offers? Can you provide this breakdown?</t>
    </r>
  </si>
  <si>
    <r>
      <t>Second Smallest Income for Female Clients:</t>
    </r>
    <r>
      <rPr>
        <sz val="11"/>
        <color theme="1"/>
        <rFont val="Calibri"/>
        <family val="2"/>
        <scheme val="minor"/>
      </rPr>
      <t xml:space="preserve"> The finance department wants to dive deeper into the income levels of female account holders. They need you to identify the second smallest annual income among female clients. Can you find this value?</t>
    </r>
  </si>
  <si>
    <r>
      <t>Savings Accounts Above the Median:</t>
    </r>
    <r>
      <rPr>
        <sz val="11"/>
        <color theme="1"/>
        <rFont val="Calibri"/>
        <family val="2"/>
        <scheme val="minor"/>
      </rPr>
      <t xml:space="preserve"> SwiftBank is analyzing savings account holders and wants to know how many clients have an annual income above the median. Additionally, they want to know the highest annual income among these clients. Can you complete this analysis?</t>
    </r>
  </si>
  <si>
    <r>
      <t>Total Income and Largest Balance for Savings Account Holders:</t>
    </r>
    <r>
      <rPr>
        <sz val="11"/>
        <color theme="1"/>
        <rFont val="Calibri"/>
        <family val="2"/>
        <scheme val="minor"/>
      </rPr>
      <t xml:space="preserve"> The bank is preparing a report on savings account holders. Your task is to calculate the total annual income for these clients and identify the largest account balance in this category. Can you help?</t>
    </r>
  </si>
  <si>
    <r>
      <t>Smallest Loan &amp; Stock Investors:</t>
    </r>
    <r>
      <rPr>
        <sz val="11"/>
        <color theme="1"/>
        <rFont val="Calibri"/>
        <family val="2"/>
        <scheme val="minor"/>
      </rPr>
      <t xml:space="preserve"> The investment team wants to know which clients invest in stocks, use a standard credit card, and have the smallest loan. Can you identify these clients and find out the smallest loan amount?</t>
    </r>
  </si>
  <si>
    <t>Average Income: As a junior manager at SwiftBank, you've been asked to help the bank understand the financial profile of its customers. Your first task is to calculate the average annual income of all account holders. Can you help SwiftBank get this important insight?</t>
  </si>
  <si>
    <t>EASY</t>
  </si>
  <si>
    <t>ANS-1</t>
  </si>
  <si>
    <t>Median Bank Balance: The finance team at SwiftBank is trying to understand the typical financial standing of its clients. They’ve asked you to find the median bank balance, which represents the middle value in the data. Can you calculate this to provide a better picture of the average customer’s savings?</t>
  </si>
  <si>
    <t>ANS-2</t>
  </si>
  <si>
    <t>Smallest Loan: Your manager needs to identify the 5th smallest loan amount among all SwiftBank customers. This will help understand the lower end of loan distributions. Can you find the 5th smallest loan amount in the dataset?</t>
  </si>
  <si>
    <t>ANS-3</t>
  </si>
  <si>
    <t>Because there are many customers who haven't taken a loan from the bank.</t>
  </si>
  <si>
    <t>3rd Highest Credit Score: The credit team is working on a campaign targeting customers with excellent credit scores. To begin, they need you to identify the customer with the 3rd highest credit score in the entire bank. Can you help find this high credit score?</t>
  </si>
  <si>
    <t>ANS-4</t>
  </si>
  <si>
    <t>Most Frequent Credit Score: SwiftBank is trying to identify credit score patterns among its customers before issuing new loans. To assist, you’ve been asked to find the credit score that appears most frequently in the dataset. Can you determine which score is most common?</t>
  </si>
  <si>
    <t>ANS-5</t>
  </si>
  <si>
    <t>ANS-6</t>
  </si>
  <si>
    <r>
      <t>Active Female Clients Over 30:</t>
    </r>
    <r>
      <rPr>
        <sz val="11"/>
        <color theme="1"/>
        <rFont val="Calibri"/>
        <family val="2"/>
        <scheme val="minor"/>
      </rPr>
      <t xml:space="preserve"> SwiftBank is preparing to launch a financial product specifically targeted at women over 30 who use online banking and have a premium credit card. The marketing team needs to know how many of these clients meet the criteria. Can you provide the total number of qualifying customers?</t>
    </r>
  </si>
  <si>
    <t>Income-to-Loan Analysis: You’re working on analyzing the income-to-loan ratio for SwiftBank’s customers. If any division error occurs, such as when there is no loan, you should label those cases as “Division Error.” Can you identify these errors and clean up the data?</t>
  </si>
  <si>
    <t>Active Female Clients Over 30: SwiftBank is preparing to launch a financial product specifically targeted at women over 30 who use online banking and have a premium credit card. The marketing team needs to know how many of these clients meet the criteria. Can you provide the total number of qualifying customers?</t>
  </si>
  <si>
    <t>ANS-7</t>
  </si>
  <si>
    <t>income loan ratio</t>
  </si>
  <si>
    <t>ERROR</t>
  </si>
  <si>
    <t>Firstly, you need to create a new column, column P, to calculate the income-loan ratio. After that, apply the IFERROR formula to handle any errors, and label them as 'Division Error' if an error occurs.</t>
  </si>
  <si>
    <t>Check Data Types: In your income-to-loan analysis, you want to ensure that all the calculated values are numbers. If any of the results are not numeric, further investigation is needed. Can you check which values are not numbers and flag them for review?</t>
  </si>
  <si>
    <t>ANS-8</t>
  </si>
  <si>
    <t>We have to use the ISNUMBER function for this problem.</t>
  </si>
  <si>
    <t>ISNUMBER</t>
  </si>
  <si>
    <t>Odd and Even Age Categorization: SwiftBank wants to better understand the age distribution of its customers. To do so, they need to separate customers into two categories: odd-aged and even-aged. Can you categorize each client based on whether their age is odd or even?</t>
  </si>
  <si>
    <t>ANS-9</t>
  </si>
  <si>
    <t>age distribution</t>
  </si>
  <si>
    <t>We have to use the ISODD function for this problem.</t>
  </si>
  <si>
    <t>Lowest Account Balance (Premium Credit Card): As part of their rewards program, SwiftBank needs to identify the customer with the lowest account balance who holds a premium credit card. Can you determine who this is?</t>
  </si>
  <si>
    <t>ANS-10</t>
  </si>
  <si>
    <t>Credit Score Ranking: SwiftBank is preparing to offer new high-value loans, but only to clients with excellent credit scores. To assist with this, they need you to rank all customers by credit score, from highest to lowest. Can you generate this ranking?</t>
  </si>
  <si>
    <t>ANS-11</t>
  </si>
  <si>
    <t>SMALL(IF(M2:M350="Premium", G2:G350), 1)</t>
  </si>
  <si>
    <t>We have to use the RANK function for this problem.</t>
  </si>
  <si>
    <t>Total Accounts and Smallest Balance: SwiftBank’s leadership team wants to know how many active accounts they have. Additionally, they need to find out which customer has the smallest account balance. Can you provide the total number of accounts and identify the customer with the lowest balance?</t>
  </si>
  <si>
    <t>ANS-12</t>
  </si>
  <si>
    <t>Total number of accounts in the bank=COUNT(Dataset!G2:G350)</t>
  </si>
  <si>
    <t>Total Annual Income and Max Values: The bank's board of directors has requested a report that includes the total annual income of all account holders, as well as the highest annual income and largest account balance in the bank’s portfolio. Can you gather this information for the upcoming meeting?</t>
  </si>
  <si>
    <t>ANS-13</t>
  </si>
  <si>
    <t>TOTAL ANNUAL INCOME=SUM(Dataset!H2:H350)</t>
  </si>
  <si>
    <t>Active Online Banking Users: SwiftBank is preparing a new strategy for its digital banking services and wants to understand how many clients actively use online banking. Additionally, they need you to calculate the 50th percentile (median) income for these active users. Can you gather this information for the bank’s report?</t>
  </si>
  <si>
    <t xml:space="preserve">MEDIUM </t>
  </si>
  <si>
    <t>Clients actively use online banking=COUNTIF(Dataset!N2:N350,Dataset!N335)</t>
  </si>
  <si>
    <t>smallest account balance=SMALL(Dataset!G2:G350,1)</t>
  </si>
  <si>
    <t>HIGHEST ANNUAL INCOME=MAX(Dataset!H2:H350)</t>
  </si>
  <si>
    <t>LARGEST ACCOUNT BALANCE=LARGE(Dataset!G2:G350,1)</t>
  </si>
  <si>
    <t>Mode=MODE.SNGL(Dataset!K2:K350)</t>
  </si>
  <si>
    <t>laregest=LARGE(Dataset!K2:K350,3)</t>
  </si>
  <si>
    <t>smallest=SMALL(Dataset!J2:J350,5)</t>
  </si>
  <si>
    <t>median=MEDIAN(Dataset!G2:G350)</t>
  </si>
  <si>
    <t>Highest Loan Amount: The credit department at SwiftBank wants to know how many clients have taken out loans. Additionally, they need to identify the highest loan amount in the system. Can you find this information?</t>
  </si>
  <si>
    <t>clients who have taken loan=COUNTIF(Dataset!I2:I350,Dataset!I335)</t>
  </si>
  <si>
    <t>the highest loan amount in the system=MAX(Dataset!J2:J350)</t>
  </si>
  <si>
    <t>Non-Borrowers’ Smallest Balance: The bank’s savings team is conducting a study on customers who haven’t taken out any loans. As part of this, they need you to find the 3rd smallest account balance among these non-borrowers. Can you provide the data?</t>
  </si>
  <si>
    <t>Premium Members’ Largest Balances: SwiftBank is offering exclusive rewards to clients with premium memberships and high account balances. Your task is to find the 4th largest account balance among customers who hold premium memberships. Can you help identify this group?</t>
  </si>
  <si>
    <t>the 4th largest account balance among customers who hold premium memberships.=LARGE(IF(Dataset!M2:M350="Premium",Dataset!G2:G350),4)</t>
  </si>
  <si>
    <t>Female Clients’ Income: SwiftBank is analyzing the financial health of its female clients. Your task is to find the second-lowest annual income among all women with accounts at the bank. Can you find this information for the analysis?</t>
  </si>
  <si>
    <t>ANS=5</t>
  </si>
  <si>
    <t>the second-lowest annual income among all women with accounts at the banK=SMALL(IF(Dataset!E2:E350="F",Dataset!H2:H350),2)</t>
  </si>
  <si>
    <t>Most Common Account Balance: The finance team wants to understand the common financial behaviors of clients. To assist, they’ve asked you to identify the most common account balance among all customers. Additionally, they need the average balance. Can you determine both?</t>
  </si>
  <si>
    <t>ANS=6</t>
  </si>
  <si>
    <t>the most common account balance among all customers=MODE.MULT(Dataset!G2:G350)</t>
  </si>
  <si>
    <t>75th Percentile Income and Balance: SwiftBank is working on offering high-end financial products and needs to identify the wealthier clients. Your task is to find the 75th percentile for both annual income and account balance. Can you provide this data?</t>
  </si>
  <si>
    <t>ANS=7</t>
  </si>
  <si>
    <t xml:space="preserve"> the 75th percentile for annual income =PERCENTILE.INC(Dataset!H2:H350,0.75)</t>
  </si>
  <si>
    <t xml:space="preserve"> the 75th percentile for Account balance  =PERCENTILE.INC(G2:G350,0.75)</t>
  </si>
  <si>
    <t>Online Banking Users Categorization: To better understand digital engagement, SwiftBank is categorizing clients who use online banking as “Good” users and those who don’t as “Bad” users. Can you group the customers accordingly?</t>
  </si>
  <si>
    <t>categorizing clients who use online banking as “Good” users and those who don’t as “Bad” users=IF(Dataset!N2="Active","good","bed")</t>
  </si>
  <si>
    <t>Error Check in Division Calculations: In a previous analysis, you flagged cases where dividing income by loan amount resulted in errors. Now, you need to verify those flagged values using the ISERROR function to ensure there are no further issues. Can you check the accuracy of the data?</t>
  </si>
  <si>
    <t>solution=ISERROR(Dataset!Q2)</t>
  </si>
  <si>
    <t>Check Text in 'Interest Rate' Column: The finance department is concerned that there might be non-numeric text in the 'Interest Rate' column, which should contain only numbers. Can you use a function to check for any text entries and flag them?</t>
  </si>
  <si>
    <t>text entries=ISTEXT(Dataset!O2)</t>
  </si>
  <si>
    <t>40th Percentile for Odd-Aged Clients: SwiftBank wants to learn more about clients with odd ages. First, calculate the total annual income for these odd-aged customers. Then, determine the 40th percentile of this income distribution. Can you perform this analysis?</t>
  </si>
  <si>
    <t>ANS=11</t>
  </si>
  <si>
    <t xml:space="preserve"> the total annual income for these odd-aged customer=SUMIF(Dataset!S2:S350,Dataset!S3,Dataset!H2:H350)</t>
  </si>
  <si>
    <t>Active Consumers: SwiftBank is identifying high-value clients for a new engagement program. To qualify, clients must have an account balance over $5,000 and an annual income greater than $7,000. Label these clients as “Active Consumers.” Can you complete this classification?</t>
  </si>
  <si>
    <t xml:space="preserve"> clients must have an account balance over $5,000 and an annual income greater than $7,000      =IF(AND(Dataset!G2 &gt;5000,Dataset!H2&gt;7000),"ACTIVE_CONSUMER","INACTIVE_CONSUMER")</t>
  </si>
  <si>
    <t>Real Estate Investors: The investment team at SwiftBank is tracking clients who are investing in real estate. They need to know how many clients are involved, the total amount invested, and the highest individual investment in real estate. Can you prepare this investment report?</t>
  </si>
  <si>
    <t>AN S=13</t>
  </si>
  <si>
    <t>Total client invested in real estate=COUNTIF(Dataset!L2:L350,Dataset!L339)</t>
  </si>
  <si>
    <t>Total amount invested in real estate=SUMIF(Dataset!L2:L350,Dataset!L339,Dataset!G2:G350)</t>
  </si>
  <si>
    <t>The highest individual investment in real estate=MAXIFS(Dataset!G2:G350,Dataset!L2:L350,Dataset!L331)</t>
  </si>
  <si>
    <t>Female Mutual Fund Investors: The investment team wants to focus on female clients who have invested in mutual funds and have a credit score above 500. Additionally, they want to know the highest account balance among these clients. Can you provide this report?</t>
  </si>
  <si>
    <t xml:space="preserve"> female clients who have invested in mutual funds and have a credit score above 500  =MAXIFS(Dataset!G2:G350,Dataset!E2:E350,Dataset!E330,Dataset!L2:L350,Dataset!L334,Dataset!K2:K350,"&gt;500")</t>
  </si>
  <si>
    <t>Not Eligible for Credit Cards: SwiftBank is reviewing its credit card offers. Clients over 40 with a credit score below 300 and an annual income under $8,000 will not be eligible for new credit cards. Can you mark these clients as “Not Eligible”?</t>
  </si>
  <si>
    <t>Clients over 40 with a credit score below 300 and an annual income under $8,000 will not be eligible for new credit cards=IF(AND(Dataset!D3&gt;=40,Dataset!K2&lt;300,Dataset!H2&lt;8000),"NOT ELIGIBLE","ELIGIBLE")</t>
  </si>
  <si>
    <t>Inactive Female Clients’ Minimum Balance: The marketing team is preparing a new campaign targeting inactive online banking users. They need you to find the minimum account balance for female clients who are not using online banking. Additionally, they need to know how many female clients are active versus inactive in online banking. Can you provide this information?</t>
  </si>
  <si>
    <t>female clients are active versus inactive in online banking=COUNTIF(Dataset!N2:N350,Dataset!N337)</t>
  </si>
  <si>
    <t>Categorize Good and Bad Male Clients: SwiftBank is analyzing its male clients who have checking accounts. Those with a balance over $2,000 and a credit score over 500 will be classified as “Good,” while others will be classified as “Bad.” Can you complete this segmentation?</t>
  </si>
  <si>
    <t>Those with a balance over $2,000 and a credit score over 500 will be classified as “Good,” while others will be classified as “Bad.”=IF(AND(Dataset!F2=Dataset!F2,Dataset!K2&gt;500,Dataset!G2&gt;2000),"GOOD","BAD")</t>
  </si>
  <si>
    <t>Report on the Highest Income (Savings Account): SwiftBank’s leadership team needs a report on the client with the highest income who has a savings account and is eligible for a credit card. Can you prepare this report</t>
  </si>
  <si>
    <t>Clients Who Accept All Offers: In the market, only a few clients accept every offer SwiftBank provides. The bank needs you to create a new column that marks clients as “In Progress” if they have accepted a credit card offer, made an investment, and are active in online banking. Can you create this column?</t>
  </si>
  <si>
    <t xml:space="preserve"> marks clients as “In Progress” if they have accepted a credit card offer, made an investment, and are active in online banking.=IF(AND(T2="accepted",U2="accepted",Dataset!N2="active"),"in progress","notinprogress")</t>
  </si>
  <si>
    <t>Second Smallest Income (Consumers from Above Question): Using the "In Progress" customers from the previous question, the finance team would like to identify the second smallest annual income among these clients. Can you find this?</t>
  </si>
  <si>
    <t>SMALL(IF(V2:V349="IN PROGRESS",H2:H81),2)</t>
  </si>
  <si>
    <t>20th Percentile for Mutual Fund Investors: Mutual fund investments are becoming increasingly popular. SwiftBank wants to calculate the 20th percentile of annual income among clients who have invested in mutual funds. Can you provide this analysis?</t>
  </si>
  <si>
    <t xml:space="preserve"> the 20th percentile of annual income among clients who have invested in mutual funds.=PERCENTILE.INC(IF(Dataset!L2:L350="Mutual Funds",Dataset!G2:G350),0.2)</t>
  </si>
  <si>
    <t>Highest Balance for Each Investment Type: The investment team is studying current trends across various investment types. Your task is to find the highest account balance for each type of investment (stocks, bonds, real estate, and mutual funds). Can you gather these insights?</t>
  </si>
  <si>
    <t xml:space="preserve"> the highest account balance for each type of investment stocks=MAXIFS(Dataset!H2:H350,Dataset!L2:L350,Dataset!L2)</t>
  </si>
  <si>
    <t xml:space="preserve"> the highest account balance for each type of investment BONDS=MAXIFS(Dataset!H2:H350,Dataset!L2:L350,Dataset!L3)</t>
  </si>
  <si>
    <t xml:space="preserve"> the highest account balance for each type of investment real estate=MAXIFS(Dataset!H2:H350,Dataset!L2:L350,Dataset!L5)</t>
  </si>
  <si>
    <t xml:space="preserve"> the highest account balance for each type of investment mutual funds=MAXIFS(Dataset!H2:H350,Dataset!L2:L350,Dataset!L4)</t>
  </si>
  <si>
    <t>Credit Card Offer Income Analysis: SwiftBank wants to analyze its credit card offers based on annual income. Your task is to find the highest annual income for clients using each type of credit card (premium, standard, or none). Also, how many clients haven’t accepted any credit card offers? Can you provide this breakdown?</t>
  </si>
  <si>
    <t>The highest annual income for clients using each type of credit card premium=MAXIFS(Dataset!H2:H350,Dataset!M2:M350,Dataset!M2)</t>
  </si>
  <si>
    <t>The highest annual income for clients using each type of credit card standard=MAXIFS(Dataset!H2:H350,Dataset!M2:M350,Dataset!M3)</t>
  </si>
  <si>
    <t>The highest annual income for clients using each type of credit card none=MAXIFS(Dataset!H2:H350,Dataset!M2:M350,Dataset!M4)</t>
  </si>
  <si>
    <t>Second Smallest Income for Female Clients: The finance department wants to dive deeper into the income levels of female account holders. They need you to identify the second smallest annual income among female clients. Can you find this value?</t>
  </si>
  <si>
    <t>the second smallest annual income among female clients. =SMALL(IF(Dataset!E2:E350="F",Dataset!H2:H350),2)</t>
  </si>
  <si>
    <t>Savings Accounts Above the Median: SwiftBank is analyzing savings account holders and wants to know how many clients have an annual income above the median. Additionally, they want to know the highest annual income among these clients. Can you complete this analysis?</t>
  </si>
  <si>
    <t xml:space="preserve"> clients have an annual income above the median=COUNTIF(Dataset!H2:H350,"&gt;6000")</t>
  </si>
  <si>
    <t>First, add a column where you mark 'YES' for individuals with an annual income over 6000. After that, use the MAXIFS function like we did in the other questions.</t>
  </si>
  <si>
    <t>Total Income and Largest Balance for Savings Account Holders: The bank is preparing a report on savings account holders. Your task is to calculate the total annual income for these clients and identify the largest account balance in this category. Can you help?</t>
  </si>
  <si>
    <t>total annual income for the savings account holders=SUMIF(Dataset!F2:F350,Dataset!F330,Dataset!H2:H350)</t>
  </si>
  <si>
    <t>the largest account balance for the savings account=MAXIFS(Dataset!H2:H350,Dataset!F2:F350,Dataset!F340)</t>
  </si>
  <si>
    <t>Smallest Loan &amp; Stock Investors: The investment team wants to know which clients invest in stocks, use a standard credit card, and have the smallest loan. Can you identify these clients and find out the smallest loan amount?</t>
  </si>
  <si>
    <t>ANS-14</t>
  </si>
  <si>
    <t>clients invest in stocks, use a standard credit card, and have the smallest loan.=MINIFS(Dataset!J2:J350,Dataset!L2:L350,Dataset!L2,Dataset!M2:M350,Dataset!M3)</t>
  </si>
  <si>
    <t>There is no client like that.</t>
  </si>
  <si>
    <t>Create a column to determine credit card eligibility, similar to what you did in Q2, and then use the MAXIFS function.</t>
  </si>
  <si>
    <t>To calculate the average annual income of all the account holders, we can use the function average.</t>
  </si>
  <si>
    <t>average=AVERAGE(Dataset!H2:H350)</t>
  </si>
  <si>
    <t>Ans-8</t>
  </si>
  <si>
    <t>Ans-7</t>
  </si>
  <si>
    <t>Ans-9</t>
  </si>
  <si>
    <t>Ans-11</t>
  </si>
  <si>
    <t>RANK</t>
  </si>
  <si>
    <t>50th percentile=PERCENTILE.INC(IF(Dataset!N2:N350="Active",Dataset!H2:H350),0.5)</t>
  </si>
  <si>
    <t xml:space="preserve"> average balance =AVERAGE(Dataset!G2:G350)</t>
  </si>
  <si>
    <t>MEDIUM</t>
  </si>
  <si>
    <t>GOOD/BAD USERS</t>
  </si>
  <si>
    <t>ISERROR</t>
  </si>
  <si>
    <t>ISTEXT</t>
  </si>
  <si>
    <t>Active/inactive consumer</t>
  </si>
  <si>
    <t>Eligible/not_eligible</t>
  </si>
  <si>
    <t>GOOD/BAD CLIENT</t>
  </si>
  <si>
    <t>Saving acc&amp;credit card</t>
  </si>
  <si>
    <t>eligible ref Q2</t>
  </si>
  <si>
    <t>Not_eligible</t>
  </si>
  <si>
    <t>The highest income is 0 because there is no consumer who satisfy the given conditions.</t>
  </si>
  <si>
    <t>Inprogress/not_inprogress</t>
  </si>
  <si>
    <t>all credit card accepted</t>
  </si>
  <si>
    <t xml:space="preserve">no </t>
  </si>
  <si>
    <t xml:space="preserve">yes </t>
  </si>
  <si>
    <t>`</t>
  </si>
  <si>
    <t>Good_user</t>
  </si>
  <si>
    <t>Bad_user</t>
  </si>
  <si>
    <t>income above 6k</t>
  </si>
  <si>
    <t>LARGE(UNIQUE(Dataset!K2:K350),3)</t>
  </si>
  <si>
    <t>0r</t>
  </si>
  <si>
    <t>total client's who meets this critearia are=COUNTIFS(Dataset!E2:E350,Dataset!E3,Dataset!D2:D350,"&gt;30",Dataset!N2:N350,Dataset!N2,Dataset!M2:M350,"&lt;&gt;none")</t>
  </si>
  <si>
    <t>the 3rd smallest account balance among non-borrowers=SMALL(UNIQUE(IF(Dataset!I2:I350="no",Dataset!G2:G350)),3)</t>
  </si>
  <si>
    <t xml:space="preserve"> the minimum account balance for female clients who are not using online banking=MINIFS(Dataset!G2:G350,Dataset!E2:E350,"F",Dataset!N2:N350,"Inactive")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</si>
</sst>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3.5"/>
      <color theme="1"/>
      <name val="Calibri"/>
      <family val="2"/>
      <scheme val="minor"/>
    </font>
    <font>
      <b/>
      <sz val="14"/>
      <color theme="1"/>
      <name val="Calibri"/>
      <family val="2"/>
      <scheme val="minor"/>
    </font>
    <font>
      <b/>
      <u/>
      <sz val="16"/>
      <color theme="1"/>
      <name val="Calibri"/>
      <family val="2"/>
      <scheme val="minor"/>
    </font>
    <font>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1" fillId="0" borderId="0" xfId="0" applyFont="1"/>
    <xf numFmtId="0" fontId="2" fillId="0" borderId="0" xfId="0" applyFont="1" applyAlignment="1">
      <alignment vertical="center"/>
    </xf>
    <xf numFmtId="0" fontId="3" fillId="0" borderId="0" xfId="0" applyFont="1"/>
    <xf numFmtId="0" fontId="0" fillId="2" borderId="0" xfId="0" applyFill="1"/>
    <xf numFmtId="0" fontId="0" fillId="3" borderId="0" xfId="0" applyFill="1"/>
    <xf numFmtId="0" fontId="1" fillId="2" borderId="0" xfId="0" applyFont="1" applyFill="1" applyAlignment="1">
      <alignment horizontal="center" vertical="center"/>
    </xf>
    <xf numFmtId="0" fontId="4" fillId="0" borderId="0" xfId="0" applyFont="1" applyAlignment="1">
      <alignment horizontal="center" vertical="center"/>
    </xf>
    <xf numFmtId="0" fontId="4" fillId="0" borderId="0" xfId="0" applyFont="1"/>
    <xf numFmtId="0" fontId="0" fillId="3" borderId="0" xfId="0" applyFill="1" applyAlignment="1">
      <alignment vertical="center"/>
    </xf>
    <xf numFmtId="0" fontId="5" fillId="4" borderId="0" xfId="0" applyFont="1"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75A48-2E15-4298-B56E-AE87CA2BDF5E}">
  <dimension ref="A1:BD351"/>
  <sheetViews>
    <sheetView topLeftCell="A329" zoomScale="121" workbookViewId="0">
      <selection activeCell="H16" sqref="H16"/>
    </sheetView>
  </sheetViews>
  <sheetFormatPr defaultRowHeight="14.4" x14ac:dyDescent="0.3"/>
  <cols>
    <col min="1" max="1" width="12.6640625" customWidth="1"/>
    <col min="2" max="2" width="11.33203125" customWidth="1"/>
    <col min="3" max="3" width="12.6640625" customWidth="1"/>
    <col min="4" max="4" width="7" customWidth="1"/>
    <col min="5" max="5" width="10.109375" customWidth="1"/>
    <col min="6" max="6" width="12.6640625" customWidth="1"/>
    <col min="7" max="7" width="16" customWidth="1"/>
    <col min="8" max="8" width="14.88671875" customWidth="1"/>
    <col min="9" max="9" width="15.44140625" customWidth="1"/>
    <col min="10" max="10" width="13.5546875" customWidth="1"/>
    <col min="11" max="11" width="13.6640625" customWidth="1"/>
    <col min="12" max="12" width="17.6640625" customWidth="1"/>
    <col min="13" max="13" width="16.6640625" customWidth="1"/>
    <col min="14" max="14" width="21" customWidth="1"/>
    <col min="15" max="15" width="5.44140625" customWidth="1"/>
    <col min="16" max="16" width="10.44140625" customWidth="1"/>
    <col min="17" max="17" width="5.44140625" customWidth="1"/>
    <col min="18" max="18" width="11.77734375" customWidth="1"/>
    <col min="19" max="19" width="9.109375" customWidth="1"/>
    <col min="20" max="20" width="9" customWidth="1"/>
    <col min="21" max="21" width="10.21875" bestFit="1" customWidth="1"/>
    <col min="22" max="22" width="10.21875" customWidth="1"/>
    <col min="23" max="23" width="13.88671875" customWidth="1"/>
    <col min="24" max="24" width="9" customWidth="1"/>
    <col min="25" max="25" width="13.5546875" customWidth="1"/>
    <col min="26" max="26" width="13.109375" customWidth="1"/>
  </cols>
  <sheetData>
    <row r="1" spans="1:56" ht="21" x14ac:dyDescent="0.4">
      <c r="A1" s="1" t="s">
        <v>0</v>
      </c>
      <c r="B1" s="1" t="s">
        <v>1</v>
      </c>
      <c r="C1" s="1" t="s">
        <v>2</v>
      </c>
      <c r="D1" s="1" t="s">
        <v>3</v>
      </c>
      <c r="E1" s="1" t="s">
        <v>4</v>
      </c>
      <c r="F1" s="1" t="s">
        <v>5</v>
      </c>
      <c r="G1" s="1" t="s">
        <v>97</v>
      </c>
      <c r="H1" s="1" t="s">
        <v>98</v>
      </c>
      <c r="I1" s="1" t="s">
        <v>6</v>
      </c>
      <c r="J1" s="1" t="s">
        <v>7</v>
      </c>
      <c r="K1" s="1" t="s">
        <v>8</v>
      </c>
      <c r="L1" s="1" t="s">
        <v>9</v>
      </c>
      <c r="M1" s="1" t="s">
        <v>10</v>
      </c>
      <c r="N1" s="1" t="s">
        <v>11</v>
      </c>
      <c r="O1" s="1" t="s">
        <v>301</v>
      </c>
      <c r="P1" s="10" t="s">
        <v>346</v>
      </c>
      <c r="Q1" s="9" t="s">
        <v>467</v>
      </c>
      <c r="R1" s="1" t="s">
        <v>362</v>
      </c>
      <c r="S1" s="1" t="s">
        <v>363</v>
      </c>
      <c r="T1" s="9" t="s">
        <v>466</v>
      </c>
      <c r="U1" s="1" t="s">
        <v>368</v>
      </c>
      <c r="V1" s="9" t="s">
        <v>468</v>
      </c>
      <c r="W1" s="1" t="s">
        <v>371</v>
      </c>
      <c r="X1" s="9" t="s">
        <v>469</v>
      </c>
      <c r="Y1" s="1" t="s">
        <v>470</v>
      </c>
      <c r="Z1" s="10" t="s">
        <v>473</v>
      </c>
      <c r="AA1" s="7" t="s">
        <v>366</v>
      </c>
      <c r="AB1" t="s">
        <v>474</v>
      </c>
      <c r="AD1" s="7" t="s">
        <v>468</v>
      </c>
      <c r="AE1" t="s">
        <v>475</v>
      </c>
      <c r="AF1" s="7" t="s">
        <v>374</v>
      </c>
      <c r="AG1" t="s">
        <v>476</v>
      </c>
      <c r="AH1" s="7" t="s">
        <v>376</v>
      </c>
      <c r="AI1" t="s">
        <v>477</v>
      </c>
      <c r="AL1" s="11" t="s">
        <v>99</v>
      </c>
      <c r="AM1" s="7" t="s">
        <v>349</v>
      </c>
      <c r="AN1" t="s">
        <v>478</v>
      </c>
      <c r="AP1" s="7" t="s">
        <v>354</v>
      </c>
      <c r="AQ1" t="s">
        <v>479</v>
      </c>
      <c r="AS1" s="7" t="s">
        <v>356</v>
      </c>
      <c r="AT1" t="s">
        <v>481</v>
      </c>
      <c r="AU1" t="s">
        <v>480</v>
      </c>
      <c r="AW1" s="8" t="s">
        <v>357</v>
      </c>
      <c r="AX1" s="8" t="s">
        <v>485</v>
      </c>
      <c r="AY1" s="8" t="s">
        <v>474</v>
      </c>
      <c r="AZ1" s="8" t="s">
        <v>484</v>
      </c>
      <c r="BC1" s="7" t="s">
        <v>380</v>
      </c>
      <c r="BD1" t="s">
        <v>491</v>
      </c>
    </row>
    <row r="2" spans="1:56" x14ac:dyDescent="0.3">
      <c r="A2" s="2">
        <v>1</v>
      </c>
      <c r="B2" s="2" t="s">
        <v>12</v>
      </c>
      <c r="C2" s="2" t="s">
        <v>13</v>
      </c>
      <c r="D2" s="2">
        <v>24</v>
      </c>
      <c r="E2" s="2" t="s">
        <v>14</v>
      </c>
      <c r="F2" s="2" t="s">
        <v>15</v>
      </c>
      <c r="G2" s="2">
        <v>2500</v>
      </c>
      <c r="H2" s="2">
        <v>55000</v>
      </c>
      <c r="I2" s="2" t="s">
        <v>16</v>
      </c>
      <c r="J2" s="2">
        <v>0</v>
      </c>
      <c r="K2" s="2">
        <v>720</v>
      </c>
      <c r="L2" s="2" t="s">
        <v>17</v>
      </c>
      <c r="M2" s="2" t="s">
        <v>80</v>
      </c>
      <c r="N2" s="2" t="s">
        <v>18</v>
      </c>
      <c r="O2">
        <v>7</v>
      </c>
      <c r="R2" t="e">
        <f>H2/J2</f>
        <v>#DIV/0!</v>
      </c>
      <c r="S2" t="str">
        <f>IFERROR(R2,"DIVISION ERROR")</f>
        <v>DIVISION ERROR</v>
      </c>
      <c r="U2" t="b" cm="1">
        <f t="array" ref="U2:U350">ISNUMBER(S2:S350)</f>
        <v>0</v>
      </c>
      <c r="W2" t="str">
        <f>IF(ISODD(D2),"ODD","EVEN")</f>
        <v>EVEN</v>
      </c>
      <c r="X2">
        <f t="shared" ref="X2:X24" si="0">_xlfn.RANK.AVG(K2,$K$2:$K$350,0)</f>
        <v>60</v>
      </c>
      <c r="AA2" t="str">
        <f t="shared" ref="AA2:AA24" si="1">IF(N2="Active","Good_user","Bad_user")</f>
        <v>Good_user</v>
      </c>
      <c r="AD2" t="b">
        <f t="shared" ref="AD2:AD24" si="2">ISERROR(R2)</f>
        <v>1</v>
      </c>
      <c r="AF2" t="b">
        <f t="shared" ref="AF2:AF24" si="3">ISTEXT(O2)</f>
        <v>0</v>
      </c>
      <c r="AH2" t="str">
        <f>IF(AND(Dataset!G2 &gt;5000,Dataset!H2&gt;7000),"ACTIVE_CONSUMER","INACTIVE_CONSUMER")</f>
        <v>INACTIVE_CONSUMER</v>
      </c>
      <c r="AM2" t="str">
        <f t="shared" ref="AM2:AM24" si="4">IF(AND(D2&gt;40,H2&lt;8000,K2&lt;300),"Eligible","Not_eligible")</f>
        <v>Not_eligible</v>
      </c>
      <c r="AP2" t="str">
        <f>IF(AND(E2="M",F2="checking",Dataset!G2&gt;2000,Dataset!K2&gt;500),"good_client","bad_client")</f>
        <v>good_client</v>
      </c>
      <c r="AS2" t="s">
        <v>482</v>
      </c>
      <c r="AT2" t="str">
        <f>IF(AND(Dataset!F2="Savings",Dataset!AS2="eligible"),"YES","NO")</f>
        <v>NO</v>
      </c>
      <c r="AW2" s="12" t="s">
        <v>487</v>
      </c>
      <c r="AX2" s="8" t="s">
        <v>489</v>
      </c>
      <c r="AY2" s="8" t="str">
        <f>IF(AND(AW2="yes",AX2="Good_user"),"inprogress","not_inprogress")</f>
        <v>not_inprogress</v>
      </c>
      <c r="AZ2" s="8"/>
      <c r="BC2" t="str">
        <f t="shared" ref="BC2:BC24" si="5">IF(H2&gt;6000,"yes","no")</f>
        <v>yes</v>
      </c>
    </row>
    <row r="3" spans="1:56" x14ac:dyDescent="0.3">
      <c r="A3" s="2">
        <v>2</v>
      </c>
      <c r="B3" s="2" t="s">
        <v>19</v>
      </c>
      <c r="C3" s="2" t="s">
        <v>20</v>
      </c>
      <c r="D3" s="2">
        <v>29</v>
      </c>
      <c r="E3" s="2" t="s">
        <v>21</v>
      </c>
      <c r="F3" s="2" t="s">
        <v>22</v>
      </c>
      <c r="G3" s="2">
        <v>8000</v>
      </c>
      <c r="H3" s="2">
        <v>62000</v>
      </c>
      <c r="I3" s="2" t="s">
        <v>23</v>
      </c>
      <c r="J3" s="2">
        <v>15000</v>
      </c>
      <c r="K3" s="2">
        <v>680</v>
      </c>
      <c r="L3" s="2" t="s">
        <v>24</v>
      </c>
      <c r="M3" s="2" t="s">
        <v>81</v>
      </c>
      <c r="N3" s="2" t="s">
        <v>25</v>
      </c>
      <c r="O3">
        <v>5</v>
      </c>
      <c r="R3">
        <f t="shared" ref="R3:R66" si="6">H3/J3</f>
        <v>4.1333333333333337</v>
      </c>
      <c r="S3">
        <f t="shared" ref="S3:S66" si="7">IFERROR(R3,"DIVISION ERROR")</f>
        <v>4.1333333333333337</v>
      </c>
      <c r="U3" t="b">
        <v>1</v>
      </c>
      <c r="W3" t="str">
        <f t="shared" ref="W3:W66" si="8">IF(ISODD(D3),"ODD","EVEN")</f>
        <v>ODD</v>
      </c>
      <c r="X3">
        <f t="shared" si="0"/>
        <v>286</v>
      </c>
      <c r="AA3" t="str">
        <f t="shared" si="1"/>
        <v>Bad_user</v>
      </c>
      <c r="AD3" t="b">
        <f t="shared" si="2"/>
        <v>0</v>
      </c>
      <c r="AF3" t="b">
        <f t="shared" si="3"/>
        <v>0</v>
      </c>
      <c r="AH3" t="str">
        <f>IF(AND(Dataset!G3 &gt;5000,Dataset!H3&gt;7000),"ACTIVE_CONSUMER","INACTIVE_CONSUMER")</f>
        <v>ACTIVE_CONSUMER</v>
      </c>
      <c r="AM3" t="str">
        <f t="shared" si="4"/>
        <v>Not_eligible</v>
      </c>
      <c r="AP3" t="str">
        <f>IF(AND(E3="M",F3="checking",Dataset!G3&gt;2000,Dataset!K3&gt;500),"good_client","bad_client")</f>
        <v>bad_client</v>
      </c>
      <c r="AS3" t="s">
        <v>482</v>
      </c>
      <c r="AT3" t="str">
        <f>IF(AND(Dataset!F3="Savings",Dataset!AS3="eligible"),"YES","NO")</f>
        <v>NO</v>
      </c>
      <c r="AW3" s="12" t="s">
        <v>487</v>
      </c>
      <c r="AX3" s="8" t="s">
        <v>490</v>
      </c>
      <c r="AY3" s="8"/>
      <c r="AZ3" s="8"/>
      <c r="BC3" t="str">
        <f t="shared" si="5"/>
        <v>yes</v>
      </c>
    </row>
    <row r="4" spans="1:56" x14ac:dyDescent="0.3">
      <c r="A4" s="2">
        <v>3</v>
      </c>
      <c r="B4" s="2" t="s">
        <v>26</v>
      </c>
      <c r="C4" s="2" t="s">
        <v>27</v>
      </c>
      <c r="D4" s="2">
        <v>45</v>
      </c>
      <c r="E4" s="2" t="s">
        <v>21</v>
      </c>
      <c r="F4" s="2" t="s">
        <v>15</v>
      </c>
      <c r="G4" s="2">
        <v>12000</v>
      </c>
      <c r="H4" s="2">
        <v>75000</v>
      </c>
      <c r="I4" s="2" t="s">
        <v>16</v>
      </c>
      <c r="J4" s="2">
        <v>0</v>
      </c>
      <c r="K4" s="2">
        <v>750</v>
      </c>
      <c r="L4" s="2" t="s">
        <v>28</v>
      </c>
      <c r="M4" s="2" t="s">
        <v>82</v>
      </c>
      <c r="N4" s="2" t="s">
        <v>18</v>
      </c>
      <c r="O4">
        <v>3</v>
      </c>
      <c r="R4" t="e">
        <f t="shared" si="6"/>
        <v>#DIV/0!</v>
      </c>
      <c r="S4" t="str">
        <f t="shared" si="7"/>
        <v>DIVISION ERROR</v>
      </c>
      <c r="U4" t="b">
        <v>0</v>
      </c>
      <c r="W4" t="str">
        <f t="shared" si="8"/>
        <v>ODD</v>
      </c>
      <c r="X4">
        <f t="shared" si="0"/>
        <v>3</v>
      </c>
      <c r="AA4" t="str">
        <f t="shared" si="1"/>
        <v>Good_user</v>
      </c>
      <c r="AD4" t="b">
        <f t="shared" si="2"/>
        <v>1</v>
      </c>
      <c r="AF4" t="b">
        <f t="shared" si="3"/>
        <v>0</v>
      </c>
      <c r="AH4" t="str">
        <f>IF(AND(Dataset!G4 &gt;5000,Dataset!H4&gt;7000),"ACTIVE_CONSUMER","INACTIVE_CONSUMER")</f>
        <v>ACTIVE_CONSUMER</v>
      </c>
      <c r="AM4" t="str">
        <f t="shared" si="4"/>
        <v>Not_eligible</v>
      </c>
      <c r="AP4" t="str">
        <f>IF(AND(E4="M",F4="checking",Dataset!G4&gt;2000,Dataset!K4&gt;500),"good_client","bad_client")</f>
        <v>bad_client</v>
      </c>
      <c r="AS4" t="s">
        <v>482</v>
      </c>
      <c r="AT4" t="str">
        <f>IF(AND(Dataset!F4="Savings",Dataset!AS4="eligible"),"YES","NO")</f>
        <v>NO</v>
      </c>
      <c r="AW4" s="12" t="s">
        <v>486</v>
      </c>
      <c r="AX4" s="8" t="s">
        <v>489</v>
      </c>
      <c r="AY4" s="8"/>
      <c r="AZ4" s="8"/>
      <c r="BC4" t="str">
        <f t="shared" si="5"/>
        <v>yes</v>
      </c>
    </row>
    <row r="5" spans="1:56" x14ac:dyDescent="0.3">
      <c r="A5" s="2">
        <v>4</v>
      </c>
      <c r="B5" s="2" t="s">
        <v>29</v>
      </c>
      <c r="C5" s="2" t="s">
        <v>30</v>
      </c>
      <c r="D5" s="2">
        <v>52</v>
      </c>
      <c r="E5" s="2" t="s">
        <v>14</v>
      </c>
      <c r="F5" s="2" t="s">
        <v>22</v>
      </c>
      <c r="G5" s="2">
        <v>3000</v>
      </c>
      <c r="H5" s="2">
        <v>48000</v>
      </c>
      <c r="I5" s="2" t="s">
        <v>23</v>
      </c>
      <c r="J5" s="2">
        <v>5000</v>
      </c>
      <c r="K5" s="2">
        <v>690</v>
      </c>
      <c r="L5" s="2" t="s">
        <v>31</v>
      </c>
      <c r="M5" s="2" t="s">
        <v>80</v>
      </c>
      <c r="N5" s="2" t="s">
        <v>18</v>
      </c>
      <c r="O5">
        <v>3</v>
      </c>
      <c r="R5">
        <f t="shared" si="6"/>
        <v>9.6</v>
      </c>
      <c r="S5">
        <f t="shared" si="7"/>
        <v>9.6</v>
      </c>
      <c r="U5" t="b">
        <v>1</v>
      </c>
      <c r="W5" t="str">
        <f t="shared" si="8"/>
        <v>EVEN</v>
      </c>
      <c r="X5">
        <f t="shared" si="0"/>
        <v>223.5</v>
      </c>
      <c r="AA5" t="str">
        <f t="shared" si="1"/>
        <v>Good_user</v>
      </c>
      <c r="AD5" t="b">
        <f t="shared" si="2"/>
        <v>0</v>
      </c>
      <c r="AF5" t="b">
        <f t="shared" si="3"/>
        <v>0</v>
      </c>
      <c r="AH5" t="str">
        <f>IF(AND(Dataset!G5 &gt;5000,Dataset!H5&gt;7000),"ACTIVE_CONSUMER","INACTIVE_CONSUMER")</f>
        <v>INACTIVE_CONSUMER</v>
      </c>
      <c r="AM5" t="str">
        <f t="shared" si="4"/>
        <v>Not_eligible</v>
      </c>
      <c r="AP5" t="str">
        <f>IF(AND(E5="M",F5="checking",Dataset!G5&gt;2000,Dataset!K5&gt;500),"good_client","bad_client")</f>
        <v>bad_client</v>
      </c>
      <c r="AS5" t="s">
        <v>482</v>
      </c>
      <c r="AT5" t="str">
        <f>IF(AND(Dataset!F5="Savings",Dataset!AS5="eligible"),"YES","NO")</f>
        <v>NO</v>
      </c>
      <c r="AW5" s="12" t="s">
        <v>487</v>
      </c>
      <c r="AX5" s="8" t="s">
        <v>489</v>
      </c>
      <c r="AY5" s="8"/>
      <c r="AZ5" s="8"/>
      <c r="BC5" t="str">
        <f t="shared" si="5"/>
        <v>yes</v>
      </c>
    </row>
    <row r="6" spans="1:56" x14ac:dyDescent="0.3">
      <c r="A6" s="2">
        <v>5</v>
      </c>
      <c r="B6" s="2" t="s">
        <v>32</v>
      </c>
      <c r="C6" s="2" t="s">
        <v>33</v>
      </c>
      <c r="D6" s="2">
        <v>37</v>
      </c>
      <c r="E6" s="2" t="s">
        <v>21</v>
      </c>
      <c r="F6" s="2" t="s">
        <v>15</v>
      </c>
      <c r="G6" s="2">
        <v>5000</v>
      </c>
      <c r="H6" s="2">
        <v>58000</v>
      </c>
      <c r="I6" s="2" t="s">
        <v>16</v>
      </c>
      <c r="J6" s="2">
        <v>0</v>
      </c>
      <c r="K6" s="2">
        <v>710</v>
      </c>
      <c r="L6" s="2" t="s">
        <v>17</v>
      </c>
      <c r="M6" s="2" t="s">
        <v>80</v>
      </c>
      <c r="N6" s="2" t="s">
        <v>25</v>
      </c>
      <c r="O6">
        <v>4</v>
      </c>
      <c r="R6" t="e">
        <f t="shared" si="6"/>
        <v>#DIV/0!</v>
      </c>
      <c r="S6" t="str">
        <f t="shared" si="7"/>
        <v>DIVISION ERROR</v>
      </c>
      <c r="U6" t="b">
        <v>0</v>
      </c>
      <c r="W6" t="str">
        <f t="shared" si="8"/>
        <v>ODD</v>
      </c>
      <c r="X6">
        <f t="shared" si="0"/>
        <v>120.5</v>
      </c>
      <c r="AA6" t="str">
        <f t="shared" si="1"/>
        <v>Bad_user</v>
      </c>
      <c r="AD6" t="b">
        <f t="shared" si="2"/>
        <v>1</v>
      </c>
      <c r="AF6" t="b">
        <f t="shared" si="3"/>
        <v>0</v>
      </c>
      <c r="AH6" t="str">
        <f>IF(AND(Dataset!G6 &gt;5000,Dataset!H6&gt;7000),"ACTIVE_CONSUMER","INACTIVE_CONSUMER")</f>
        <v>INACTIVE_CONSUMER</v>
      </c>
      <c r="AM6" t="str">
        <f t="shared" si="4"/>
        <v>Not_eligible</v>
      </c>
      <c r="AP6" t="str">
        <f>IF(AND(E6="M",F6="checking",Dataset!G6&gt;2000,Dataset!K6&gt;500),"good_client","bad_client")</f>
        <v>bad_client</v>
      </c>
      <c r="AS6" t="s">
        <v>482</v>
      </c>
      <c r="AT6" t="str">
        <f>IF(AND(Dataset!F6="Savings",Dataset!AS6="eligible"),"YES","NO")</f>
        <v>NO</v>
      </c>
      <c r="AW6" s="12" t="s">
        <v>487</v>
      </c>
      <c r="AX6" s="8" t="s">
        <v>490</v>
      </c>
      <c r="AY6" s="8"/>
      <c r="AZ6" s="8"/>
      <c r="BC6" t="str">
        <f t="shared" si="5"/>
        <v>yes</v>
      </c>
    </row>
    <row r="7" spans="1:56" x14ac:dyDescent="0.3">
      <c r="A7" s="2">
        <v>6</v>
      </c>
      <c r="B7" s="2" t="s">
        <v>34</v>
      </c>
      <c r="C7" s="2" t="s">
        <v>35</v>
      </c>
      <c r="D7" s="2">
        <v>30</v>
      </c>
      <c r="E7" s="2" t="s">
        <v>14</v>
      </c>
      <c r="F7" s="2" t="s">
        <v>22</v>
      </c>
      <c r="G7" s="2">
        <v>6000</v>
      </c>
      <c r="H7" s="2">
        <v>70000</v>
      </c>
      <c r="I7" s="2" t="s">
        <v>23</v>
      </c>
      <c r="J7" s="2">
        <v>20000</v>
      </c>
      <c r="K7" s="2">
        <v>700</v>
      </c>
      <c r="L7" s="2" t="s">
        <v>24</v>
      </c>
      <c r="M7" s="2" t="s">
        <v>80</v>
      </c>
      <c r="N7" s="2" t="s">
        <v>18</v>
      </c>
      <c r="O7">
        <v>3</v>
      </c>
      <c r="R7">
        <f t="shared" si="6"/>
        <v>3.5</v>
      </c>
      <c r="S7">
        <f t="shared" si="7"/>
        <v>3.5</v>
      </c>
      <c r="U7" t="b">
        <v>1</v>
      </c>
      <c r="W7" t="str">
        <f t="shared" si="8"/>
        <v>EVEN</v>
      </c>
      <c r="X7">
        <f t="shared" si="0"/>
        <v>170</v>
      </c>
      <c r="AA7" t="str">
        <f t="shared" si="1"/>
        <v>Good_user</v>
      </c>
      <c r="AD7" t="b">
        <f t="shared" si="2"/>
        <v>0</v>
      </c>
      <c r="AF7" t="b">
        <f t="shared" si="3"/>
        <v>0</v>
      </c>
      <c r="AH7" t="str">
        <f>IF(AND(Dataset!G7 &gt;5000,Dataset!H7&gt;7000),"ACTIVE_CONSUMER","INACTIVE_CONSUMER")</f>
        <v>ACTIVE_CONSUMER</v>
      </c>
      <c r="AM7" t="str">
        <f t="shared" si="4"/>
        <v>Not_eligible</v>
      </c>
      <c r="AP7" t="str">
        <f>IF(AND(E7="M",F7="checking",Dataset!G7&gt;2000,Dataset!K7&gt;500),"good_client","bad_client")</f>
        <v>bad_client</v>
      </c>
      <c r="AS7" t="s">
        <v>482</v>
      </c>
      <c r="AT7" t="str">
        <f>IF(AND(Dataset!F7="Savings",Dataset!AS7="eligible"),"YES","NO")</f>
        <v>NO</v>
      </c>
      <c r="AW7" s="12" t="s">
        <v>487</v>
      </c>
      <c r="AX7" s="8" t="s">
        <v>489</v>
      </c>
      <c r="AY7" s="8"/>
      <c r="AZ7" s="8"/>
      <c r="BC7" t="str">
        <f t="shared" si="5"/>
        <v>yes</v>
      </c>
    </row>
    <row r="8" spans="1:56" x14ac:dyDescent="0.3">
      <c r="A8" s="2">
        <v>7</v>
      </c>
      <c r="B8" s="2" t="s">
        <v>36</v>
      </c>
      <c r="C8" s="2" t="s">
        <v>37</v>
      </c>
      <c r="D8" s="2">
        <v>40</v>
      </c>
      <c r="E8" s="2" t="s">
        <v>21</v>
      </c>
      <c r="F8" s="2" t="s">
        <v>15</v>
      </c>
      <c r="G8" s="2">
        <v>15000</v>
      </c>
      <c r="H8" s="2">
        <v>82000</v>
      </c>
      <c r="I8" s="2" t="s">
        <v>16</v>
      </c>
      <c r="J8" s="2">
        <v>0</v>
      </c>
      <c r="K8" s="2">
        <v>730</v>
      </c>
      <c r="L8" s="2" t="s">
        <v>28</v>
      </c>
      <c r="M8" s="2" t="s">
        <v>80</v>
      </c>
      <c r="N8" s="2" t="s">
        <v>25</v>
      </c>
      <c r="O8">
        <v>7</v>
      </c>
      <c r="R8" t="e">
        <f t="shared" si="6"/>
        <v>#DIV/0!</v>
      </c>
      <c r="S8" t="str">
        <f t="shared" si="7"/>
        <v>DIVISION ERROR</v>
      </c>
      <c r="U8" t="b">
        <v>0</v>
      </c>
      <c r="W8" t="str">
        <f t="shared" si="8"/>
        <v>EVEN</v>
      </c>
      <c r="X8">
        <f t="shared" si="0"/>
        <v>23</v>
      </c>
      <c r="AA8" t="str">
        <f t="shared" si="1"/>
        <v>Bad_user</v>
      </c>
      <c r="AD8" t="b">
        <f t="shared" si="2"/>
        <v>1</v>
      </c>
      <c r="AF8" t="b">
        <f t="shared" si="3"/>
        <v>0</v>
      </c>
      <c r="AH8" t="str">
        <f>IF(AND(Dataset!G8 &gt;5000,Dataset!H8&gt;7000),"ACTIVE_CONSUMER","INACTIVE_CONSUMER")</f>
        <v>ACTIVE_CONSUMER</v>
      </c>
      <c r="AM8" t="str">
        <f t="shared" si="4"/>
        <v>Not_eligible</v>
      </c>
      <c r="AP8" t="str">
        <f>IF(AND(E8="M",F8="checking",Dataset!G8&gt;2000,Dataset!K8&gt;500),"good_client","bad_client")</f>
        <v>bad_client</v>
      </c>
      <c r="AS8" t="s">
        <v>482</v>
      </c>
      <c r="AT8" t="str">
        <f>IF(AND(Dataset!F8="Savings",Dataset!AS8="eligible"),"YES","NO")</f>
        <v>NO</v>
      </c>
      <c r="AW8" s="12" t="s">
        <v>487</v>
      </c>
      <c r="AX8" s="8" t="s">
        <v>490</v>
      </c>
      <c r="AY8" s="8"/>
      <c r="AZ8" s="8"/>
      <c r="BC8" t="str">
        <f t="shared" si="5"/>
        <v>yes</v>
      </c>
    </row>
    <row r="9" spans="1:56" x14ac:dyDescent="0.3">
      <c r="A9" s="2">
        <v>8</v>
      </c>
      <c r="B9" s="2" t="s">
        <v>38</v>
      </c>
      <c r="C9" s="2" t="s">
        <v>39</v>
      </c>
      <c r="D9" s="2">
        <v>25</v>
      </c>
      <c r="E9" s="2" t="s">
        <v>14</v>
      </c>
      <c r="F9" s="2" t="s">
        <v>22</v>
      </c>
      <c r="G9" s="2">
        <v>2000</v>
      </c>
      <c r="H9" s="2">
        <v>43000</v>
      </c>
      <c r="I9" s="2" t="s">
        <v>16</v>
      </c>
      <c r="J9" s="2">
        <v>0</v>
      </c>
      <c r="K9" s="2">
        <v>670</v>
      </c>
      <c r="L9" s="2" t="s">
        <v>31</v>
      </c>
      <c r="M9" s="2" t="s">
        <v>81</v>
      </c>
      <c r="N9" s="2" t="s">
        <v>18</v>
      </c>
      <c r="O9">
        <v>12</v>
      </c>
      <c r="R9" t="e">
        <f t="shared" si="6"/>
        <v>#DIV/0!</v>
      </c>
      <c r="S9" t="str">
        <f t="shared" si="7"/>
        <v>DIVISION ERROR</v>
      </c>
      <c r="U9" t="b">
        <v>0</v>
      </c>
      <c r="W9" t="str">
        <f t="shared" si="8"/>
        <v>ODD</v>
      </c>
      <c r="X9">
        <f t="shared" si="0"/>
        <v>334</v>
      </c>
      <c r="AA9" t="str">
        <f t="shared" si="1"/>
        <v>Good_user</v>
      </c>
      <c r="AD9" t="b">
        <f t="shared" si="2"/>
        <v>1</v>
      </c>
      <c r="AF9" t="b">
        <f t="shared" si="3"/>
        <v>0</v>
      </c>
      <c r="AH9" t="str">
        <f>IF(AND(Dataset!G9 &gt;5000,Dataset!H9&gt;7000),"ACTIVE_CONSUMER","INACTIVE_CONSUMER")</f>
        <v>INACTIVE_CONSUMER</v>
      </c>
      <c r="AM9" t="str">
        <f t="shared" si="4"/>
        <v>Not_eligible</v>
      </c>
      <c r="AP9" t="str">
        <f>IF(AND(E9="M",F9="checking",Dataset!G9&gt;2000,Dataset!K9&gt;500),"good_client","bad_client")</f>
        <v>bad_client</v>
      </c>
      <c r="AS9" t="s">
        <v>482</v>
      </c>
      <c r="AT9" t="str">
        <f>IF(AND(Dataset!F9="Savings",Dataset!AS9="eligible"),"YES","NO")</f>
        <v>NO</v>
      </c>
      <c r="AW9" s="12" t="s">
        <v>487</v>
      </c>
      <c r="AX9" s="8" t="s">
        <v>489</v>
      </c>
      <c r="AY9" s="8"/>
      <c r="AZ9" s="8"/>
      <c r="BC9" t="str">
        <f t="shared" si="5"/>
        <v>yes</v>
      </c>
    </row>
    <row r="10" spans="1:56" x14ac:dyDescent="0.3">
      <c r="A10" s="2">
        <v>9</v>
      </c>
      <c r="B10" s="2" t="s">
        <v>40</v>
      </c>
      <c r="C10" s="2" t="s">
        <v>41</v>
      </c>
      <c r="D10" s="2">
        <v>31</v>
      </c>
      <c r="E10" s="2" t="s">
        <v>21</v>
      </c>
      <c r="F10" s="2" t="s">
        <v>15</v>
      </c>
      <c r="G10" s="2">
        <v>7000</v>
      </c>
      <c r="H10" s="2">
        <v>55000</v>
      </c>
      <c r="I10" s="2" t="s">
        <v>23</v>
      </c>
      <c r="J10" s="2">
        <v>10000</v>
      </c>
      <c r="K10" s="2">
        <v>720</v>
      </c>
      <c r="L10" s="2" t="s">
        <v>17</v>
      </c>
      <c r="M10" s="2" t="s">
        <v>81</v>
      </c>
      <c r="N10" s="2" t="s">
        <v>18</v>
      </c>
      <c r="O10">
        <v>11</v>
      </c>
      <c r="R10">
        <f t="shared" si="6"/>
        <v>5.5</v>
      </c>
      <c r="S10">
        <f t="shared" si="7"/>
        <v>5.5</v>
      </c>
      <c r="U10" t="b">
        <v>1</v>
      </c>
      <c r="W10" t="str">
        <f t="shared" si="8"/>
        <v>ODD</v>
      </c>
      <c r="X10">
        <f t="shared" si="0"/>
        <v>60</v>
      </c>
      <c r="AA10" t="str">
        <f t="shared" si="1"/>
        <v>Good_user</v>
      </c>
      <c r="AD10" t="b">
        <f t="shared" si="2"/>
        <v>0</v>
      </c>
      <c r="AF10" t="b">
        <f t="shared" si="3"/>
        <v>0</v>
      </c>
      <c r="AH10" t="str">
        <f>IF(AND(Dataset!G10 &gt;5000,Dataset!H10&gt;7000),"ACTIVE_CONSUMER","INACTIVE_CONSUMER")</f>
        <v>ACTIVE_CONSUMER</v>
      </c>
      <c r="AM10" t="str">
        <f t="shared" si="4"/>
        <v>Not_eligible</v>
      </c>
      <c r="AP10" t="str">
        <f>IF(AND(E10="M",F10="checking",Dataset!G10&gt;2000,Dataset!K10&gt;500),"good_client","bad_client")</f>
        <v>bad_client</v>
      </c>
      <c r="AS10" t="s">
        <v>482</v>
      </c>
      <c r="AT10" t="str">
        <f>IF(AND(Dataset!F10="Savings",Dataset!AS10="eligible"),"YES","NO")</f>
        <v>NO</v>
      </c>
      <c r="AW10" s="12" t="s">
        <v>487</v>
      </c>
      <c r="AX10" s="8" t="s">
        <v>489</v>
      </c>
      <c r="AY10" s="8"/>
      <c r="AZ10" s="8"/>
      <c r="BC10" t="str">
        <f t="shared" si="5"/>
        <v>yes</v>
      </c>
    </row>
    <row r="11" spans="1:56" x14ac:dyDescent="0.3">
      <c r="A11" s="2">
        <v>10</v>
      </c>
      <c r="B11" s="2" t="s">
        <v>42</v>
      </c>
      <c r="C11" s="2" t="s">
        <v>43</v>
      </c>
      <c r="D11" s="2">
        <v>44</v>
      </c>
      <c r="E11" s="2" t="s">
        <v>14</v>
      </c>
      <c r="F11" s="2" t="s">
        <v>22</v>
      </c>
      <c r="G11" s="2">
        <v>11000</v>
      </c>
      <c r="H11" s="2">
        <v>65000</v>
      </c>
      <c r="I11" s="2" t="s">
        <v>16</v>
      </c>
      <c r="J11" s="2">
        <v>0</v>
      </c>
      <c r="K11" s="2">
        <v>740</v>
      </c>
      <c r="L11" s="2" t="s">
        <v>24</v>
      </c>
      <c r="M11" s="2" t="s">
        <v>82</v>
      </c>
      <c r="N11" s="2" t="s">
        <v>25</v>
      </c>
      <c r="O11">
        <v>3</v>
      </c>
      <c r="R11" t="e">
        <f t="shared" si="6"/>
        <v>#DIV/0!</v>
      </c>
      <c r="S11" t="str">
        <f t="shared" si="7"/>
        <v>DIVISION ERROR</v>
      </c>
      <c r="U11" t="b">
        <v>0</v>
      </c>
      <c r="W11" t="str">
        <f t="shared" si="8"/>
        <v>EVEN</v>
      </c>
      <c r="X11">
        <f t="shared" si="0"/>
        <v>13</v>
      </c>
      <c r="AA11" t="str">
        <f t="shared" si="1"/>
        <v>Bad_user</v>
      </c>
      <c r="AD11" t="b">
        <f t="shared" si="2"/>
        <v>1</v>
      </c>
      <c r="AF11" t="b">
        <f t="shared" si="3"/>
        <v>0</v>
      </c>
      <c r="AH11" t="str">
        <f>IF(AND(Dataset!G11 &gt;5000,Dataset!H11&gt;7000),"ACTIVE_CONSUMER","INACTIVE_CONSUMER")</f>
        <v>ACTIVE_CONSUMER</v>
      </c>
      <c r="AM11" t="str">
        <f t="shared" si="4"/>
        <v>Not_eligible</v>
      </c>
      <c r="AP11" t="str">
        <f>IF(AND(E11="M",F11="checking",Dataset!G11&gt;2000,Dataset!K11&gt;500),"good_client","bad_client")</f>
        <v>bad_client</v>
      </c>
      <c r="AS11" t="s">
        <v>482</v>
      </c>
      <c r="AT11" t="str">
        <f>IF(AND(Dataset!F11="Savings",Dataset!AS11="eligible"),"YES","NO")</f>
        <v>NO</v>
      </c>
      <c r="AW11" s="12" t="s">
        <v>486</v>
      </c>
      <c r="AX11" s="8" t="s">
        <v>490</v>
      </c>
      <c r="AY11" s="8"/>
      <c r="AZ11" s="8"/>
      <c r="BC11" t="str">
        <f t="shared" si="5"/>
        <v>yes</v>
      </c>
    </row>
    <row r="12" spans="1:56" x14ac:dyDescent="0.3">
      <c r="A12" s="2">
        <v>11</v>
      </c>
      <c r="B12" s="2" t="s">
        <v>44</v>
      </c>
      <c r="C12" s="2" t="s">
        <v>45</v>
      </c>
      <c r="D12" s="2">
        <v>28</v>
      </c>
      <c r="E12" s="2" t="s">
        <v>21</v>
      </c>
      <c r="F12" s="2" t="s">
        <v>15</v>
      </c>
      <c r="G12" s="2">
        <v>4500</v>
      </c>
      <c r="H12" s="2">
        <v>47000</v>
      </c>
      <c r="I12" s="2" t="s">
        <v>16</v>
      </c>
      <c r="J12" s="2">
        <v>0</v>
      </c>
      <c r="K12" s="2">
        <v>690</v>
      </c>
      <c r="L12" s="2" t="s">
        <v>28</v>
      </c>
      <c r="M12" s="2" t="s">
        <v>80</v>
      </c>
      <c r="N12" s="2" t="s">
        <v>18</v>
      </c>
      <c r="O12">
        <v>3</v>
      </c>
      <c r="R12" t="e">
        <f t="shared" si="6"/>
        <v>#DIV/0!</v>
      </c>
      <c r="S12" t="str">
        <f t="shared" si="7"/>
        <v>DIVISION ERROR</v>
      </c>
      <c r="U12" t="b">
        <v>0</v>
      </c>
      <c r="W12" t="str">
        <f t="shared" si="8"/>
        <v>EVEN</v>
      </c>
      <c r="X12">
        <f t="shared" si="0"/>
        <v>223.5</v>
      </c>
      <c r="AA12" t="str">
        <f t="shared" si="1"/>
        <v>Good_user</v>
      </c>
      <c r="AD12" t="b">
        <f t="shared" si="2"/>
        <v>1</v>
      </c>
      <c r="AF12" t="b">
        <f t="shared" si="3"/>
        <v>0</v>
      </c>
      <c r="AH12" t="str">
        <f>IF(AND(Dataset!G12 &gt;5000,Dataset!H12&gt;7000),"ACTIVE_CONSUMER","INACTIVE_CONSUMER")</f>
        <v>INACTIVE_CONSUMER</v>
      </c>
      <c r="AM12" t="str">
        <f t="shared" si="4"/>
        <v>Not_eligible</v>
      </c>
      <c r="AP12" t="str">
        <f>IF(AND(E12="M",F12="checking",Dataset!G12&gt;2000,Dataset!K12&gt;500),"good_client","bad_client")</f>
        <v>bad_client</v>
      </c>
      <c r="AS12" t="s">
        <v>482</v>
      </c>
      <c r="AT12" t="str">
        <f>IF(AND(Dataset!F12="Savings",Dataset!AS12="eligible"),"YES","NO")</f>
        <v>NO</v>
      </c>
      <c r="AW12" s="12" t="s">
        <v>487</v>
      </c>
      <c r="AX12" s="8" t="s">
        <v>489</v>
      </c>
      <c r="AY12" s="8"/>
      <c r="AZ12" s="8"/>
      <c r="BC12" t="str">
        <f t="shared" si="5"/>
        <v>yes</v>
      </c>
    </row>
    <row r="13" spans="1:56" x14ac:dyDescent="0.3">
      <c r="A13" s="2">
        <v>12</v>
      </c>
      <c r="B13" s="2" t="s">
        <v>46</v>
      </c>
      <c r="C13" s="2" t="s">
        <v>47</v>
      </c>
      <c r="D13" s="2">
        <v>39</v>
      </c>
      <c r="E13" s="2" t="s">
        <v>14</v>
      </c>
      <c r="F13" s="2" t="s">
        <v>22</v>
      </c>
      <c r="G13" s="2">
        <v>10000</v>
      </c>
      <c r="H13" s="2">
        <v>72000</v>
      </c>
      <c r="I13" s="2" t="s">
        <v>23</v>
      </c>
      <c r="J13" s="2">
        <v>12000</v>
      </c>
      <c r="K13" s="2">
        <v>700</v>
      </c>
      <c r="L13" s="2" t="s">
        <v>31</v>
      </c>
      <c r="M13" s="2" t="s">
        <v>82</v>
      </c>
      <c r="N13" s="2" t="s">
        <v>18</v>
      </c>
      <c r="O13" t="s">
        <v>302</v>
      </c>
      <c r="R13">
        <f t="shared" si="6"/>
        <v>6</v>
      </c>
      <c r="S13">
        <f t="shared" si="7"/>
        <v>6</v>
      </c>
      <c r="U13" t="b">
        <v>1</v>
      </c>
      <c r="W13" t="str">
        <f t="shared" si="8"/>
        <v>ODD</v>
      </c>
      <c r="X13">
        <f t="shared" si="0"/>
        <v>170</v>
      </c>
      <c r="AA13" t="str">
        <f t="shared" si="1"/>
        <v>Good_user</v>
      </c>
      <c r="AD13" t="b">
        <f t="shared" si="2"/>
        <v>0</v>
      </c>
      <c r="AF13" t="b">
        <f t="shared" si="3"/>
        <v>1</v>
      </c>
      <c r="AH13" t="str">
        <f>IF(AND(Dataset!G13 &gt;5000,Dataset!H13&gt;7000),"ACTIVE_CONSUMER","INACTIVE_CONSUMER")</f>
        <v>ACTIVE_CONSUMER</v>
      </c>
      <c r="AM13" t="str">
        <f t="shared" si="4"/>
        <v>Not_eligible</v>
      </c>
      <c r="AP13" t="str">
        <f>IF(AND(E13="M",F13="checking",Dataset!G13&gt;2000,Dataset!K13&gt;500),"good_client","bad_client")</f>
        <v>bad_client</v>
      </c>
      <c r="AS13" t="s">
        <v>482</v>
      </c>
      <c r="AT13" t="str">
        <f>IF(AND(Dataset!F13="Savings",Dataset!AS13="eligible"),"YES","NO")</f>
        <v>NO</v>
      </c>
      <c r="AW13" s="12" t="s">
        <v>488</v>
      </c>
      <c r="AX13" s="8" t="s">
        <v>489</v>
      </c>
      <c r="AY13" s="8"/>
      <c r="AZ13" s="8"/>
      <c r="BC13" t="str">
        <f t="shared" si="5"/>
        <v>yes</v>
      </c>
    </row>
    <row r="14" spans="1:56" x14ac:dyDescent="0.3">
      <c r="A14" s="2">
        <v>13</v>
      </c>
      <c r="B14" s="2" t="s">
        <v>48</v>
      </c>
      <c r="C14" s="2" t="s">
        <v>49</v>
      </c>
      <c r="D14" s="2">
        <v>26</v>
      </c>
      <c r="E14" s="2" t="s">
        <v>21</v>
      </c>
      <c r="F14" s="2" t="s">
        <v>15</v>
      </c>
      <c r="G14" s="2">
        <v>3500</v>
      </c>
      <c r="H14" s="2">
        <v>53000</v>
      </c>
      <c r="I14" s="2" t="s">
        <v>16</v>
      </c>
      <c r="J14" s="2">
        <v>0</v>
      </c>
      <c r="K14" s="2">
        <v>680</v>
      </c>
      <c r="L14" s="2" t="s">
        <v>17</v>
      </c>
      <c r="M14" s="2" t="s">
        <v>81</v>
      </c>
      <c r="N14" s="2" t="s">
        <v>25</v>
      </c>
      <c r="O14">
        <v>11</v>
      </c>
      <c r="R14" t="e">
        <f t="shared" si="6"/>
        <v>#DIV/0!</v>
      </c>
      <c r="S14" t="str">
        <f t="shared" si="7"/>
        <v>DIVISION ERROR</v>
      </c>
      <c r="U14" t="b">
        <v>0</v>
      </c>
      <c r="W14" t="str">
        <f t="shared" si="8"/>
        <v>EVEN</v>
      </c>
      <c r="X14">
        <f t="shared" si="0"/>
        <v>286</v>
      </c>
      <c r="AA14" t="str">
        <f t="shared" si="1"/>
        <v>Bad_user</v>
      </c>
      <c r="AD14" t="b">
        <f t="shared" si="2"/>
        <v>1</v>
      </c>
      <c r="AF14" t="b">
        <f t="shared" si="3"/>
        <v>0</v>
      </c>
      <c r="AH14" t="str">
        <f>IF(AND(Dataset!G14 &gt;5000,Dataset!H14&gt;7000),"ACTIVE_CONSUMER","INACTIVE_CONSUMER")</f>
        <v>INACTIVE_CONSUMER</v>
      </c>
      <c r="AM14" t="str">
        <f t="shared" si="4"/>
        <v>Not_eligible</v>
      </c>
      <c r="AP14" t="str">
        <f>IF(AND(E14="M",F14="checking",Dataset!G14&gt;2000,Dataset!K14&gt;500),"good_client","bad_client")</f>
        <v>bad_client</v>
      </c>
      <c r="AS14" t="s">
        <v>482</v>
      </c>
      <c r="AT14" t="str">
        <f>IF(AND(Dataset!F14="Savings",Dataset!AS14="eligible"),"YES","NO")</f>
        <v>NO</v>
      </c>
      <c r="AW14" s="12" t="s">
        <v>487</v>
      </c>
      <c r="AX14" s="8" t="s">
        <v>490</v>
      </c>
      <c r="AY14" s="8"/>
      <c r="AZ14" s="8"/>
      <c r="BC14" t="str">
        <f t="shared" si="5"/>
        <v>yes</v>
      </c>
    </row>
    <row r="15" spans="1:56" x14ac:dyDescent="0.3">
      <c r="A15" s="2">
        <v>14</v>
      </c>
      <c r="B15" s="2" t="s">
        <v>50</v>
      </c>
      <c r="C15" s="2" t="s">
        <v>51</v>
      </c>
      <c r="D15" s="2">
        <v>33</v>
      </c>
      <c r="E15" s="2" t="s">
        <v>14</v>
      </c>
      <c r="F15" s="2" t="s">
        <v>22</v>
      </c>
      <c r="G15" s="2">
        <v>8000</v>
      </c>
      <c r="H15" s="2">
        <v>60000</v>
      </c>
      <c r="I15" s="2" t="s">
        <v>23</v>
      </c>
      <c r="J15" s="2">
        <v>8000</v>
      </c>
      <c r="K15" s="2">
        <v>710</v>
      </c>
      <c r="L15" s="2" t="s">
        <v>24</v>
      </c>
      <c r="M15" s="2" t="s">
        <v>80</v>
      </c>
      <c r="N15" s="2" t="s">
        <v>18</v>
      </c>
      <c r="O15">
        <v>11</v>
      </c>
      <c r="R15">
        <f t="shared" si="6"/>
        <v>7.5</v>
      </c>
      <c r="S15">
        <f t="shared" si="7"/>
        <v>7.5</v>
      </c>
      <c r="U15" t="b">
        <v>1</v>
      </c>
      <c r="W15" t="str">
        <f t="shared" si="8"/>
        <v>ODD</v>
      </c>
      <c r="X15">
        <f t="shared" si="0"/>
        <v>120.5</v>
      </c>
      <c r="AA15" t="str">
        <f t="shared" si="1"/>
        <v>Good_user</v>
      </c>
      <c r="AD15" t="b">
        <f t="shared" si="2"/>
        <v>0</v>
      </c>
      <c r="AF15" t="b">
        <f t="shared" si="3"/>
        <v>0</v>
      </c>
      <c r="AH15" t="str">
        <f>IF(AND(Dataset!G15 &gt;5000,Dataset!H15&gt;7000),"ACTIVE_CONSUMER","INACTIVE_CONSUMER")</f>
        <v>ACTIVE_CONSUMER</v>
      </c>
      <c r="AM15" t="str">
        <f t="shared" si="4"/>
        <v>Not_eligible</v>
      </c>
      <c r="AP15" t="str">
        <f>IF(AND(E15="M",F15="checking",Dataset!G15&gt;2000,Dataset!K15&gt;500),"good_client","bad_client")</f>
        <v>bad_client</v>
      </c>
      <c r="AS15" t="s">
        <v>482</v>
      </c>
      <c r="AT15" t="str">
        <f>IF(AND(Dataset!F15="Savings",Dataset!AS15="eligible"),"YES","NO")</f>
        <v>NO</v>
      </c>
      <c r="AW15" s="12" t="s">
        <v>487</v>
      </c>
      <c r="AX15" s="8" t="s">
        <v>489</v>
      </c>
      <c r="AY15" s="8"/>
      <c r="AZ15" s="8"/>
      <c r="BC15" t="str">
        <f t="shared" si="5"/>
        <v>yes</v>
      </c>
    </row>
    <row r="16" spans="1:56" x14ac:dyDescent="0.3">
      <c r="A16" s="2">
        <v>15</v>
      </c>
      <c r="B16" s="2" t="s">
        <v>52</v>
      </c>
      <c r="C16" s="2" t="s">
        <v>53</v>
      </c>
      <c r="D16" s="2">
        <v>46</v>
      </c>
      <c r="E16" s="2" t="s">
        <v>21</v>
      </c>
      <c r="F16" s="2" t="s">
        <v>15</v>
      </c>
      <c r="G16" s="2">
        <v>13000</v>
      </c>
      <c r="H16" s="2">
        <v>85000</v>
      </c>
      <c r="I16" s="2" t="s">
        <v>16</v>
      </c>
      <c r="J16" s="2">
        <v>0</v>
      </c>
      <c r="K16" s="2">
        <v>740</v>
      </c>
      <c r="L16" s="2" t="s">
        <v>28</v>
      </c>
      <c r="M16" s="2" t="s">
        <v>82</v>
      </c>
      <c r="N16" s="2" t="s">
        <v>25</v>
      </c>
      <c r="O16">
        <v>6</v>
      </c>
      <c r="R16" t="e">
        <f t="shared" si="6"/>
        <v>#DIV/0!</v>
      </c>
      <c r="S16" t="str">
        <f t="shared" si="7"/>
        <v>DIVISION ERROR</v>
      </c>
      <c r="U16" t="b">
        <v>0</v>
      </c>
      <c r="W16" t="str">
        <f t="shared" si="8"/>
        <v>EVEN</v>
      </c>
      <c r="X16">
        <f t="shared" si="0"/>
        <v>13</v>
      </c>
      <c r="AA16" t="str">
        <f t="shared" si="1"/>
        <v>Bad_user</v>
      </c>
      <c r="AD16" t="b">
        <f t="shared" si="2"/>
        <v>1</v>
      </c>
      <c r="AF16" t="b">
        <f t="shared" si="3"/>
        <v>0</v>
      </c>
      <c r="AH16" t="str">
        <f>IF(AND(Dataset!G16 &gt;5000,Dataset!H16&gt;7000),"ACTIVE_CONSUMER","INACTIVE_CONSUMER")</f>
        <v>ACTIVE_CONSUMER</v>
      </c>
      <c r="AM16" t="str">
        <f t="shared" si="4"/>
        <v>Not_eligible</v>
      </c>
      <c r="AP16" t="str">
        <f>IF(AND(E16="M",F16="checking",Dataset!G16&gt;2000,Dataset!K16&gt;500),"good_client","bad_client")</f>
        <v>bad_client</v>
      </c>
      <c r="AS16" t="s">
        <v>482</v>
      </c>
      <c r="AT16" t="str">
        <f>IF(AND(Dataset!F16="Savings",Dataset!AS16="eligible"),"YES","NO")</f>
        <v>NO</v>
      </c>
      <c r="AW16" s="12" t="s">
        <v>486</v>
      </c>
      <c r="AX16" s="8" t="s">
        <v>490</v>
      </c>
      <c r="AY16" s="8"/>
      <c r="AZ16" s="8"/>
      <c r="BC16" t="str">
        <f t="shared" si="5"/>
        <v>yes</v>
      </c>
    </row>
    <row r="17" spans="1:56" x14ac:dyDescent="0.3">
      <c r="A17" s="2">
        <v>16</v>
      </c>
      <c r="B17" s="2" t="s">
        <v>54</v>
      </c>
      <c r="C17" s="2" t="s">
        <v>55</v>
      </c>
      <c r="D17" s="2">
        <v>52</v>
      </c>
      <c r="E17" s="2" t="s">
        <v>14</v>
      </c>
      <c r="F17" s="2" t="s">
        <v>22</v>
      </c>
      <c r="G17" s="2">
        <v>4000</v>
      </c>
      <c r="H17" s="2">
        <v>49000</v>
      </c>
      <c r="I17" s="2" t="s">
        <v>23</v>
      </c>
      <c r="J17" s="2">
        <v>7000</v>
      </c>
      <c r="K17" s="2">
        <v>690</v>
      </c>
      <c r="L17" s="2" t="s">
        <v>31</v>
      </c>
      <c r="M17" s="2" t="s">
        <v>80</v>
      </c>
      <c r="N17" s="2" t="s">
        <v>18</v>
      </c>
      <c r="O17">
        <v>6</v>
      </c>
      <c r="R17">
        <f t="shared" si="6"/>
        <v>7</v>
      </c>
      <c r="S17">
        <f t="shared" si="7"/>
        <v>7</v>
      </c>
      <c r="U17" t="b">
        <v>1</v>
      </c>
      <c r="W17" t="str">
        <f t="shared" si="8"/>
        <v>EVEN</v>
      </c>
      <c r="X17">
        <f t="shared" si="0"/>
        <v>223.5</v>
      </c>
      <c r="AA17" t="str">
        <f t="shared" si="1"/>
        <v>Good_user</v>
      </c>
      <c r="AD17" t="b">
        <f t="shared" si="2"/>
        <v>0</v>
      </c>
      <c r="AF17" t="b">
        <f t="shared" si="3"/>
        <v>0</v>
      </c>
      <c r="AH17" t="str">
        <f>IF(AND(Dataset!G17 &gt;5000,Dataset!H17&gt;7000),"ACTIVE_CONSUMER","INACTIVE_CONSUMER")</f>
        <v>INACTIVE_CONSUMER</v>
      </c>
      <c r="AM17" t="str">
        <f t="shared" si="4"/>
        <v>Not_eligible</v>
      </c>
      <c r="AP17" t="str">
        <f>IF(AND(E17="M",F17="checking",Dataset!G17&gt;2000,Dataset!K17&gt;500),"good_client","bad_client")</f>
        <v>bad_client</v>
      </c>
      <c r="AS17" t="s">
        <v>482</v>
      </c>
      <c r="AT17" t="str">
        <f>IF(AND(Dataset!F17="Savings",Dataset!AS17="eligible"),"YES","NO")</f>
        <v>NO</v>
      </c>
      <c r="AW17" s="12" t="s">
        <v>487</v>
      </c>
      <c r="AX17" s="8" t="s">
        <v>489</v>
      </c>
      <c r="AY17" s="8"/>
      <c r="AZ17" s="8"/>
      <c r="BC17" t="str">
        <f t="shared" si="5"/>
        <v>yes</v>
      </c>
    </row>
    <row r="18" spans="1:56" x14ac:dyDescent="0.3">
      <c r="A18" s="2">
        <v>17</v>
      </c>
      <c r="B18" s="2" t="s">
        <v>56</v>
      </c>
      <c r="C18" s="2" t="s">
        <v>57</v>
      </c>
      <c r="D18" s="2">
        <v>24</v>
      </c>
      <c r="E18" s="2" t="s">
        <v>14</v>
      </c>
      <c r="F18" s="2" t="s">
        <v>15</v>
      </c>
      <c r="G18" s="2">
        <v>2200</v>
      </c>
      <c r="H18" s="2">
        <v>45000</v>
      </c>
      <c r="I18" s="2" t="s">
        <v>16</v>
      </c>
      <c r="J18" s="2">
        <v>0</v>
      </c>
      <c r="K18" s="2">
        <v>670</v>
      </c>
      <c r="L18" s="2" t="s">
        <v>17</v>
      </c>
      <c r="M18" s="2" t="s">
        <v>81</v>
      </c>
      <c r="N18" s="2" t="s">
        <v>25</v>
      </c>
      <c r="O18">
        <v>5</v>
      </c>
      <c r="R18" t="e">
        <f t="shared" si="6"/>
        <v>#DIV/0!</v>
      </c>
      <c r="S18" t="str">
        <f t="shared" si="7"/>
        <v>DIVISION ERROR</v>
      </c>
      <c r="U18" t="b">
        <v>0</v>
      </c>
      <c r="W18" t="str">
        <f t="shared" si="8"/>
        <v>EVEN</v>
      </c>
      <c r="X18">
        <f t="shared" si="0"/>
        <v>334</v>
      </c>
      <c r="AA18" t="str">
        <f t="shared" si="1"/>
        <v>Bad_user</v>
      </c>
      <c r="AD18" t="b">
        <f t="shared" si="2"/>
        <v>1</v>
      </c>
      <c r="AF18" t="b">
        <f t="shared" si="3"/>
        <v>0</v>
      </c>
      <c r="AH18" t="str">
        <f>IF(AND(Dataset!G18 &gt;5000,Dataset!H18&gt;7000),"ACTIVE_CONSUMER","INACTIVE_CONSUMER")</f>
        <v>INACTIVE_CONSUMER</v>
      </c>
      <c r="AM18" t="str">
        <f t="shared" si="4"/>
        <v>Not_eligible</v>
      </c>
      <c r="AP18" t="str">
        <f>IF(AND(E18="M",F18="checking",Dataset!G18&gt;2000,Dataset!K18&gt;500),"good_client","bad_client")</f>
        <v>good_client</v>
      </c>
      <c r="AS18" t="s">
        <v>482</v>
      </c>
      <c r="AT18" t="str">
        <f>IF(AND(Dataset!F18="Savings",Dataset!AS18="eligible"),"YES","NO")</f>
        <v>NO</v>
      </c>
      <c r="AW18" s="12" t="s">
        <v>487</v>
      </c>
      <c r="AX18" s="8" t="s">
        <v>490</v>
      </c>
      <c r="AY18" s="8"/>
      <c r="AZ18" s="8"/>
      <c r="BC18" t="str">
        <f t="shared" si="5"/>
        <v>yes</v>
      </c>
    </row>
    <row r="19" spans="1:56" x14ac:dyDescent="0.3">
      <c r="A19" s="2">
        <v>18</v>
      </c>
      <c r="B19" s="2" t="s">
        <v>58</v>
      </c>
      <c r="C19" s="2" t="s">
        <v>59</v>
      </c>
      <c r="D19" s="2">
        <v>38</v>
      </c>
      <c r="E19" s="2" t="s">
        <v>14</v>
      </c>
      <c r="F19" s="2" t="s">
        <v>22</v>
      </c>
      <c r="G19" s="2">
        <v>15000</v>
      </c>
      <c r="H19" s="2">
        <v>77000</v>
      </c>
      <c r="I19" s="2" t="s">
        <v>23</v>
      </c>
      <c r="J19" s="2">
        <v>15000</v>
      </c>
      <c r="K19" s="2">
        <v>720</v>
      </c>
      <c r="L19" s="2" t="s">
        <v>24</v>
      </c>
      <c r="M19" s="2" t="s">
        <v>82</v>
      </c>
      <c r="N19" s="2" t="s">
        <v>18</v>
      </c>
      <c r="O19" t="s">
        <v>302</v>
      </c>
      <c r="R19">
        <f t="shared" si="6"/>
        <v>5.1333333333333337</v>
      </c>
      <c r="S19">
        <f t="shared" si="7"/>
        <v>5.1333333333333337</v>
      </c>
      <c r="U19" t="b">
        <v>1</v>
      </c>
      <c r="W19" t="str">
        <f t="shared" si="8"/>
        <v>EVEN</v>
      </c>
      <c r="X19">
        <f t="shared" si="0"/>
        <v>60</v>
      </c>
      <c r="AA19" t="str">
        <f t="shared" si="1"/>
        <v>Good_user</v>
      </c>
      <c r="AD19" t="b">
        <f t="shared" si="2"/>
        <v>0</v>
      </c>
      <c r="AF19" t="b">
        <f t="shared" si="3"/>
        <v>1</v>
      </c>
      <c r="AH19" t="str">
        <f>IF(AND(Dataset!G19 &gt;5000,Dataset!H19&gt;7000),"ACTIVE_CONSUMER","INACTIVE_CONSUMER")</f>
        <v>ACTIVE_CONSUMER</v>
      </c>
      <c r="AM19" t="str">
        <f t="shared" si="4"/>
        <v>Not_eligible</v>
      </c>
      <c r="AP19" t="str">
        <f>IF(AND(E19="M",F19="checking",Dataset!G19&gt;2000,Dataset!K19&gt;500),"good_client","bad_client")</f>
        <v>bad_client</v>
      </c>
      <c r="AS19" t="s">
        <v>482</v>
      </c>
      <c r="AT19" t="str">
        <f>IF(AND(Dataset!F19="Savings",Dataset!AS19="eligible"),"YES","NO")</f>
        <v>NO</v>
      </c>
      <c r="AW19" s="12" t="s">
        <v>486</v>
      </c>
      <c r="AX19" s="8" t="s">
        <v>489</v>
      </c>
      <c r="AY19" s="8"/>
      <c r="AZ19" s="8"/>
      <c r="BC19" t="str">
        <f t="shared" si="5"/>
        <v>yes</v>
      </c>
    </row>
    <row r="20" spans="1:56" x14ac:dyDescent="0.3">
      <c r="A20" s="2">
        <v>19</v>
      </c>
      <c r="B20" s="2" t="s">
        <v>60</v>
      </c>
      <c r="C20" s="2" t="s">
        <v>61</v>
      </c>
      <c r="D20" s="2">
        <v>27</v>
      </c>
      <c r="E20" s="2" t="s">
        <v>21</v>
      </c>
      <c r="F20" s="2" t="s">
        <v>15</v>
      </c>
      <c r="G20" s="2">
        <v>4000</v>
      </c>
      <c r="H20" s="2">
        <v>50000</v>
      </c>
      <c r="I20" s="2" t="s">
        <v>16</v>
      </c>
      <c r="J20" s="2">
        <v>0</v>
      </c>
      <c r="K20" s="2">
        <v>680</v>
      </c>
      <c r="L20" s="2" t="s">
        <v>28</v>
      </c>
      <c r="M20" s="2" t="s">
        <v>80</v>
      </c>
      <c r="N20" s="2" t="s">
        <v>25</v>
      </c>
      <c r="O20">
        <v>6</v>
      </c>
      <c r="R20" t="e">
        <f t="shared" si="6"/>
        <v>#DIV/0!</v>
      </c>
      <c r="S20" t="str">
        <f t="shared" si="7"/>
        <v>DIVISION ERROR</v>
      </c>
      <c r="U20" t="b">
        <v>0</v>
      </c>
      <c r="W20" t="str">
        <f t="shared" si="8"/>
        <v>ODD</v>
      </c>
      <c r="X20">
        <f t="shared" si="0"/>
        <v>286</v>
      </c>
      <c r="AA20" t="str">
        <f t="shared" si="1"/>
        <v>Bad_user</v>
      </c>
      <c r="AD20" t="b">
        <f t="shared" si="2"/>
        <v>1</v>
      </c>
      <c r="AF20" t="b">
        <f t="shared" si="3"/>
        <v>0</v>
      </c>
      <c r="AH20" t="str">
        <f>IF(AND(Dataset!G20 &gt;5000,Dataset!H20&gt;7000),"ACTIVE_CONSUMER","INACTIVE_CONSUMER")</f>
        <v>INACTIVE_CONSUMER</v>
      </c>
      <c r="AM20" t="str">
        <f t="shared" si="4"/>
        <v>Not_eligible</v>
      </c>
      <c r="AP20" t="str">
        <f>IF(AND(E20="M",F20="checking",Dataset!G20&gt;2000,Dataset!K20&gt;500),"good_client","bad_client")</f>
        <v>bad_client</v>
      </c>
      <c r="AS20" t="s">
        <v>482</v>
      </c>
      <c r="AT20" t="str">
        <f>IF(AND(Dataset!F20="Savings",Dataset!AS20="eligible"),"YES","NO")</f>
        <v>NO</v>
      </c>
      <c r="AW20" s="12" t="s">
        <v>487</v>
      </c>
      <c r="AX20" s="8" t="s">
        <v>490</v>
      </c>
      <c r="AY20" s="8"/>
      <c r="AZ20" s="8"/>
      <c r="BC20" t="str">
        <f t="shared" si="5"/>
        <v>yes</v>
      </c>
    </row>
    <row r="21" spans="1:56" x14ac:dyDescent="0.3">
      <c r="A21" s="2">
        <v>20</v>
      </c>
      <c r="B21" s="2" t="s">
        <v>62</v>
      </c>
      <c r="C21" s="2" t="s">
        <v>63</v>
      </c>
      <c r="D21" s="2">
        <v>41</v>
      </c>
      <c r="E21" s="2" t="s">
        <v>14</v>
      </c>
      <c r="F21" s="2" t="s">
        <v>22</v>
      </c>
      <c r="G21" s="2">
        <v>9000</v>
      </c>
      <c r="H21" s="2">
        <v>69000</v>
      </c>
      <c r="I21" s="2" t="s">
        <v>23</v>
      </c>
      <c r="J21" s="2">
        <v>12000</v>
      </c>
      <c r="K21" s="2">
        <v>700</v>
      </c>
      <c r="L21" s="2" t="s">
        <v>31</v>
      </c>
      <c r="M21" s="2" t="s">
        <v>82</v>
      </c>
      <c r="N21" s="2" t="s">
        <v>18</v>
      </c>
      <c r="O21">
        <v>5</v>
      </c>
      <c r="R21">
        <f t="shared" si="6"/>
        <v>5.75</v>
      </c>
      <c r="S21">
        <f t="shared" si="7"/>
        <v>5.75</v>
      </c>
      <c r="U21" t="b">
        <v>1</v>
      </c>
      <c r="W21" t="str">
        <f t="shared" si="8"/>
        <v>ODD</v>
      </c>
      <c r="X21">
        <f t="shared" si="0"/>
        <v>170</v>
      </c>
      <c r="AA21" t="str">
        <f t="shared" si="1"/>
        <v>Good_user</v>
      </c>
      <c r="AD21" t="b">
        <f t="shared" si="2"/>
        <v>0</v>
      </c>
      <c r="AF21" t="b">
        <f t="shared" si="3"/>
        <v>0</v>
      </c>
      <c r="AH21" t="str">
        <f>IF(AND(Dataset!G21 &gt;5000,Dataset!H21&gt;7000),"ACTIVE_CONSUMER","INACTIVE_CONSUMER")</f>
        <v>ACTIVE_CONSUMER</v>
      </c>
      <c r="AM21" t="str">
        <f t="shared" si="4"/>
        <v>Not_eligible</v>
      </c>
      <c r="AP21" t="str">
        <f>IF(AND(E21="M",F21="checking",Dataset!G21&gt;2000,Dataset!K21&gt;500),"good_client","bad_client")</f>
        <v>bad_client</v>
      </c>
      <c r="AS21" t="s">
        <v>482</v>
      </c>
      <c r="AT21" t="str">
        <f>IF(AND(Dataset!F21="Savings",Dataset!AS21="eligible"),"YES","NO")</f>
        <v>NO</v>
      </c>
      <c r="AW21" s="12" t="s">
        <v>486</v>
      </c>
      <c r="AX21" s="8" t="s">
        <v>489</v>
      </c>
      <c r="AY21" s="8"/>
      <c r="AZ21" s="8"/>
      <c r="BC21" t="str">
        <f t="shared" si="5"/>
        <v>yes</v>
      </c>
    </row>
    <row r="22" spans="1:56" x14ac:dyDescent="0.3">
      <c r="A22" s="2">
        <v>21</v>
      </c>
      <c r="B22" s="2" t="s">
        <v>64</v>
      </c>
      <c r="C22" s="2" t="s">
        <v>65</v>
      </c>
      <c r="D22" s="2">
        <v>32</v>
      </c>
      <c r="E22" s="2" t="s">
        <v>21</v>
      </c>
      <c r="F22" s="2" t="s">
        <v>15</v>
      </c>
      <c r="G22" s="2">
        <v>5500</v>
      </c>
      <c r="H22" s="2">
        <v>54000</v>
      </c>
      <c r="I22" s="2" t="s">
        <v>16</v>
      </c>
      <c r="J22" s="2">
        <v>0</v>
      </c>
      <c r="K22" s="2">
        <v>710</v>
      </c>
      <c r="L22" s="2" t="s">
        <v>17</v>
      </c>
      <c r="M22" s="2" t="s">
        <v>80</v>
      </c>
      <c r="N22" s="2" t="s">
        <v>25</v>
      </c>
      <c r="O22">
        <v>14</v>
      </c>
      <c r="R22" t="e">
        <f t="shared" si="6"/>
        <v>#DIV/0!</v>
      </c>
      <c r="S22" t="str">
        <f t="shared" si="7"/>
        <v>DIVISION ERROR</v>
      </c>
      <c r="U22" t="b">
        <v>0</v>
      </c>
      <c r="W22" t="str">
        <f t="shared" si="8"/>
        <v>EVEN</v>
      </c>
      <c r="X22">
        <f t="shared" si="0"/>
        <v>120.5</v>
      </c>
      <c r="AA22" t="str">
        <f t="shared" si="1"/>
        <v>Bad_user</v>
      </c>
      <c r="AD22" t="b">
        <f t="shared" si="2"/>
        <v>1</v>
      </c>
      <c r="AF22" t="b">
        <f t="shared" si="3"/>
        <v>0</v>
      </c>
      <c r="AH22" t="str">
        <f>IF(AND(Dataset!G22 &gt;5000,Dataset!H22&gt;7000),"ACTIVE_CONSUMER","INACTIVE_CONSUMER")</f>
        <v>ACTIVE_CONSUMER</v>
      </c>
      <c r="AM22" t="str">
        <f t="shared" si="4"/>
        <v>Not_eligible</v>
      </c>
      <c r="AP22" t="str">
        <f>IF(AND(E22="M",F22="checking",Dataset!G22&gt;2000,Dataset!K22&gt;500),"good_client","bad_client")</f>
        <v>bad_client</v>
      </c>
      <c r="AS22" t="s">
        <v>482</v>
      </c>
      <c r="AT22" t="str">
        <f>IF(AND(Dataset!F22="Savings",Dataset!AS22="eligible"),"YES","NO")</f>
        <v>NO</v>
      </c>
      <c r="AW22" s="12" t="s">
        <v>487</v>
      </c>
      <c r="AX22" s="8" t="s">
        <v>490</v>
      </c>
      <c r="AY22" s="8"/>
      <c r="AZ22" s="8"/>
      <c r="BC22" t="str">
        <f t="shared" si="5"/>
        <v>yes</v>
      </c>
    </row>
    <row r="23" spans="1:56" x14ac:dyDescent="0.3">
      <c r="A23" s="2">
        <v>22</v>
      </c>
      <c r="B23" s="2" t="s">
        <v>66</v>
      </c>
      <c r="C23" s="2" t="s">
        <v>67</v>
      </c>
      <c r="D23" s="2">
        <v>47</v>
      </c>
      <c r="E23" s="2" t="s">
        <v>14</v>
      </c>
      <c r="F23" s="2" t="s">
        <v>22</v>
      </c>
      <c r="G23" s="2">
        <v>7000</v>
      </c>
      <c r="H23" s="2">
        <v>74000</v>
      </c>
      <c r="I23" s="2" t="s">
        <v>23</v>
      </c>
      <c r="J23" s="2">
        <v>10000</v>
      </c>
      <c r="K23" s="2">
        <v>690</v>
      </c>
      <c r="L23" s="2" t="s">
        <v>24</v>
      </c>
      <c r="M23" s="2" t="s">
        <v>81</v>
      </c>
      <c r="N23" s="2" t="s">
        <v>18</v>
      </c>
      <c r="O23">
        <v>12</v>
      </c>
      <c r="R23">
        <f t="shared" si="6"/>
        <v>7.4</v>
      </c>
      <c r="S23">
        <f t="shared" si="7"/>
        <v>7.4</v>
      </c>
      <c r="U23" t="b">
        <v>1</v>
      </c>
      <c r="W23" t="str">
        <f t="shared" si="8"/>
        <v>ODD</v>
      </c>
      <c r="X23">
        <f t="shared" si="0"/>
        <v>223.5</v>
      </c>
      <c r="AA23" t="str">
        <f t="shared" si="1"/>
        <v>Good_user</v>
      </c>
      <c r="AD23" t="b">
        <f t="shared" si="2"/>
        <v>0</v>
      </c>
      <c r="AF23" t="b">
        <f t="shared" si="3"/>
        <v>0</v>
      </c>
      <c r="AH23" t="str">
        <f>IF(AND(Dataset!G23 &gt;5000,Dataset!H23&gt;7000),"ACTIVE_CONSUMER","INACTIVE_CONSUMER")</f>
        <v>ACTIVE_CONSUMER</v>
      </c>
      <c r="AM23" t="str">
        <f t="shared" si="4"/>
        <v>Not_eligible</v>
      </c>
      <c r="AP23" t="str">
        <f>IF(AND(E23="M",F23="checking",Dataset!G23&gt;2000,Dataset!K23&gt;500),"good_client","bad_client")</f>
        <v>bad_client</v>
      </c>
      <c r="AS23" t="s">
        <v>482</v>
      </c>
      <c r="AT23" t="str">
        <f>IF(AND(Dataset!F23="Savings",Dataset!AS23="eligible"),"YES","NO")</f>
        <v>NO</v>
      </c>
      <c r="AW23" s="12" t="s">
        <v>487</v>
      </c>
      <c r="AX23" s="8" t="s">
        <v>489</v>
      </c>
      <c r="AY23" s="8"/>
      <c r="AZ23" s="8"/>
      <c r="BC23" t="str">
        <f t="shared" si="5"/>
        <v>yes</v>
      </c>
    </row>
    <row r="24" spans="1:56" x14ac:dyDescent="0.3">
      <c r="A24" s="2">
        <v>23</v>
      </c>
      <c r="B24" s="2" t="s">
        <v>68</v>
      </c>
      <c r="C24" s="2" t="s">
        <v>69</v>
      </c>
      <c r="D24" s="2">
        <v>35</v>
      </c>
      <c r="E24" s="2" t="s">
        <v>21</v>
      </c>
      <c r="F24" s="2" t="s">
        <v>15</v>
      </c>
      <c r="G24" s="2">
        <v>6000</v>
      </c>
      <c r="H24" s="2">
        <v>68000</v>
      </c>
      <c r="I24" s="2" t="s">
        <v>16</v>
      </c>
      <c r="J24" s="2">
        <v>0</v>
      </c>
      <c r="K24" s="2">
        <v>720</v>
      </c>
      <c r="L24" s="2" t="s">
        <v>28</v>
      </c>
      <c r="M24" s="2" t="s">
        <v>81</v>
      </c>
      <c r="N24" s="2" t="s">
        <v>25</v>
      </c>
      <c r="O24">
        <v>11</v>
      </c>
      <c r="R24" t="e">
        <f t="shared" si="6"/>
        <v>#DIV/0!</v>
      </c>
      <c r="S24" t="str">
        <f t="shared" si="7"/>
        <v>DIVISION ERROR</v>
      </c>
      <c r="U24" t="b">
        <v>0</v>
      </c>
      <c r="W24" t="str">
        <f t="shared" si="8"/>
        <v>ODD</v>
      </c>
      <c r="X24">
        <f t="shared" si="0"/>
        <v>60</v>
      </c>
      <c r="AA24" t="str">
        <f t="shared" si="1"/>
        <v>Bad_user</v>
      </c>
      <c r="AD24" t="b">
        <f t="shared" si="2"/>
        <v>1</v>
      </c>
      <c r="AF24" t="b">
        <f t="shared" si="3"/>
        <v>0</v>
      </c>
      <c r="AH24" t="str">
        <f>IF(AND(Dataset!G24 &gt;5000,Dataset!H24&gt;7000),"ACTIVE_CONSUMER","INACTIVE_CONSUMER")</f>
        <v>ACTIVE_CONSUMER</v>
      </c>
      <c r="AM24" t="str">
        <f t="shared" si="4"/>
        <v>Not_eligible</v>
      </c>
      <c r="AP24" t="str">
        <f>IF(AND(E24="M",F24="checking",Dataset!G24&gt;2000,Dataset!K24&gt;500),"good_client","bad_client")</f>
        <v>bad_client</v>
      </c>
      <c r="AS24" t="s">
        <v>482</v>
      </c>
      <c r="AT24" t="str">
        <f>IF(AND(Dataset!F24="Savings",Dataset!AS24="eligible"),"YES","NO")</f>
        <v>NO</v>
      </c>
      <c r="AW24" s="12" t="s">
        <v>487</v>
      </c>
      <c r="AX24" s="8" t="s">
        <v>490</v>
      </c>
      <c r="AY24" s="8"/>
      <c r="AZ24" s="8"/>
      <c r="BC24" t="str">
        <f t="shared" si="5"/>
        <v>yes</v>
      </c>
    </row>
    <row r="25" spans="1:56" x14ac:dyDescent="0.3">
      <c r="A25" s="2">
        <v>24</v>
      </c>
      <c r="B25" s="2" t="s">
        <v>70</v>
      </c>
      <c r="C25" s="2" t="s">
        <v>71</v>
      </c>
      <c r="D25" s="2">
        <v>29</v>
      </c>
      <c r="E25" s="2" t="s">
        <v>14</v>
      </c>
      <c r="F25" s="2" t="s">
        <v>22</v>
      </c>
      <c r="G25" s="2">
        <v>2500</v>
      </c>
      <c r="H25" s="2">
        <v>45000</v>
      </c>
      <c r="I25" s="2" t="s">
        <v>23</v>
      </c>
      <c r="J25" s="2">
        <v>5000</v>
      </c>
      <c r="K25" s="2">
        <v>670</v>
      </c>
      <c r="L25" s="2" t="s">
        <v>31</v>
      </c>
      <c r="M25" s="2" t="s">
        <v>81</v>
      </c>
      <c r="N25" s="2" t="s">
        <v>18</v>
      </c>
      <c r="O25">
        <v>8</v>
      </c>
      <c r="R25">
        <f t="shared" si="6"/>
        <v>9</v>
      </c>
      <c r="S25">
        <f t="shared" si="7"/>
        <v>9</v>
      </c>
      <c r="U25" t="b">
        <v>1</v>
      </c>
      <c r="W25" t="str">
        <f t="shared" si="8"/>
        <v>ODD</v>
      </c>
      <c r="Y25">
        <f t="shared" ref="Y25:Y66" si="9">_xlfn.RANK.AVG(K25,$K$2:$K$350,0)</f>
        <v>334</v>
      </c>
      <c r="AB25" t="str">
        <f t="shared" ref="AB25:AB66" si="10">IF(N25="Active","Good_user","Bad_user")</f>
        <v>Good_user</v>
      </c>
      <c r="AE25" t="b">
        <f t="shared" ref="AE25:AE66" si="11">ISERROR(R25)</f>
        <v>0</v>
      </c>
      <c r="AG25" t="b">
        <f t="shared" ref="AG25:AG66" si="12">ISTEXT(O25)</f>
        <v>0</v>
      </c>
      <c r="AI25" t="str">
        <f>IF(AND(Dataset!G25 &gt;5000,Dataset!H25&gt;7000),"ACTIVE_CONSUMER","INACTIVE_CONSUMER")</f>
        <v>INACTIVE_CONSUMER</v>
      </c>
      <c r="AN25" t="str">
        <f t="shared" ref="AN25:AN66" si="13">IF(AND(D25&gt;40,H25&lt;8000,K25&lt;300),"Eligible","Not_eligible")</f>
        <v>Not_eligible</v>
      </c>
      <c r="AQ25" t="str">
        <f>IF(AND(E25="M",F25="checking",Dataset!G25&gt;2000,Dataset!K25&gt;500),"good_client","bad_client")</f>
        <v>bad_client</v>
      </c>
      <c r="AT25" t="s">
        <v>482</v>
      </c>
      <c r="AU25" t="str">
        <f>IF(AND(Dataset!F25="Savings",Dataset!AT25="eligible"),"YES","NO")</f>
        <v>NO</v>
      </c>
      <c r="AW25" s="8"/>
      <c r="AX25" s="12" t="s">
        <v>487</v>
      </c>
      <c r="AY25" s="8" t="s">
        <v>489</v>
      </c>
      <c r="AZ25" s="8"/>
      <c r="BD25" t="str">
        <f t="shared" ref="BD25:BD66" si="14">IF(H25&gt;6000,"yes","no")</f>
        <v>yes</v>
      </c>
    </row>
    <row r="26" spans="1:56" x14ac:dyDescent="0.3">
      <c r="A26" s="2">
        <v>25</v>
      </c>
      <c r="B26" s="2" t="s">
        <v>72</v>
      </c>
      <c r="C26" s="2" t="s">
        <v>73</v>
      </c>
      <c r="D26" s="2">
        <v>42</v>
      </c>
      <c r="E26" s="2" t="s">
        <v>21</v>
      </c>
      <c r="F26" s="2" t="s">
        <v>15</v>
      </c>
      <c r="G26" s="2">
        <v>11000</v>
      </c>
      <c r="H26" s="2">
        <v>80000</v>
      </c>
      <c r="I26" s="2" t="s">
        <v>16</v>
      </c>
      <c r="J26" s="2">
        <v>0</v>
      </c>
      <c r="K26" s="2">
        <v>740</v>
      </c>
      <c r="L26" s="2" t="s">
        <v>17</v>
      </c>
      <c r="M26" s="2" t="s">
        <v>82</v>
      </c>
      <c r="N26" s="2" t="s">
        <v>25</v>
      </c>
      <c r="O26">
        <v>4</v>
      </c>
      <c r="R26" t="e">
        <f t="shared" si="6"/>
        <v>#DIV/0!</v>
      </c>
      <c r="S26" t="str">
        <f t="shared" si="7"/>
        <v>DIVISION ERROR</v>
      </c>
      <c r="U26" t="b">
        <v>0</v>
      </c>
      <c r="W26" t="str">
        <f t="shared" si="8"/>
        <v>EVEN</v>
      </c>
      <c r="Y26">
        <f t="shared" si="9"/>
        <v>13</v>
      </c>
      <c r="AB26" t="str">
        <f t="shared" si="10"/>
        <v>Bad_user</v>
      </c>
      <c r="AE26" t="b">
        <f t="shared" si="11"/>
        <v>1</v>
      </c>
      <c r="AG26" t="b">
        <f t="shared" si="12"/>
        <v>0</v>
      </c>
      <c r="AI26" t="str">
        <f>IF(AND(Dataset!G26 &gt;5000,Dataset!H26&gt;7000),"ACTIVE_CONSUMER","INACTIVE_CONSUMER")</f>
        <v>ACTIVE_CONSUMER</v>
      </c>
      <c r="AN26" t="str">
        <f t="shared" si="13"/>
        <v>Not_eligible</v>
      </c>
      <c r="AQ26" t="str">
        <f>IF(AND(E26="M",F26="checking",Dataset!G26&gt;2000,Dataset!K26&gt;500),"good_client","bad_client")</f>
        <v>bad_client</v>
      </c>
      <c r="AT26" t="s">
        <v>482</v>
      </c>
      <c r="AU26" t="str">
        <f>IF(AND(Dataset!F26="Savings",Dataset!AT26="eligible"),"YES","NO")</f>
        <v>NO</v>
      </c>
      <c r="AW26" s="8"/>
      <c r="AX26" s="12" t="s">
        <v>486</v>
      </c>
      <c r="AY26" s="8" t="s">
        <v>490</v>
      </c>
      <c r="AZ26" s="8"/>
      <c r="BD26" t="str">
        <f t="shared" si="14"/>
        <v>yes</v>
      </c>
    </row>
    <row r="27" spans="1:56" x14ac:dyDescent="0.3">
      <c r="A27" s="2">
        <v>26</v>
      </c>
      <c r="B27" s="2" t="s">
        <v>29</v>
      </c>
      <c r="C27" s="2" t="s">
        <v>74</v>
      </c>
      <c r="D27" s="2">
        <v>50</v>
      </c>
      <c r="E27" s="2" t="s">
        <v>14</v>
      </c>
      <c r="F27" s="2" t="s">
        <v>22</v>
      </c>
      <c r="G27" s="2">
        <v>3000</v>
      </c>
      <c r="H27" s="2">
        <v>47000</v>
      </c>
      <c r="I27" s="2" t="s">
        <v>23</v>
      </c>
      <c r="J27" s="2">
        <v>8000</v>
      </c>
      <c r="K27" s="2">
        <v>680</v>
      </c>
      <c r="L27" s="2" t="s">
        <v>24</v>
      </c>
      <c r="M27" s="2" t="s">
        <v>82</v>
      </c>
      <c r="N27" s="2" t="s">
        <v>18</v>
      </c>
      <c r="O27">
        <v>13</v>
      </c>
      <c r="R27">
        <f t="shared" si="6"/>
        <v>5.875</v>
      </c>
      <c r="S27">
        <f t="shared" si="7"/>
        <v>5.875</v>
      </c>
      <c r="U27" t="b">
        <v>1</v>
      </c>
      <c r="W27" t="str">
        <f t="shared" si="8"/>
        <v>EVEN</v>
      </c>
      <c r="Y27">
        <f t="shared" si="9"/>
        <v>286</v>
      </c>
      <c r="AB27" t="str">
        <f t="shared" si="10"/>
        <v>Good_user</v>
      </c>
      <c r="AE27" t="b">
        <f t="shared" si="11"/>
        <v>0</v>
      </c>
      <c r="AG27" t="b">
        <f t="shared" si="12"/>
        <v>0</v>
      </c>
      <c r="AI27" t="str">
        <f>IF(AND(Dataset!G27 &gt;5000,Dataset!H27&gt;7000),"ACTIVE_CONSUMER","INACTIVE_CONSUMER")</f>
        <v>INACTIVE_CONSUMER</v>
      </c>
      <c r="AN27" t="str">
        <f t="shared" si="13"/>
        <v>Not_eligible</v>
      </c>
      <c r="AQ27" t="str">
        <f>IF(AND(E27="M",F27="checking",Dataset!G27&gt;2000,Dataset!K27&gt;500),"good_client","bad_client")</f>
        <v>bad_client</v>
      </c>
      <c r="AT27" t="s">
        <v>482</v>
      </c>
      <c r="AU27" t="str">
        <f>IF(AND(Dataset!F27="Savings",Dataset!AT27="eligible"),"YES","NO")</f>
        <v>NO</v>
      </c>
      <c r="AW27" s="8"/>
      <c r="AX27" s="12" t="s">
        <v>486</v>
      </c>
      <c r="AY27" s="8" t="s">
        <v>489</v>
      </c>
      <c r="AZ27" s="8"/>
      <c r="BD27" t="str">
        <f t="shared" si="14"/>
        <v>yes</v>
      </c>
    </row>
    <row r="28" spans="1:56" x14ac:dyDescent="0.3">
      <c r="A28" s="2">
        <v>27</v>
      </c>
      <c r="B28" s="2" t="s">
        <v>75</v>
      </c>
      <c r="C28" s="2" t="s">
        <v>76</v>
      </c>
      <c r="D28" s="2">
        <v>28</v>
      </c>
      <c r="E28" s="2" t="s">
        <v>21</v>
      </c>
      <c r="F28" s="2" t="s">
        <v>15</v>
      </c>
      <c r="G28" s="2">
        <v>4000</v>
      </c>
      <c r="H28" s="2">
        <v>53000</v>
      </c>
      <c r="I28" s="2" t="s">
        <v>16</v>
      </c>
      <c r="J28" s="2">
        <v>0</v>
      </c>
      <c r="K28" s="2">
        <v>690</v>
      </c>
      <c r="L28" s="2" t="s">
        <v>28</v>
      </c>
      <c r="M28" s="2" t="s">
        <v>80</v>
      </c>
      <c r="N28" s="2" t="s">
        <v>25</v>
      </c>
      <c r="O28">
        <v>7</v>
      </c>
      <c r="R28" t="e">
        <f t="shared" si="6"/>
        <v>#DIV/0!</v>
      </c>
      <c r="S28" t="str">
        <f t="shared" si="7"/>
        <v>DIVISION ERROR</v>
      </c>
      <c r="U28" t="b">
        <v>0</v>
      </c>
      <c r="W28" t="str">
        <f t="shared" si="8"/>
        <v>EVEN</v>
      </c>
      <c r="Y28">
        <f t="shared" si="9"/>
        <v>223.5</v>
      </c>
      <c r="AB28" t="str">
        <f t="shared" si="10"/>
        <v>Bad_user</v>
      </c>
      <c r="AE28" t="b">
        <f t="shared" si="11"/>
        <v>1</v>
      </c>
      <c r="AG28" t="b">
        <f t="shared" si="12"/>
        <v>0</v>
      </c>
      <c r="AI28" t="str">
        <f>IF(AND(Dataset!G28 &gt;5000,Dataset!H28&gt;7000),"ACTIVE_CONSUMER","INACTIVE_CONSUMER")</f>
        <v>INACTIVE_CONSUMER</v>
      </c>
      <c r="AN28" t="str">
        <f t="shared" si="13"/>
        <v>Not_eligible</v>
      </c>
      <c r="AQ28" t="str">
        <f>IF(AND(E28="M",F28="checking",Dataset!G28&gt;2000,Dataset!K28&gt;500),"good_client","bad_client")</f>
        <v>bad_client</v>
      </c>
      <c r="AT28" t="s">
        <v>482</v>
      </c>
      <c r="AU28" t="str">
        <f>IF(AND(Dataset!F28="Savings",Dataset!AT28="eligible"),"YES","NO")</f>
        <v>NO</v>
      </c>
      <c r="AW28" s="8"/>
      <c r="AX28" s="12" t="s">
        <v>487</v>
      </c>
      <c r="AY28" s="8" t="s">
        <v>490</v>
      </c>
      <c r="AZ28" s="8"/>
      <c r="BD28" t="str">
        <f t="shared" si="14"/>
        <v>yes</v>
      </c>
    </row>
    <row r="29" spans="1:56" x14ac:dyDescent="0.3">
      <c r="A29" s="2">
        <v>28</v>
      </c>
      <c r="B29" s="2" t="s">
        <v>38</v>
      </c>
      <c r="C29" s="2" t="s">
        <v>35</v>
      </c>
      <c r="D29" s="2">
        <v>36</v>
      </c>
      <c r="E29" s="2" t="s">
        <v>14</v>
      </c>
      <c r="F29" s="2" t="s">
        <v>22</v>
      </c>
      <c r="G29" s="2">
        <v>9000</v>
      </c>
      <c r="H29" s="2">
        <v>71000</v>
      </c>
      <c r="I29" s="2" t="s">
        <v>23</v>
      </c>
      <c r="J29" s="2">
        <v>13000</v>
      </c>
      <c r="K29" s="2">
        <v>700</v>
      </c>
      <c r="L29" s="2" t="s">
        <v>31</v>
      </c>
      <c r="M29" s="2" t="s">
        <v>81</v>
      </c>
      <c r="N29" s="2" t="s">
        <v>18</v>
      </c>
      <c r="O29">
        <v>4</v>
      </c>
      <c r="R29">
        <f t="shared" si="6"/>
        <v>5.4615384615384617</v>
      </c>
      <c r="S29">
        <f t="shared" si="7"/>
        <v>5.4615384615384617</v>
      </c>
      <c r="U29" t="b">
        <v>1</v>
      </c>
      <c r="W29" t="str">
        <f t="shared" si="8"/>
        <v>EVEN</v>
      </c>
      <c r="Y29">
        <f t="shared" si="9"/>
        <v>170</v>
      </c>
      <c r="AB29" t="str">
        <f t="shared" si="10"/>
        <v>Good_user</v>
      </c>
      <c r="AE29" t="b">
        <f t="shared" si="11"/>
        <v>0</v>
      </c>
      <c r="AG29" t="b">
        <f t="shared" si="12"/>
        <v>0</v>
      </c>
      <c r="AI29" t="str">
        <f>IF(AND(Dataset!G29 &gt;5000,Dataset!H29&gt;7000),"ACTIVE_CONSUMER","INACTIVE_CONSUMER")</f>
        <v>ACTIVE_CONSUMER</v>
      </c>
      <c r="AN29" t="str">
        <f t="shared" si="13"/>
        <v>Not_eligible</v>
      </c>
      <c r="AQ29" t="str">
        <f>IF(AND(E29="M",F29="checking",Dataset!G29&gt;2000,Dataset!K29&gt;500),"good_client","bad_client")</f>
        <v>bad_client</v>
      </c>
      <c r="AT29" t="s">
        <v>482</v>
      </c>
      <c r="AU29" t="str">
        <f>IF(AND(Dataset!F29="Savings",Dataset!AT29="eligible"),"YES","NO")</f>
        <v>NO</v>
      </c>
      <c r="AW29" s="8"/>
      <c r="AX29" s="12" t="s">
        <v>487</v>
      </c>
      <c r="AY29" s="8" t="s">
        <v>489</v>
      </c>
      <c r="AZ29" s="8"/>
      <c r="BD29" t="str">
        <f t="shared" si="14"/>
        <v>yes</v>
      </c>
    </row>
    <row r="30" spans="1:56" x14ac:dyDescent="0.3">
      <c r="A30" s="2">
        <v>29</v>
      </c>
      <c r="B30" s="2" t="s">
        <v>77</v>
      </c>
      <c r="C30" s="2" t="s">
        <v>78</v>
      </c>
      <c r="D30" s="2">
        <v>41</v>
      </c>
      <c r="E30" s="2" t="s">
        <v>21</v>
      </c>
      <c r="F30" s="2" t="s">
        <v>15</v>
      </c>
      <c r="G30" s="2">
        <v>8000</v>
      </c>
      <c r="H30" s="2">
        <v>67000</v>
      </c>
      <c r="I30" s="2" t="s">
        <v>16</v>
      </c>
      <c r="J30" s="2">
        <v>0</v>
      </c>
      <c r="K30" s="2">
        <v>710</v>
      </c>
      <c r="L30" s="2" t="s">
        <v>17</v>
      </c>
      <c r="M30" s="2" t="s">
        <v>82</v>
      </c>
      <c r="N30" s="2" t="s">
        <v>25</v>
      </c>
      <c r="O30">
        <v>14</v>
      </c>
      <c r="R30" t="e">
        <f t="shared" si="6"/>
        <v>#DIV/0!</v>
      </c>
      <c r="S30" t="str">
        <f t="shared" si="7"/>
        <v>DIVISION ERROR</v>
      </c>
      <c r="U30" t="b">
        <v>0</v>
      </c>
      <c r="W30" t="str">
        <f t="shared" si="8"/>
        <v>ODD</v>
      </c>
      <c r="Y30">
        <f t="shared" si="9"/>
        <v>120.5</v>
      </c>
      <c r="AB30" t="str">
        <f t="shared" si="10"/>
        <v>Bad_user</v>
      </c>
      <c r="AE30" t="b">
        <f t="shared" si="11"/>
        <v>1</v>
      </c>
      <c r="AG30" t="b">
        <f t="shared" si="12"/>
        <v>0</v>
      </c>
      <c r="AI30" t="str">
        <f>IF(AND(Dataset!G30 &gt;5000,Dataset!H30&gt;7000),"ACTIVE_CONSUMER","INACTIVE_CONSUMER")</f>
        <v>ACTIVE_CONSUMER</v>
      </c>
      <c r="AN30" t="str">
        <f t="shared" si="13"/>
        <v>Not_eligible</v>
      </c>
      <c r="AQ30" t="str">
        <f>IF(AND(E30="M",F30="checking",Dataset!G30&gt;2000,Dataset!K30&gt;500),"good_client","bad_client")</f>
        <v>bad_client</v>
      </c>
      <c r="AT30" t="s">
        <v>482</v>
      </c>
      <c r="AU30" t="str">
        <f>IF(AND(Dataset!F30="Savings",Dataset!AT30="eligible"),"YES","NO")</f>
        <v>NO</v>
      </c>
      <c r="AW30" s="8"/>
      <c r="AX30" s="12" t="s">
        <v>486</v>
      </c>
      <c r="AY30" s="8" t="s">
        <v>490</v>
      </c>
      <c r="AZ30" s="8"/>
      <c r="BD30" t="str">
        <f t="shared" si="14"/>
        <v>yes</v>
      </c>
    </row>
    <row r="31" spans="1:56" x14ac:dyDescent="0.3">
      <c r="A31" s="2">
        <v>30</v>
      </c>
      <c r="B31" s="2" t="s">
        <v>79</v>
      </c>
      <c r="C31" s="2" t="s">
        <v>53</v>
      </c>
      <c r="D31" s="2">
        <v>30</v>
      </c>
      <c r="E31" s="2" t="s">
        <v>14</v>
      </c>
      <c r="F31" s="2" t="s">
        <v>22</v>
      </c>
      <c r="G31" s="2">
        <v>5000</v>
      </c>
      <c r="H31" s="2">
        <v>55000</v>
      </c>
      <c r="I31" s="2" t="s">
        <v>23</v>
      </c>
      <c r="J31" s="2">
        <v>7000</v>
      </c>
      <c r="K31" s="2">
        <v>690</v>
      </c>
      <c r="L31" s="2" t="s">
        <v>24</v>
      </c>
      <c r="M31" s="2" t="s">
        <v>82</v>
      </c>
      <c r="N31" s="2" t="s">
        <v>18</v>
      </c>
      <c r="O31">
        <v>5</v>
      </c>
      <c r="R31">
        <f t="shared" si="6"/>
        <v>7.8571428571428568</v>
      </c>
      <c r="S31">
        <f t="shared" si="7"/>
        <v>7.8571428571428568</v>
      </c>
      <c r="U31" t="b">
        <v>1</v>
      </c>
      <c r="W31" t="str">
        <f t="shared" si="8"/>
        <v>EVEN</v>
      </c>
      <c r="Y31">
        <f t="shared" si="9"/>
        <v>223.5</v>
      </c>
      <c r="AB31" t="str">
        <f t="shared" si="10"/>
        <v>Good_user</v>
      </c>
      <c r="AE31" t="b">
        <f t="shared" si="11"/>
        <v>0</v>
      </c>
      <c r="AG31" t="b">
        <f t="shared" si="12"/>
        <v>0</v>
      </c>
      <c r="AI31" t="str">
        <f>IF(AND(Dataset!G31 &gt;5000,Dataset!H31&gt;7000),"ACTIVE_CONSUMER","INACTIVE_CONSUMER")</f>
        <v>INACTIVE_CONSUMER</v>
      </c>
      <c r="AN31" t="str">
        <f t="shared" si="13"/>
        <v>Not_eligible</v>
      </c>
      <c r="AQ31" t="str">
        <f>IF(AND(E31="M",F31="checking",Dataset!G31&gt;2000,Dataset!K31&gt;500),"good_client","bad_client")</f>
        <v>bad_client</v>
      </c>
      <c r="AT31" t="s">
        <v>482</v>
      </c>
      <c r="AU31" t="str">
        <f>IF(AND(Dataset!F31="Savings",Dataset!AT31="eligible"),"YES","NO")</f>
        <v>NO</v>
      </c>
      <c r="AW31" s="8"/>
      <c r="AX31" s="12" t="s">
        <v>486</v>
      </c>
      <c r="AY31" s="8" t="s">
        <v>489</v>
      </c>
      <c r="AZ31" s="8"/>
      <c r="BD31" t="str">
        <f t="shared" si="14"/>
        <v>yes</v>
      </c>
    </row>
    <row r="32" spans="1:56" x14ac:dyDescent="0.3">
      <c r="A32" s="2">
        <v>31</v>
      </c>
      <c r="B32" s="2" t="s">
        <v>40</v>
      </c>
      <c r="C32" s="2" t="s">
        <v>73</v>
      </c>
      <c r="D32" s="2">
        <v>29</v>
      </c>
      <c r="E32" s="2" t="s">
        <v>21</v>
      </c>
      <c r="F32" s="2" t="s">
        <v>15</v>
      </c>
      <c r="G32" s="2">
        <v>3000</v>
      </c>
      <c r="H32" s="2">
        <v>48000</v>
      </c>
      <c r="I32" s="2" t="s">
        <v>16</v>
      </c>
      <c r="J32" s="2">
        <v>0</v>
      </c>
      <c r="K32" s="2">
        <v>670</v>
      </c>
      <c r="L32" s="2" t="s">
        <v>28</v>
      </c>
      <c r="M32" s="2" t="s">
        <v>80</v>
      </c>
      <c r="N32" s="2" t="s">
        <v>25</v>
      </c>
      <c r="O32">
        <v>10</v>
      </c>
      <c r="R32" t="e">
        <f t="shared" si="6"/>
        <v>#DIV/0!</v>
      </c>
      <c r="S32" t="str">
        <f t="shared" si="7"/>
        <v>DIVISION ERROR</v>
      </c>
      <c r="U32" t="b">
        <v>0</v>
      </c>
      <c r="W32" t="str">
        <f t="shared" si="8"/>
        <v>ODD</v>
      </c>
      <c r="Y32">
        <f t="shared" si="9"/>
        <v>334</v>
      </c>
      <c r="AB32" t="str">
        <f t="shared" si="10"/>
        <v>Bad_user</v>
      </c>
      <c r="AE32" t="b">
        <f t="shared" si="11"/>
        <v>1</v>
      </c>
      <c r="AG32" t="b">
        <f t="shared" si="12"/>
        <v>0</v>
      </c>
      <c r="AI32" t="str">
        <f>IF(AND(Dataset!G32 &gt;5000,Dataset!H32&gt;7000),"ACTIVE_CONSUMER","INACTIVE_CONSUMER")</f>
        <v>INACTIVE_CONSUMER</v>
      </c>
      <c r="AN32" t="str">
        <f t="shared" si="13"/>
        <v>Not_eligible</v>
      </c>
      <c r="AQ32" t="str">
        <f>IF(AND(E32="M",F32="checking",Dataset!G32&gt;2000,Dataset!K32&gt;500),"good_client","bad_client")</f>
        <v>bad_client</v>
      </c>
      <c r="AT32" t="s">
        <v>482</v>
      </c>
      <c r="AU32" t="str">
        <f>IF(AND(Dataset!F32="Savings",Dataset!AT32="eligible"),"YES","NO")</f>
        <v>NO</v>
      </c>
      <c r="AW32" s="8"/>
      <c r="AX32" s="12" t="s">
        <v>487</v>
      </c>
      <c r="AY32" s="8" t="s">
        <v>490</v>
      </c>
      <c r="AZ32" s="8"/>
      <c r="BD32" t="str">
        <f t="shared" si="14"/>
        <v>yes</v>
      </c>
    </row>
    <row r="33" spans="1:56" x14ac:dyDescent="0.3">
      <c r="A33" s="2">
        <v>32</v>
      </c>
      <c r="B33" s="2" t="s">
        <v>42</v>
      </c>
      <c r="C33" s="2" t="s">
        <v>41</v>
      </c>
      <c r="D33" s="2">
        <v>34</v>
      </c>
      <c r="E33" s="2" t="s">
        <v>14</v>
      </c>
      <c r="F33" s="2" t="s">
        <v>22</v>
      </c>
      <c r="G33" s="2">
        <v>11000</v>
      </c>
      <c r="H33" s="2">
        <v>62000</v>
      </c>
      <c r="I33" s="2" t="s">
        <v>23</v>
      </c>
      <c r="J33" s="2">
        <v>12000</v>
      </c>
      <c r="K33" s="2">
        <v>720</v>
      </c>
      <c r="L33" s="2" t="s">
        <v>31</v>
      </c>
      <c r="M33" s="2" t="s">
        <v>80</v>
      </c>
      <c r="N33" s="2" t="s">
        <v>18</v>
      </c>
      <c r="O33">
        <v>10</v>
      </c>
      <c r="R33">
        <f t="shared" si="6"/>
        <v>5.166666666666667</v>
      </c>
      <c r="S33">
        <f t="shared" si="7"/>
        <v>5.166666666666667</v>
      </c>
      <c r="U33" t="b">
        <v>1</v>
      </c>
      <c r="W33" t="str">
        <f t="shared" si="8"/>
        <v>EVEN</v>
      </c>
      <c r="Y33">
        <f t="shared" si="9"/>
        <v>60</v>
      </c>
      <c r="AB33" t="str">
        <f t="shared" si="10"/>
        <v>Good_user</v>
      </c>
      <c r="AE33" t="b">
        <f t="shared" si="11"/>
        <v>0</v>
      </c>
      <c r="AG33" t="b">
        <f t="shared" si="12"/>
        <v>0</v>
      </c>
      <c r="AI33" t="str">
        <f>IF(AND(Dataset!G33 &gt;5000,Dataset!H33&gt;7000),"ACTIVE_CONSUMER","INACTIVE_CONSUMER")</f>
        <v>ACTIVE_CONSUMER</v>
      </c>
      <c r="AN33" t="str">
        <f t="shared" si="13"/>
        <v>Not_eligible</v>
      </c>
      <c r="AQ33" t="str">
        <f>IF(AND(E33="M",F33="checking",Dataset!G33&gt;2000,Dataset!K33&gt;500),"good_client","bad_client")</f>
        <v>bad_client</v>
      </c>
      <c r="AT33" t="s">
        <v>482</v>
      </c>
      <c r="AU33" t="str">
        <f>IF(AND(Dataset!F33="Savings",Dataset!AT33="eligible"),"YES","NO")</f>
        <v>NO</v>
      </c>
      <c r="AW33" s="8"/>
      <c r="AX33" s="12" t="s">
        <v>487</v>
      </c>
      <c r="AY33" s="8" t="s">
        <v>489</v>
      </c>
      <c r="AZ33" s="8"/>
      <c r="BD33" t="str">
        <f t="shared" si="14"/>
        <v>yes</v>
      </c>
    </row>
    <row r="34" spans="1:56" x14ac:dyDescent="0.3">
      <c r="A34" s="2">
        <v>33</v>
      </c>
      <c r="B34" s="2" t="s">
        <v>48</v>
      </c>
      <c r="C34" s="2" t="s">
        <v>71</v>
      </c>
      <c r="D34" s="2">
        <v>37</v>
      </c>
      <c r="E34" s="2" t="s">
        <v>21</v>
      </c>
      <c r="F34" s="2" t="s">
        <v>15</v>
      </c>
      <c r="G34" s="2">
        <v>5500</v>
      </c>
      <c r="H34" s="2">
        <v>69000</v>
      </c>
      <c r="I34" s="2" t="s">
        <v>16</v>
      </c>
      <c r="J34" s="2">
        <v>0</v>
      </c>
      <c r="K34" s="2">
        <v>710</v>
      </c>
      <c r="L34" s="2" t="s">
        <v>17</v>
      </c>
      <c r="M34" s="2" t="s">
        <v>80</v>
      </c>
      <c r="N34" s="2" t="s">
        <v>25</v>
      </c>
      <c r="O34">
        <v>7</v>
      </c>
      <c r="R34" t="e">
        <f t="shared" si="6"/>
        <v>#DIV/0!</v>
      </c>
      <c r="S34" t="str">
        <f t="shared" si="7"/>
        <v>DIVISION ERROR</v>
      </c>
      <c r="U34" t="b">
        <v>0</v>
      </c>
      <c r="W34" t="str">
        <f t="shared" si="8"/>
        <v>ODD</v>
      </c>
      <c r="Y34">
        <f t="shared" si="9"/>
        <v>120.5</v>
      </c>
      <c r="AB34" t="str">
        <f t="shared" si="10"/>
        <v>Bad_user</v>
      </c>
      <c r="AE34" t="b">
        <f t="shared" si="11"/>
        <v>1</v>
      </c>
      <c r="AG34" t="b">
        <f t="shared" si="12"/>
        <v>0</v>
      </c>
      <c r="AI34" t="str">
        <f>IF(AND(Dataset!G34 &gt;5000,Dataset!H34&gt;7000),"ACTIVE_CONSUMER","INACTIVE_CONSUMER")</f>
        <v>ACTIVE_CONSUMER</v>
      </c>
      <c r="AN34" t="str">
        <f t="shared" si="13"/>
        <v>Not_eligible</v>
      </c>
      <c r="AQ34" t="str">
        <f>IF(AND(E34="M",F34="checking",Dataset!G34&gt;2000,Dataset!K34&gt;500),"good_client","bad_client")</f>
        <v>bad_client</v>
      </c>
      <c r="AT34" t="s">
        <v>482</v>
      </c>
      <c r="AU34" t="str">
        <f>IF(AND(Dataset!F34="Savings",Dataset!AT34="eligible"),"YES","NO")</f>
        <v>NO</v>
      </c>
      <c r="AW34" s="8"/>
      <c r="AX34" s="12" t="s">
        <v>487</v>
      </c>
      <c r="AY34" s="8" t="s">
        <v>490</v>
      </c>
      <c r="AZ34" s="8"/>
      <c r="BD34" t="str">
        <f t="shared" si="14"/>
        <v>yes</v>
      </c>
    </row>
    <row r="35" spans="1:56" x14ac:dyDescent="0.3">
      <c r="A35" s="2">
        <v>34</v>
      </c>
      <c r="B35" s="2" t="s">
        <v>54</v>
      </c>
      <c r="C35" s="2" t="s">
        <v>20</v>
      </c>
      <c r="D35" s="2">
        <v>45</v>
      </c>
      <c r="E35" s="2" t="s">
        <v>14</v>
      </c>
      <c r="F35" s="2" t="s">
        <v>15</v>
      </c>
      <c r="G35" s="2">
        <v>7000</v>
      </c>
      <c r="H35" s="2">
        <v>74000</v>
      </c>
      <c r="I35" s="2" t="s">
        <v>23</v>
      </c>
      <c r="J35" s="2">
        <v>15000</v>
      </c>
      <c r="K35" s="2">
        <v>680</v>
      </c>
      <c r="L35" s="2" t="s">
        <v>24</v>
      </c>
      <c r="M35" s="2" t="s">
        <v>80</v>
      </c>
      <c r="N35" s="2" t="s">
        <v>18</v>
      </c>
      <c r="O35">
        <v>5</v>
      </c>
      <c r="R35">
        <f t="shared" si="6"/>
        <v>4.9333333333333336</v>
      </c>
      <c r="S35">
        <f t="shared" si="7"/>
        <v>4.9333333333333336</v>
      </c>
      <c r="U35" t="b">
        <v>1</v>
      </c>
      <c r="W35" t="str">
        <f t="shared" si="8"/>
        <v>ODD</v>
      </c>
      <c r="Y35">
        <f t="shared" si="9"/>
        <v>286</v>
      </c>
      <c r="AB35" t="str">
        <f t="shared" si="10"/>
        <v>Good_user</v>
      </c>
      <c r="AE35" t="b">
        <f t="shared" si="11"/>
        <v>0</v>
      </c>
      <c r="AG35" t="b">
        <f t="shared" si="12"/>
        <v>0</v>
      </c>
      <c r="AI35" t="str">
        <f>IF(AND(Dataset!G35 &gt;5000,Dataset!H35&gt;7000),"ACTIVE_CONSUMER","INACTIVE_CONSUMER")</f>
        <v>ACTIVE_CONSUMER</v>
      </c>
      <c r="AN35" t="str">
        <f t="shared" si="13"/>
        <v>Not_eligible</v>
      </c>
      <c r="AQ35" t="str">
        <f>IF(AND(E35="M",F35="checking",Dataset!G35&gt;2000,Dataset!K35&gt;500),"good_client","bad_client")</f>
        <v>good_client</v>
      </c>
      <c r="AT35" t="s">
        <v>482</v>
      </c>
      <c r="AU35" t="str">
        <f>IF(AND(Dataset!F35="Savings",Dataset!AT35="eligible"),"YES","NO")</f>
        <v>NO</v>
      </c>
      <c r="AW35" s="8"/>
      <c r="AX35" s="12" t="s">
        <v>487</v>
      </c>
      <c r="AY35" s="8" t="s">
        <v>489</v>
      </c>
      <c r="AZ35" s="8"/>
      <c r="BD35" t="str">
        <f t="shared" si="14"/>
        <v>yes</v>
      </c>
    </row>
    <row r="36" spans="1:56" x14ac:dyDescent="0.3">
      <c r="A36" s="2">
        <v>35</v>
      </c>
      <c r="B36" s="2" t="s">
        <v>64</v>
      </c>
      <c r="C36" s="2" t="s">
        <v>27</v>
      </c>
      <c r="D36" s="2">
        <v>40</v>
      </c>
      <c r="E36" s="2" t="s">
        <v>21</v>
      </c>
      <c r="F36" s="2" t="s">
        <v>15</v>
      </c>
      <c r="G36" s="2">
        <v>2000</v>
      </c>
      <c r="H36" s="2">
        <v>50000</v>
      </c>
      <c r="I36" s="2" t="s">
        <v>16</v>
      </c>
      <c r="J36" s="2">
        <v>0</v>
      </c>
      <c r="K36" s="2">
        <v>720</v>
      </c>
      <c r="L36" s="2" t="s">
        <v>28</v>
      </c>
      <c r="M36" s="2" t="s">
        <v>80</v>
      </c>
      <c r="N36" s="2" t="s">
        <v>25</v>
      </c>
      <c r="O36">
        <v>15</v>
      </c>
      <c r="R36" t="e">
        <f t="shared" si="6"/>
        <v>#DIV/0!</v>
      </c>
      <c r="S36" t="str">
        <f t="shared" si="7"/>
        <v>DIVISION ERROR</v>
      </c>
      <c r="U36" t="b">
        <v>0</v>
      </c>
      <c r="W36" t="str">
        <f t="shared" si="8"/>
        <v>EVEN</v>
      </c>
      <c r="Y36">
        <f t="shared" si="9"/>
        <v>60</v>
      </c>
      <c r="AB36" t="str">
        <f t="shared" si="10"/>
        <v>Bad_user</v>
      </c>
      <c r="AE36" t="b">
        <f t="shared" si="11"/>
        <v>1</v>
      </c>
      <c r="AG36" t="b">
        <f t="shared" si="12"/>
        <v>0</v>
      </c>
      <c r="AI36" t="str">
        <f>IF(AND(Dataset!G36 &gt;5000,Dataset!H36&gt;7000),"ACTIVE_CONSUMER","INACTIVE_CONSUMER")</f>
        <v>INACTIVE_CONSUMER</v>
      </c>
      <c r="AN36" t="str">
        <f t="shared" si="13"/>
        <v>Not_eligible</v>
      </c>
      <c r="AQ36" t="str">
        <f>IF(AND(E36="M",F36="checking",Dataset!G36&gt;2000,Dataset!K36&gt;500),"good_client","bad_client")</f>
        <v>bad_client</v>
      </c>
      <c r="AT36" t="s">
        <v>482</v>
      </c>
      <c r="AU36" t="str">
        <f>IF(AND(Dataset!F36="Savings",Dataset!AT36="eligible"),"YES","NO")</f>
        <v>NO</v>
      </c>
      <c r="AW36" s="8"/>
      <c r="AX36" s="12" t="s">
        <v>487</v>
      </c>
      <c r="AY36" s="8" t="s">
        <v>490</v>
      </c>
      <c r="AZ36" s="8"/>
      <c r="BD36" t="str">
        <f t="shared" si="14"/>
        <v>yes</v>
      </c>
    </row>
    <row r="37" spans="1:56" x14ac:dyDescent="0.3">
      <c r="A37" s="2">
        <v>36</v>
      </c>
      <c r="B37" s="2" t="s">
        <v>34</v>
      </c>
      <c r="C37" s="2" t="s">
        <v>45</v>
      </c>
      <c r="D37" s="2">
        <v>27</v>
      </c>
      <c r="E37" s="2" t="s">
        <v>14</v>
      </c>
      <c r="F37" s="2" t="s">
        <v>22</v>
      </c>
      <c r="G37" s="2">
        <v>6000</v>
      </c>
      <c r="H37" s="2">
        <v>55000</v>
      </c>
      <c r="I37" s="2" t="s">
        <v>23</v>
      </c>
      <c r="J37" s="2">
        <v>10000</v>
      </c>
      <c r="K37" s="2">
        <v>690</v>
      </c>
      <c r="L37" s="2" t="s">
        <v>31</v>
      </c>
      <c r="M37" s="2" t="s">
        <v>80</v>
      </c>
      <c r="N37" s="2" t="s">
        <v>18</v>
      </c>
      <c r="O37">
        <v>4</v>
      </c>
      <c r="R37">
        <f t="shared" si="6"/>
        <v>5.5</v>
      </c>
      <c r="S37">
        <f t="shared" si="7"/>
        <v>5.5</v>
      </c>
      <c r="U37" t="b">
        <v>1</v>
      </c>
      <c r="W37" t="str">
        <f t="shared" si="8"/>
        <v>ODD</v>
      </c>
      <c r="Y37">
        <f t="shared" si="9"/>
        <v>223.5</v>
      </c>
      <c r="AB37" t="str">
        <f t="shared" si="10"/>
        <v>Good_user</v>
      </c>
      <c r="AE37" t="b">
        <f t="shared" si="11"/>
        <v>0</v>
      </c>
      <c r="AG37" t="b">
        <f t="shared" si="12"/>
        <v>0</v>
      </c>
      <c r="AI37" t="str">
        <f>IF(AND(Dataset!G37 &gt;5000,Dataset!H37&gt;7000),"ACTIVE_CONSUMER","INACTIVE_CONSUMER")</f>
        <v>ACTIVE_CONSUMER</v>
      </c>
      <c r="AN37" t="str">
        <f t="shared" si="13"/>
        <v>Not_eligible</v>
      </c>
      <c r="AQ37" t="str">
        <f>IF(AND(E37="M",F37="checking",Dataset!G37&gt;2000,Dataset!K37&gt;500),"good_client","bad_client")</f>
        <v>bad_client</v>
      </c>
      <c r="AT37" t="s">
        <v>482</v>
      </c>
      <c r="AU37" t="str">
        <f>IF(AND(Dataset!F37="Savings",Dataset!AT37="eligible"),"YES","NO")</f>
        <v>NO</v>
      </c>
      <c r="AW37" s="8"/>
      <c r="AX37" s="12" t="s">
        <v>487</v>
      </c>
      <c r="AY37" s="8" t="s">
        <v>489</v>
      </c>
      <c r="AZ37" s="8"/>
      <c r="BD37" t="str">
        <f t="shared" si="14"/>
        <v>yes</v>
      </c>
    </row>
    <row r="38" spans="1:56" x14ac:dyDescent="0.3">
      <c r="A38" s="2">
        <v>37</v>
      </c>
      <c r="B38" s="2" t="s">
        <v>44</v>
      </c>
      <c r="C38" s="2" t="s">
        <v>78</v>
      </c>
      <c r="D38" s="2">
        <v>31</v>
      </c>
      <c r="E38" s="2" t="s">
        <v>21</v>
      </c>
      <c r="F38" s="2" t="s">
        <v>15</v>
      </c>
      <c r="G38" s="2">
        <v>3500</v>
      </c>
      <c r="H38" s="2">
        <v>62000</v>
      </c>
      <c r="I38" s="2" t="s">
        <v>16</v>
      </c>
      <c r="J38" s="2">
        <v>0</v>
      </c>
      <c r="K38" s="2">
        <v>680</v>
      </c>
      <c r="L38" s="2" t="s">
        <v>17</v>
      </c>
      <c r="M38" s="2" t="s">
        <v>82</v>
      </c>
      <c r="N38" s="2" t="s">
        <v>25</v>
      </c>
      <c r="O38">
        <v>15</v>
      </c>
      <c r="R38" t="e">
        <f t="shared" si="6"/>
        <v>#DIV/0!</v>
      </c>
      <c r="S38" t="str">
        <f t="shared" si="7"/>
        <v>DIVISION ERROR</v>
      </c>
      <c r="U38" t="b">
        <v>0</v>
      </c>
      <c r="W38" t="str">
        <f t="shared" si="8"/>
        <v>ODD</v>
      </c>
      <c r="Y38">
        <f t="shared" si="9"/>
        <v>286</v>
      </c>
      <c r="AB38" t="str">
        <f t="shared" si="10"/>
        <v>Bad_user</v>
      </c>
      <c r="AE38" t="b">
        <f t="shared" si="11"/>
        <v>1</v>
      </c>
      <c r="AG38" t="b">
        <f t="shared" si="12"/>
        <v>0</v>
      </c>
      <c r="AI38" t="str">
        <f>IF(AND(Dataset!G38 &gt;5000,Dataset!H38&gt;7000),"ACTIVE_CONSUMER","INACTIVE_CONSUMER")</f>
        <v>INACTIVE_CONSUMER</v>
      </c>
      <c r="AN38" t="str">
        <f t="shared" si="13"/>
        <v>Not_eligible</v>
      </c>
      <c r="AQ38" t="str">
        <f>IF(AND(E38="M",F38="checking",Dataset!G38&gt;2000,Dataset!K38&gt;500),"good_client","bad_client")</f>
        <v>bad_client</v>
      </c>
      <c r="AT38" t="s">
        <v>482</v>
      </c>
      <c r="AU38" t="str">
        <f>IF(AND(Dataset!F38="Savings",Dataset!AT38="eligible"),"YES","NO")</f>
        <v>NO</v>
      </c>
      <c r="AW38" s="8"/>
      <c r="AX38" s="12" t="s">
        <v>486</v>
      </c>
      <c r="AY38" s="8" t="s">
        <v>490</v>
      </c>
      <c r="AZ38" s="8"/>
      <c r="BD38" t="str">
        <f t="shared" si="14"/>
        <v>yes</v>
      </c>
    </row>
    <row r="39" spans="1:56" x14ac:dyDescent="0.3">
      <c r="A39" s="2">
        <v>38</v>
      </c>
      <c r="B39" s="2" t="s">
        <v>50</v>
      </c>
      <c r="C39" s="2" t="s">
        <v>47</v>
      </c>
      <c r="D39" s="2">
        <v>53</v>
      </c>
      <c r="E39" s="2" t="s">
        <v>14</v>
      </c>
      <c r="F39" s="2" t="s">
        <v>22</v>
      </c>
      <c r="G39" s="2">
        <v>4000</v>
      </c>
      <c r="H39" s="2">
        <v>48000</v>
      </c>
      <c r="I39" s="2" t="s">
        <v>23</v>
      </c>
      <c r="J39" s="2">
        <v>5000</v>
      </c>
      <c r="K39" s="2">
        <v>710</v>
      </c>
      <c r="L39" s="2" t="s">
        <v>24</v>
      </c>
      <c r="M39" s="2" t="s">
        <v>82</v>
      </c>
      <c r="N39" s="2" t="s">
        <v>18</v>
      </c>
      <c r="O39" t="s">
        <v>302</v>
      </c>
      <c r="R39">
        <f t="shared" si="6"/>
        <v>9.6</v>
      </c>
      <c r="S39">
        <f t="shared" si="7"/>
        <v>9.6</v>
      </c>
      <c r="U39" t="b">
        <v>1</v>
      </c>
      <c r="W39" t="str">
        <f t="shared" si="8"/>
        <v>ODD</v>
      </c>
      <c r="Y39">
        <f t="shared" si="9"/>
        <v>120.5</v>
      </c>
      <c r="AB39" t="str">
        <f t="shared" si="10"/>
        <v>Good_user</v>
      </c>
      <c r="AE39" t="b">
        <f t="shared" si="11"/>
        <v>0</v>
      </c>
      <c r="AG39" t="b">
        <f t="shared" si="12"/>
        <v>1</v>
      </c>
      <c r="AI39" t="str">
        <f>IF(AND(Dataset!G39 &gt;5000,Dataset!H39&gt;7000),"ACTIVE_CONSUMER","INACTIVE_CONSUMER")</f>
        <v>INACTIVE_CONSUMER</v>
      </c>
      <c r="AN39" t="str">
        <f t="shared" si="13"/>
        <v>Not_eligible</v>
      </c>
      <c r="AQ39" t="str">
        <f>IF(AND(E39="M",F39="checking",Dataset!G39&gt;2000,Dataset!K39&gt;500),"good_client","bad_client")</f>
        <v>bad_client</v>
      </c>
      <c r="AT39" t="s">
        <v>482</v>
      </c>
      <c r="AU39" t="str">
        <f>IF(AND(Dataset!F39="Savings",Dataset!AT39="eligible"),"YES","NO")</f>
        <v>NO</v>
      </c>
      <c r="AW39" s="8"/>
      <c r="AX39" s="12" t="s">
        <v>486</v>
      </c>
      <c r="AY39" s="8" t="s">
        <v>489</v>
      </c>
      <c r="AZ39" s="8"/>
      <c r="BD39" t="str">
        <f t="shared" si="14"/>
        <v>yes</v>
      </c>
    </row>
    <row r="40" spans="1:56" x14ac:dyDescent="0.3">
      <c r="A40" s="2">
        <v>39</v>
      </c>
      <c r="B40" s="2" t="s">
        <v>60</v>
      </c>
      <c r="C40" s="2" t="s">
        <v>67</v>
      </c>
      <c r="D40" s="2">
        <v>28</v>
      </c>
      <c r="E40" s="2" t="s">
        <v>21</v>
      </c>
      <c r="F40" s="2" t="s">
        <v>15</v>
      </c>
      <c r="G40" s="2">
        <v>5500</v>
      </c>
      <c r="H40" s="2">
        <v>59000</v>
      </c>
      <c r="I40" s="2" t="s">
        <v>16</v>
      </c>
      <c r="J40" s="2">
        <v>0</v>
      </c>
      <c r="K40" s="2">
        <v>700</v>
      </c>
      <c r="L40" s="2" t="s">
        <v>28</v>
      </c>
      <c r="M40" s="2" t="s">
        <v>82</v>
      </c>
      <c r="N40" s="2" t="s">
        <v>25</v>
      </c>
      <c r="O40">
        <v>14</v>
      </c>
      <c r="R40" t="e">
        <f t="shared" si="6"/>
        <v>#DIV/0!</v>
      </c>
      <c r="S40" t="str">
        <f t="shared" si="7"/>
        <v>DIVISION ERROR</v>
      </c>
      <c r="U40" t="b">
        <v>0</v>
      </c>
      <c r="W40" t="str">
        <f t="shared" si="8"/>
        <v>EVEN</v>
      </c>
      <c r="Y40">
        <f t="shared" si="9"/>
        <v>170</v>
      </c>
      <c r="AB40" t="str">
        <f t="shared" si="10"/>
        <v>Bad_user</v>
      </c>
      <c r="AE40" t="b">
        <f t="shared" si="11"/>
        <v>1</v>
      </c>
      <c r="AG40" t="b">
        <f t="shared" si="12"/>
        <v>0</v>
      </c>
      <c r="AI40" t="str">
        <f>IF(AND(Dataset!G40 &gt;5000,Dataset!H40&gt;7000),"ACTIVE_CONSUMER","INACTIVE_CONSUMER")</f>
        <v>ACTIVE_CONSUMER</v>
      </c>
      <c r="AN40" t="str">
        <f t="shared" si="13"/>
        <v>Not_eligible</v>
      </c>
      <c r="AQ40" t="str">
        <f>IF(AND(E40="M",F40="checking",Dataset!G40&gt;2000,Dataset!K40&gt;500),"good_client","bad_client")</f>
        <v>bad_client</v>
      </c>
      <c r="AT40" t="s">
        <v>482</v>
      </c>
      <c r="AU40" t="str">
        <f>IF(AND(Dataset!F40="Savings",Dataset!AT40="eligible"),"YES","NO")</f>
        <v>NO</v>
      </c>
      <c r="AW40" s="8"/>
      <c r="AX40" s="12" t="s">
        <v>486</v>
      </c>
      <c r="AY40" s="8" t="s">
        <v>490</v>
      </c>
      <c r="AZ40" s="8"/>
      <c r="BD40" t="str">
        <f t="shared" si="14"/>
        <v>yes</v>
      </c>
    </row>
    <row r="41" spans="1:56" x14ac:dyDescent="0.3">
      <c r="A41" s="2">
        <v>40</v>
      </c>
      <c r="B41" s="2" t="s">
        <v>62</v>
      </c>
      <c r="C41" s="2" t="s">
        <v>33</v>
      </c>
      <c r="D41" s="2">
        <v>46</v>
      </c>
      <c r="E41" s="2" t="s">
        <v>14</v>
      </c>
      <c r="F41" s="2" t="s">
        <v>22</v>
      </c>
      <c r="G41" s="2">
        <v>9000</v>
      </c>
      <c r="H41" s="2">
        <v>73000</v>
      </c>
      <c r="I41" s="2" t="s">
        <v>23</v>
      </c>
      <c r="J41" s="2">
        <v>13000</v>
      </c>
      <c r="K41" s="2">
        <v>720</v>
      </c>
      <c r="L41" s="2" t="s">
        <v>31</v>
      </c>
      <c r="M41" s="2" t="s">
        <v>82</v>
      </c>
      <c r="N41" s="2" t="s">
        <v>18</v>
      </c>
      <c r="O41">
        <v>8</v>
      </c>
      <c r="R41">
        <f t="shared" si="6"/>
        <v>5.615384615384615</v>
      </c>
      <c r="S41">
        <f t="shared" si="7"/>
        <v>5.615384615384615</v>
      </c>
      <c r="U41" t="b">
        <v>1</v>
      </c>
      <c r="W41" t="str">
        <f t="shared" si="8"/>
        <v>EVEN</v>
      </c>
      <c r="Y41">
        <f t="shared" si="9"/>
        <v>60</v>
      </c>
      <c r="AB41" t="str">
        <f t="shared" si="10"/>
        <v>Good_user</v>
      </c>
      <c r="AE41" t="b">
        <f t="shared" si="11"/>
        <v>0</v>
      </c>
      <c r="AG41" t="b">
        <f t="shared" si="12"/>
        <v>0</v>
      </c>
      <c r="AI41" t="str">
        <f>IF(AND(Dataset!G41 &gt;5000,Dataset!H41&gt;7000),"ACTIVE_CONSUMER","INACTIVE_CONSUMER")</f>
        <v>ACTIVE_CONSUMER</v>
      </c>
      <c r="AN41" t="str">
        <f t="shared" si="13"/>
        <v>Not_eligible</v>
      </c>
      <c r="AQ41" t="str">
        <f>IF(AND(E41="M",F41="checking",Dataset!G41&gt;2000,Dataset!K41&gt;500),"good_client","bad_client")</f>
        <v>bad_client</v>
      </c>
      <c r="AT41" t="s">
        <v>482</v>
      </c>
      <c r="AU41" t="str">
        <f>IF(AND(Dataset!F41="Savings",Dataset!AT41="eligible"),"YES","NO")</f>
        <v>NO</v>
      </c>
      <c r="AW41" s="8"/>
      <c r="AX41" s="12" t="s">
        <v>486</v>
      </c>
      <c r="AY41" s="8" t="s">
        <v>489</v>
      </c>
      <c r="AZ41" s="8"/>
      <c r="BD41" t="str">
        <f t="shared" si="14"/>
        <v>yes</v>
      </c>
    </row>
    <row r="42" spans="1:56" x14ac:dyDescent="0.3">
      <c r="A42" s="2">
        <v>41</v>
      </c>
      <c r="B42" s="2" t="s">
        <v>68</v>
      </c>
      <c r="C42" s="2" t="s">
        <v>53</v>
      </c>
      <c r="D42" s="2">
        <v>39</v>
      </c>
      <c r="E42" s="2" t="s">
        <v>21</v>
      </c>
      <c r="F42" s="2" t="s">
        <v>15</v>
      </c>
      <c r="G42" s="2">
        <v>4000</v>
      </c>
      <c r="H42" s="2">
        <v>65000</v>
      </c>
      <c r="I42" s="2" t="s">
        <v>16</v>
      </c>
      <c r="J42" s="2">
        <v>0</v>
      </c>
      <c r="K42" s="2">
        <v>680</v>
      </c>
      <c r="L42" s="2" t="s">
        <v>17</v>
      </c>
      <c r="M42" s="2" t="s">
        <v>82</v>
      </c>
      <c r="N42" s="2" t="s">
        <v>25</v>
      </c>
      <c r="O42">
        <v>15</v>
      </c>
      <c r="R42" t="e">
        <f t="shared" si="6"/>
        <v>#DIV/0!</v>
      </c>
      <c r="S42" t="str">
        <f t="shared" si="7"/>
        <v>DIVISION ERROR</v>
      </c>
      <c r="U42" t="b">
        <v>0</v>
      </c>
      <c r="W42" t="str">
        <f t="shared" si="8"/>
        <v>ODD</v>
      </c>
      <c r="Y42">
        <f t="shared" si="9"/>
        <v>286</v>
      </c>
      <c r="AB42" t="str">
        <f t="shared" si="10"/>
        <v>Bad_user</v>
      </c>
      <c r="AE42" t="b">
        <f t="shared" si="11"/>
        <v>1</v>
      </c>
      <c r="AG42" t="b">
        <f t="shared" si="12"/>
        <v>0</v>
      </c>
      <c r="AI42" t="str">
        <f>IF(AND(Dataset!G42 &gt;5000,Dataset!H42&gt;7000),"ACTIVE_CONSUMER","INACTIVE_CONSUMER")</f>
        <v>INACTIVE_CONSUMER</v>
      </c>
      <c r="AN42" t="str">
        <f t="shared" si="13"/>
        <v>Not_eligible</v>
      </c>
      <c r="AQ42" t="str">
        <f>IF(AND(E42="M",F42="checking",Dataset!G42&gt;2000,Dataset!K42&gt;500),"good_client","bad_client")</f>
        <v>bad_client</v>
      </c>
      <c r="AT42" t="s">
        <v>482</v>
      </c>
      <c r="AU42" t="str">
        <f>IF(AND(Dataset!F42="Savings",Dataset!AT42="eligible"),"YES","NO")</f>
        <v>NO</v>
      </c>
      <c r="AW42" s="8"/>
      <c r="AX42" s="12" t="s">
        <v>486</v>
      </c>
      <c r="AY42" s="8" t="s">
        <v>490</v>
      </c>
      <c r="AZ42" s="8"/>
      <c r="BD42" t="str">
        <f t="shared" si="14"/>
        <v>yes</v>
      </c>
    </row>
    <row r="43" spans="1:56" x14ac:dyDescent="0.3">
      <c r="A43" s="2">
        <v>42</v>
      </c>
      <c r="B43" s="2" t="s">
        <v>58</v>
      </c>
      <c r="C43" s="2" t="s">
        <v>35</v>
      </c>
      <c r="D43" s="2">
        <v>27</v>
      </c>
      <c r="E43" s="2" t="s">
        <v>14</v>
      </c>
      <c r="F43" s="2" t="s">
        <v>22</v>
      </c>
      <c r="G43" s="2">
        <v>8000</v>
      </c>
      <c r="H43" s="2">
        <v>60000</v>
      </c>
      <c r="I43" s="2" t="s">
        <v>23</v>
      </c>
      <c r="J43" s="2">
        <v>8000</v>
      </c>
      <c r="K43" s="2">
        <v>710</v>
      </c>
      <c r="L43" s="2" t="s">
        <v>24</v>
      </c>
      <c r="M43" s="2" t="s">
        <v>82</v>
      </c>
      <c r="N43" s="2" t="s">
        <v>18</v>
      </c>
      <c r="O43">
        <v>9</v>
      </c>
      <c r="R43">
        <f t="shared" si="6"/>
        <v>7.5</v>
      </c>
      <c r="S43">
        <f t="shared" si="7"/>
        <v>7.5</v>
      </c>
      <c r="U43" t="b">
        <v>1</v>
      </c>
      <c r="W43" t="str">
        <f t="shared" si="8"/>
        <v>ODD</v>
      </c>
      <c r="Y43">
        <f t="shared" si="9"/>
        <v>120.5</v>
      </c>
      <c r="AB43" t="str">
        <f t="shared" si="10"/>
        <v>Good_user</v>
      </c>
      <c r="AE43" t="b">
        <f t="shared" si="11"/>
        <v>0</v>
      </c>
      <c r="AG43" t="b">
        <f t="shared" si="12"/>
        <v>0</v>
      </c>
      <c r="AI43" t="str">
        <f>IF(AND(Dataset!G43 &gt;5000,Dataset!H43&gt;7000),"ACTIVE_CONSUMER","INACTIVE_CONSUMER")</f>
        <v>ACTIVE_CONSUMER</v>
      </c>
      <c r="AN43" t="str">
        <f t="shared" si="13"/>
        <v>Not_eligible</v>
      </c>
      <c r="AQ43" t="str">
        <f>IF(AND(E43="M",F43="checking",Dataset!G43&gt;2000,Dataset!K43&gt;500),"good_client","bad_client")</f>
        <v>bad_client</v>
      </c>
      <c r="AT43" t="s">
        <v>482</v>
      </c>
      <c r="AU43" t="str">
        <f>IF(AND(Dataset!F43="Savings",Dataset!AT43="eligible"),"YES","NO")</f>
        <v>NO</v>
      </c>
      <c r="AW43" s="8"/>
      <c r="AX43" s="12" t="s">
        <v>486</v>
      </c>
      <c r="AY43" s="8" t="s">
        <v>489</v>
      </c>
      <c r="AZ43" s="8"/>
      <c r="BD43" t="str">
        <f t="shared" si="14"/>
        <v>yes</v>
      </c>
    </row>
    <row r="44" spans="1:56" x14ac:dyDescent="0.3">
      <c r="A44" s="2">
        <v>43</v>
      </c>
      <c r="B44" s="2" t="s">
        <v>72</v>
      </c>
      <c r="C44" s="2" t="s">
        <v>73</v>
      </c>
      <c r="D44" s="2">
        <v>34</v>
      </c>
      <c r="E44" s="2" t="s">
        <v>21</v>
      </c>
      <c r="F44" s="2" t="s">
        <v>15</v>
      </c>
      <c r="G44" s="2">
        <v>2500</v>
      </c>
      <c r="H44" s="2">
        <v>53000</v>
      </c>
      <c r="I44" s="2" t="s">
        <v>16</v>
      </c>
      <c r="J44" s="2">
        <v>0</v>
      </c>
      <c r="K44" s="2">
        <v>690</v>
      </c>
      <c r="L44" s="2" t="s">
        <v>28</v>
      </c>
      <c r="M44" s="2" t="s">
        <v>81</v>
      </c>
      <c r="N44" s="2" t="s">
        <v>25</v>
      </c>
      <c r="O44">
        <v>4</v>
      </c>
      <c r="R44" t="e">
        <f t="shared" si="6"/>
        <v>#DIV/0!</v>
      </c>
      <c r="S44" t="str">
        <f t="shared" si="7"/>
        <v>DIVISION ERROR</v>
      </c>
      <c r="U44" t="b">
        <v>0</v>
      </c>
      <c r="W44" t="str">
        <f t="shared" si="8"/>
        <v>EVEN</v>
      </c>
      <c r="Y44">
        <f t="shared" si="9"/>
        <v>223.5</v>
      </c>
      <c r="AB44" t="str">
        <f t="shared" si="10"/>
        <v>Bad_user</v>
      </c>
      <c r="AE44" t="b">
        <f t="shared" si="11"/>
        <v>1</v>
      </c>
      <c r="AG44" t="b">
        <f t="shared" si="12"/>
        <v>0</v>
      </c>
      <c r="AI44" t="str">
        <f>IF(AND(Dataset!G44 &gt;5000,Dataset!H44&gt;7000),"ACTIVE_CONSUMER","INACTIVE_CONSUMER")</f>
        <v>INACTIVE_CONSUMER</v>
      </c>
      <c r="AN44" t="str">
        <f t="shared" si="13"/>
        <v>Not_eligible</v>
      </c>
      <c r="AQ44" t="str">
        <f>IF(AND(E44="M",F44="checking",Dataset!G44&gt;2000,Dataset!K44&gt;500),"good_client","bad_client")</f>
        <v>bad_client</v>
      </c>
      <c r="AT44" t="s">
        <v>482</v>
      </c>
      <c r="AU44" t="str">
        <f>IF(AND(Dataset!F44="Savings",Dataset!AT44="eligible"),"YES","NO")</f>
        <v>NO</v>
      </c>
      <c r="AW44" s="8"/>
      <c r="AX44" s="12" t="s">
        <v>487</v>
      </c>
      <c r="AY44" s="8" t="s">
        <v>490</v>
      </c>
      <c r="AZ44" s="8"/>
      <c r="BD44" t="str">
        <f t="shared" si="14"/>
        <v>yes</v>
      </c>
    </row>
    <row r="45" spans="1:56" x14ac:dyDescent="0.3">
      <c r="A45" s="2">
        <v>44</v>
      </c>
      <c r="B45" s="2" t="s">
        <v>38</v>
      </c>
      <c r="C45" s="2" t="s">
        <v>76</v>
      </c>
      <c r="D45" s="2">
        <v>32</v>
      </c>
      <c r="E45" s="2" t="s">
        <v>14</v>
      </c>
      <c r="F45" s="2" t="s">
        <v>22</v>
      </c>
      <c r="G45" s="2">
        <v>12000</v>
      </c>
      <c r="H45" s="2">
        <v>68000</v>
      </c>
      <c r="I45" s="2" t="s">
        <v>23</v>
      </c>
      <c r="J45" s="2">
        <v>15000</v>
      </c>
      <c r="K45" s="2">
        <v>720</v>
      </c>
      <c r="L45" s="2" t="s">
        <v>31</v>
      </c>
      <c r="M45" s="2" t="s">
        <v>81</v>
      </c>
      <c r="N45" s="2" t="s">
        <v>18</v>
      </c>
      <c r="O45" t="s">
        <v>302</v>
      </c>
      <c r="R45">
        <f t="shared" si="6"/>
        <v>4.5333333333333332</v>
      </c>
      <c r="S45">
        <f t="shared" si="7"/>
        <v>4.5333333333333332</v>
      </c>
      <c r="U45" t="b">
        <v>1</v>
      </c>
      <c r="W45" t="str">
        <f t="shared" si="8"/>
        <v>EVEN</v>
      </c>
      <c r="Y45">
        <f t="shared" si="9"/>
        <v>60</v>
      </c>
      <c r="AB45" t="str">
        <f t="shared" si="10"/>
        <v>Good_user</v>
      </c>
      <c r="AE45" t="b">
        <f t="shared" si="11"/>
        <v>0</v>
      </c>
      <c r="AG45" t="b">
        <f t="shared" si="12"/>
        <v>1</v>
      </c>
      <c r="AI45" t="str">
        <f>IF(AND(Dataset!G45 &gt;5000,Dataset!H45&gt;7000),"ACTIVE_CONSUMER","INACTIVE_CONSUMER")</f>
        <v>ACTIVE_CONSUMER</v>
      </c>
      <c r="AN45" t="str">
        <f t="shared" si="13"/>
        <v>Not_eligible</v>
      </c>
      <c r="AQ45" t="str">
        <f>IF(AND(E45="M",F45="checking",Dataset!G45&gt;2000,Dataset!K45&gt;500),"good_client","bad_client")</f>
        <v>bad_client</v>
      </c>
      <c r="AT45" t="s">
        <v>482</v>
      </c>
      <c r="AU45" t="str">
        <f>IF(AND(Dataset!F45="Savings",Dataset!AT45="eligible"),"YES","NO")</f>
        <v>NO</v>
      </c>
      <c r="AW45" s="8"/>
      <c r="AX45" s="12" t="s">
        <v>487</v>
      </c>
      <c r="AY45" s="8" t="s">
        <v>489</v>
      </c>
      <c r="AZ45" s="8"/>
      <c r="BD45" t="str">
        <f t="shared" si="14"/>
        <v>yes</v>
      </c>
    </row>
    <row r="46" spans="1:56" x14ac:dyDescent="0.3">
      <c r="A46" s="2">
        <v>45</v>
      </c>
      <c r="B46" s="2" t="s">
        <v>77</v>
      </c>
      <c r="C46" s="2" t="s">
        <v>51</v>
      </c>
      <c r="D46" s="2">
        <v>49</v>
      </c>
      <c r="E46" s="2" t="s">
        <v>21</v>
      </c>
      <c r="F46" s="2" t="s">
        <v>15</v>
      </c>
      <c r="G46" s="2">
        <v>7000</v>
      </c>
      <c r="H46" s="2">
        <v>71000</v>
      </c>
      <c r="I46" s="2" t="s">
        <v>16</v>
      </c>
      <c r="J46" s="2">
        <v>0</v>
      </c>
      <c r="K46" s="2">
        <v>680</v>
      </c>
      <c r="L46" s="2" t="s">
        <v>17</v>
      </c>
      <c r="M46" s="2" t="s">
        <v>81</v>
      </c>
      <c r="N46" s="2" t="s">
        <v>25</v>
      </c>
      <c r="O46">
        <v>5</v>
      </c>
      <c r="R46" t="e">
        <f t="shared" si="6"/>
        <v>#DIV/0!</v>
      </c>
      <c r="S46" t="str">
        <f t="shared" si="7"/>
        <v>DIVISION ERROR</v>
      </c>
      <c r="U46" t="b">
        <v>0</v>
      </c>
      <c r="W46" t="str">
        <f t="shared" si="8"/>
        <v>ODD</v>
      </c>
      <c r="Y46">
        <f t="shared" si="9"/>
        <v>286</v>
      </c>
      <c r="AB46" t="str">
        <f t="shared" si="10"/>
        <v>Bad_user</v>
      </c>
      <c r="AE46" t="b">
        <f t="shared" si="11"/>
        <v>1</v>
      </c>
      <c r="AG46" t="b">
        <f t="shared" si="12"/>
        <v>0</v>
      </c>
      <c r="AI46" t="str">
        <f>IF(AND(Dataset!G46 &gt;5000,Dataset!H46&gt;7000),"ACTIVE_CONSUMER","INACTIVE_CONSUMER")</f>
        <v>ACTIVE_CONSUMER</v>
      </c>
      <c r="AN46" t="str">
        <f t="shared" si="13"/>
        <v>Not_eligible</v>
      </c>
      <c r="AQ46" t="str">
        <f>IF(AND(E46="M",F46="checking",Dataset!G46&gt;2000,Dataset!K46&gt;500),"good_client","bad_client")</f>
        <v>bad_client</v>
      </c>
      <c r="AT46" t="s">
        <v>482</v>
      </c>
      <c r="AU46" t="str">
        <f>IF(AND(Dataset!F46="Savings",Dataset!AT46="eligible"),"YES","NO")</f>
        <v>NO</v>
      </c>
      <c r="AW46" s="8"/>
      <c r="AX46" s="12" t="s">
        <v>487</v>
      </c>
      <c r="AY46" s="8" t="s">
        <v>490</v>
      </c>
      <c r="AZ46" s="8"/>
      <c r="BD46" t="str">
        <f t="shared" si="14"/>
        <v>yes</v>
      </c>
    </row>
    <row r="47" spans="1:56" x14ac:dyDescent="0.3">
      <c r="A47" s="2">
        <v>46</v>
      </c>
      <c r="B47" s="2" t="s">
        <v>79</v>
      </c>
      <c r="C47" s="2" t="s">
        <v>61</v>
      </c>
      <c r="D47" s="2">
        <v>24</v>
      </c>
      <c r="E47" s="2" t="s">
        <v>14</v>
      </c>
      <c r="F47" s="2" t="s">
        <v>22</v>
      </c>
      <c r="G47" s="2">
        <v>5000</v>
      </c>
      <c r="H47" s="2">
        <v>56000</v>
      </c>
      <c r="I47" s="2" t="s">
        <v>23</v>
      </c>
      <c r="J47" s="2">
        <v>10000</v>
      </c>
      <c r="K47" s="2">
        <v>700</v>
      </c>
      <c r="L47" s="2" t="s">
        <v>24</v>
      </c>
      <c r="M47" s="2" t="s">
        <v>81</v>
      </c>
      <c r="N47" s="2" t="s">
        <v>18</v>
      </c>
      <c r="O47">
        <v>11</v>
      </c>
      <c r="R47">
        <f t="shared" si="6"/>
        <v>5.6</v>
      </c>
      <c r="S47">
        <f t="shared" si="7"/>
        <v>5.6</v>
      </c>
      <c r="U47" t="b">
        <v>1</v>
      </c>
      <c r="W47" t="str">
        <f t="shared" si="8"/>
        <v>EVEN</v>
      </c>
      <c r="Y47">
        <f t="shared" si="9"/>
        <v>170</v>
      </c>
      <c r="AB47" t="str">
        <f t="shared" si="10"/>
        <v>Good_user</v>
      </c>
      <c r="AE47" t="b">
        <f t="shared" si="11"/>
        <v>0</v>
      </c>
      <c r="AG47" t="b">
        <f t="shared" si="12"/>
        <v>0</v>
      </c>
      <c r="AI47" t="str">
        <f>IF(AND(Dataset!G47 &gt;5000,Dataset!H47&gt;7000),"ACTIVE_CONSUMER","INACTIVE_CONSUMER")</f>
        <v>INACTIVE_CONSUMER</v>
      </c>
      <c r="AN47" t="str">
        <f t="shared" si="13"/>
        <v>Not_eligible</v>
      </c>
      <c r="AQ47" t="str">
        <f>IF(AND(E47="M",F47="checking",Dataset!G47&gt;2000,Dataset!K47&gt;500),"good_client","bad_client")</f>
        <v>bad_client</v>
      </c>
      <c r="AT47" t="s">
        <v>482</v>
      </c>
      <c r="AU47" t="str">
        <f>IF(AND(Dataset!F47="Savings",Dataset!AT47="eligible"),"YES","NO")</f>
        <v>NO</v>
      </c>
      <c r="AW47" s="8"/>
      <c r="AX47" s="12" t="s">
        <v>487</v>
      </c>
      <c r="AY47" s="8" t="s">
        <v>489</v>
      </c>
      <c r="AZ47" s="8"/>
      <c r="BD47" t="str">
        <f t="shared" si="14"/>
        <v>yes</v>
      </c>
    </row>
    <row r="48" spans="1:56" x14ac:dyDescent="0.3">
      <c r="A48" s="2">
        <v>47</v>
      </c>
      <c r="B48" s="2" t="s">
        <v>40</v>
      </c>
      <c r="C48" s="2" t="s">
        <v>78</v>
      </c>
      <c r="D48" s="2">
        <v>29</v>
      </c>
      <c r="E48" s="2" t="s">
        <v>21</v>
      </c>
      <c r="F48" s="2" t="s">
        <v>15</v>
      </c>
      <c r="G48" s="2">
        <v>1500</v>
      </c>
      <c r="H48" s="2">
        <v>45000</v>
      </c>
      <c r="I48" s="2" t="s">
        <v>16</v>
      </c>
      <c r="J48" s="2">
        <v>0</v>
      </c>
      <c r="K48" s="2">
        <v>670</v>
      </c>
      <c r="L48" s="2" t="s">
        <v>28</v>
      </c>
      <c r="M48" s="2" t="s">
        <v>81</v>
      </c>
      <c r="N48" s="2" t="s">
        <v>25</v>
      </c>
      <c r="O48">
        <v>4</v>
      </c>
      <c r="R48" t="e">
        <f t="shared" si="6"/>
        <v>#DIV/0!</v>
      </c>
      <c r="S48" t="str">
        <f t="shared" si="7"/>
        <v>DIVISION ERROR</v>
      </c>
      <c r="U48" t="b">
        <v>0</v>
      </c>
      <c r="W48" t="str">
        <f t="shared" si="8"/>
        <v>ODD</v>
      </c>
      <c r="Y48">
        <f t="shared" si="9"/>
        <v>334</v>
      </c>
      <c r="AB48" t="str">
        <f t="shared" si="10"/>
        <v>Bad_user</v>
      </c>
      <c r="AE48" t="b">
        <f t="shared" si="11"/>
        <v>1</v>
      </c>
      <c r="AG48" t="b">
        <f t="shared" si="12"/>
        <v>0</v>
      </c>
      <c r="AI48" t="str">
        <f>IF(AND(Dataset!G48 &gt;5000,Dataset!H48&gt;7000),"ACTIVE_CONSUMER","INACTIVE_CONSUMER")</f>
        <v>INACTIVE_CONSUMER</v>
      </c>
      <c r="AN48" t="str">
        <f t="shared" si="13"/>
        <v>Not_eligible</v>
      </c>
      <c r="AQ48" t="str">
        <f>IF(AND(E48="M",F48="checking",Dataset!G48&gt;2000,Dataset!K48&gt;500),"good_client","bad_client")</f>
        <v>bad_client</v>
      </c>
      <c r="AT48" t="s">
        <v>482</v>
      </c>
      <c r="AU48" t="str">
        <f>IF(AND(Dataset!F48="Savings",Dataset!AT48="eligible"),"YES","NO")</f>
        <v>NO</v>
      </c>
      <c r="AW48" s="8"/>
      <c r="AX48" s="12" t="s">
        <v>487</v>
      </c>
      <c r="AY48" s="8" t="s">
        <v>490</v>
      </c>
      <c r="AZ48" s="8"/>
      <c r="BD48" t="str">
        <f t="shared" si="14"/>
        <v>yes</v>
      </c>
    </row>
    <row r="49" spans="1:56" x14ac:dyDescent="0.3">
      <c r="A49" s="2">
        <v>48</v>
      </c>
      <c r="B49" s="2" t="s">
        <v>42</v>
      </c>
      <c r="C49" s="2" t="s">
        <v>45</v>
      </c>
      <c r="D49" s="2">
        <v>43</v>
      </c>
      <c r="E49" s="2" t="s">
        <v>14</v>
      </c>
      <c r="F49" s="2" t="s">
        <v>22</v>
      </c>
      <c r="G49" s="2">
        <v>11000</v>
      </c>
      <c r="H49" s="2">
        <v>74000</v>
      </c>
      <c r="I49" s="2" t="s">
        <v>23</v>
      </c>
      <c r="J49" s="2">
        <v>12000</v>
      </c>
      <c r="K49" s="2">
        <v>720</v>
      </c>
      <c r="L49" s="2" t="s">
        <v>31</v>
      </c>
      <c r="M49" s="2" t="s">
        <v>81</v>
      </c>
      <c r="N49" s="2" t="s">
        <v>18</v>
      </c>
      <c r="O49">
        <v>14</v>
      </c>
      <c r="R49">
        <f t="shared" si="6"/>
        <v>6.166666666666667</v>
      </c>
      <c r="S49">
        <f t="shared" si="7"/>
        <v>6.166666666666667</v>
      </c>
      <c r="U49" t="b">
        <v>1</v>
      </c>
      <c r="W49" t="str">
        <f t="shared" si="8"/>
        <v>ODD</v>
      </c>
      <c r="Y49">
        <f t="shared" si="9"/>
        <v>60</v>
      </c>
      <c r="AB49" t="str">
        <f t="shared" si="10"/>
        <v>Good_user</v>
      </c>
      <c r="AE49" t="b">
        <f t="shared" si="11"/>
        <v>0</v>
      </c>
      <c r="AG49" t="b">
        <f t="shared" si="12"/>
        <v>0</v>
      </c>
      <c r="AI49" t="str">
        <f>IF(AND(Dataset!G49 &gt;5000,Dataset!H49&gt;7000),"ACTIVE_CONSUMER","INACTIVE_CONSUMER")</f>
        <v>ACTIVE_CONSUMER</v>
      </c>
      <c r="AN49" t="str">
        <f t="shared" si="13"/>
        <v>Not_eligible</v>
      </c>
      <c r="AQ49" t="str">
        <f>IF(AND(E49="M",F49="checking",Dataset!G49&gt;2000,Dataset!K49&gt;500),"good_client","bad_client")</f>
        <v>bad_client</v>
      </c>
      <c r="AT49" t="s">
        <v>482</v>
      </c>
      <c r="AU49" t="str">
        <f>IF(AND(Dataset!F49="Savings",Dataset!AT49="eligible"),"YES","NO")</f>
        <v>NO</v>
      </c>
      <c r="AW49" s="8"/>
      <c r="AX49" s="12" t="s">
        <v>487</v>
      </c>
      <c r="AY49" s="8" t="s">
        <v>489</v>
      </c>
      <c r="AZ49" s="8"/>
      <c r="BD49" t="str">
        <f t="shared" si="14"/>
        <v>yes</v>
      </c>
    </row>
    <row r="50" spans="1:56" x14ac:dyDescent="0.3">
      <c r="A50" s="2">
        <v>49</v>
      </c>
      <c r="B50" s="2" t="s">
        <v>64</v>
      </c>
      <c r="C50" s="2" t="s">
        <v>47</v>
      </c>
      <c r="D50" s="2">
        <v>36</v>
      </c>
      <c r="E50" s="2" t="s">
        <v>21</v>
      </c>
      <c r="F50" s="2" t="s">
        <v>15</v>
      </c>
      <c r="G50" s="2">
        <v>8000</v>
      </c>
      <c r="H50" s="2">
        <v>63000</v>
      </c>
      <c r="I50" s="2" t="s">
        <v>16</v>
      </c>
      <c r="J50" s="2">
        <v>0</v>
      </c>
      <c r="K50" s="2">
        <v>710</v>
      </c>
      <c r="L50" s="2" t="s">
        <v>17</v>
      </c>
      <c r="M50" s="2" t="s">
        <v>80</v>
      </c>
      <c r="N50" s="2" t="s">
        <v>25</v>
      </c>
      <c r="O50">
        <v>7</v>
      </c>
      <c r="R50" t="e">
        <f t="shared" si="6"/>
        <v>#DIV/0!</v>
      </c>
      <c r="S50" t="str">
        <f t="shared" si="7"/>
        <v>DIVISION ERROR</v>
      </c>
      <c r="U50" t="b">
        <v>0</v>
      </c>
      <c r="W50" t="str">
        <f t="shared" si="8"/>
        <v>EVEN</v>
      </c>
      <c r="Y50">
        <f t="shared" si="9"/>
        <v>120.5</v>
      </c>
      <c r="AB50" t="str">
        <f t="shared" si="10"/>
        <v>Bad_user</v>
      </c>
      <c r="AE50" t="b">
        <f t="shared" si="11"/>
        <v>1</v>
      </c>
      <c r="AG50" t="b">
        <f t="shared" si="12"/>
        <v>0</v>
      </c>
      <c r="AI50" t="str">
        <f>IF(AND(Dataset!G50 &gt;5000,Dataset!H50&gt;7000),"ACTIVE_CONSUMER","INACTIVE_CONSUMER")</f>
        <v>ACTIVE_CONSUMER</v>
      </c>
      <c r="AN50" t="str">
        <f t="shared" si="13"/>
        <v>Not_eligible</v>
      </c>
      <c r="AQ50" t="str">
        <f>IF(AND(E50="M",F50="checking",Dataset!G50&gt;2000,Dataset!K50&gt;500),"good_client","bad_client")</f>
        <v>bad_client</v>
      </c>
      <c r="AT50" t="s">
        <v>482</v>
      </c>
      <c r="AU50" t="str">
        <f>IF(AND(Dataset!F50="Savings",Dataset!AT50="eligible"),"YES","NO")</f>
        <v>NO</v>
      </c>
      <c r="AW50" s="8"/>
      <c r="AX50" s="12" t="s">
        <v>487</v>
      </c>
      <c r="AY50" s="8" t="s">
        <v>490</v>
      </c>
      <c r="AZ50" s="8"/>
      <c r="BD50" t="str">
        <f t="shared" si="14"/>
        <v>yes</v>
      </c>
    </row>
    <row r="51" spans="1:56" x14ac:dyDescent="0.3">
      <c r="A51" s="2">
        <v>50</v>
      </c>
      <c r="B51" s="2" t="s">
        <v>34</v>
      </c>
      <c r="C51" s="2" t="s">
        <v>49</v>
      </c>
      <c r="D51" s="2">
        <v>28</v>
      </c>
      <c r="E51" s="2" t="s">
        <v>14</v>
      </c>
      <c r="F51" s="2" t="s">
        <v>22</v>
      </c>
      <c r="G51" s="2">
        <v>2000</v>
      </c>
      <c r="H51" s="2">
        <v>47000</v>
      </c>
      <c r="I51" s="2" t="s">
        <v>23</v>
      </c>
      <c r="J51" s="2">
        <v>5000</v>
      </c>
      <c r="K51" s="2">
        <v>680</v>
      </c>
      <c r="L51" s="2" t="s">
        <v>24</v>
      </c>
      <c r="M51" s="2" t="s">
        <v>80</v>
      </c>
      <c r="N51" s="2" t="s">
        <v>18</v>
      </c>
      <c r="O51">
        <v>6</v>
      </c>
      <c r="R51">
        <f t="shared" si="6"/>
        <v>9.4</v>
      </c>
      <c r="S51">
        <f t="shared" si="7"/>
        <v>9.4</v>
      </c>
      <c r="U51" t="b">
        <v>1</v>
      </c>
      <c r="W51" t="str">
        <f t="shared" si="8"/>
        <v>EVEN</v>
      </c>
      <c r="Y51">
        <f t="shared" si="9"/>
        <v>286</v>
      </c>
      <c r="AB51" t="str">
        <f t="shared" si="10"/>
        <v>Good_user</v>
      </c>
      <c r="AE51" t="b">
        <f t="shared" si="11"/>
        <v>0</v>
      </c>
      <c r="AG51" t="b">
        <f t="shared" si="12"/>
        <v>0</v>
      </c>
      <c r="AI51" t="str">
        <f>IF(AND(Dataset!G51 &gt;5000,Dataset!H51&gt;7000),"ACTIVE_CONSUMER","INACTIVE_CONSUMER")</f>
        <v>INACTIVE_CONSUMER</v>
      </c>
      <c r="AN51" t="str">
        <f t="shared" si="13"/>
        <v>Not_eligible</v>
      </c>
      <c r="AQ51" t="str">
        <f>IF(AND(E51="M",F51="checking",Dataset!G51&gt;2000,Dataset!K51&gt;500),"good_client","bad_client")</f>
        <v>bad_client</v>
      </c>
      <c r="AT51" t="s">
        <v>482</v>
      </c>
      <c r="AU51" t="str">
        <f>IF(AND(Dataset!F51="Savings",Dataset!AT51="eligible"),"YES","NO")</f>
        <v>NO</v>
      </c>
      <c r="AW51" s="8"/>
      <c r="AX51" s="12" t="s">
        <v>487</v>
      </c>
      <c r="AY51" s="8" t="s">
        <v>489</v>
      </c>
      <c r="AZ51" s="8"/>
      <c r="BD51" t="str">
        <f t="shared" si="14"/>
        <v>yes</v>
      </c>
    </row>
    <row r="52" spans="1:56" x14ac:dyDescent="0.3">
      <c r="A52" s="2">
        <v>51</v>
      </c>
      <c r="B52" s="2" t="s">
        <v>48</v>
      </c>
      <c r="C52" s="2" t="s">
        <v>61</v>
      </c>
      <c r="D52" s="2">
        <v>31</v>
      </c>
      <c r="E52" s="2" t="s">
        <v>21</v>
      </c>
      <c r="F52" s="2" t="s">
        <v>15</v>
      </c>
      <c r="G52" s="2">
        <v>4000</v>
      </c>
      <c r="H52" s="2">
        <v>55000</v>
      </c>
      <c r="I52" s="2" t="s">
        <v>16</v>
      </c>
      <c r="J52" s="2">
        <v>0</v>
      </c>
      <c r="K52" s="2">
        <v>690</v>
      </c>
      <c r="L52" s="2" t="s">
        <v>28</v>
      </c>
      <c r="M52" s="2" t="s">
        <v>81</v>
      </c>
      <c r="N52" s="2" t="s">
        <v>25</v>
      </c>
      <c r="O52">
        <v>4</v>
      </c>
      <c r="R52" t="e">
        <f t="shared" si="6"/>
        <v>#DIV/0!</v>
      </c>
      <c r="S52" t="str">
        <f t="shared" si="7"/>
        <v>DIVISION ERROR</v>
      </c>
      <c r="U52" t="b">
        <v>0</v>
      </c>
      <c r="W52" t="str">
        <f t="shared" si="8"/>
        <v>ODD</v>
      </c>
      <c r="Y52">
        <f t="shared" si="9"/>
        <v>223.5</v>
      </c>
      <c r="AB52" t="str">
        <f t="shared" si="10"/>
        <v>Bad_user</v>
      </c>
      <c r="AE52" t="b">
        <f t="shared" si="11"/>
        <v>1</v>
      </c>
      <c r="AG52" t="b">
        <f t="shared" si="12"/>
        <v>0</v>
      </c>
      <c r="AI52" t="str">
        <f>IF(AND(Dataset!G52 &gt;5000,Dataset!H52&gt;7000),"ACTIVE_CONSUMER","INACTIVE_CONSUMER")</f>
        <v>INACTIVE_CONSUMER</v>
      </c>
      <c r="AN52" t="str">
        <f t="shared" si="13"/>
        <v>Not_eligible</v>
      </c>
      <c r="AQ52" t="str">
        <f>IF(AND(E52="M",F52="checking",Dataset!G52&gt;2000,Dataset!K52&gt;500),"good_client","bad_client")</f>
        <v>bad_client</v>
      </c>
      <c r="AT52" t="s">
        <v>482</v>
      </c>
      <c r="AU52" t="str">
        <f>IF(AND(Dataset!F52="Savings",Dataset!AT52="eligible"),"YES","NO")</f>
        <v>NO</v>
      </c>
      <c r="AW52" s="8"/>
      <c r="AX52" s="12" t="s">
        <v>487</v>
      </c>
      <c r="AY52" s="8" t="s">
        <v>490</v>
      </c>
      <c r="AZ52" s="8"/>
      <c r="BD52" t="str">
        <f t="shared" si="14"/>
        <v>yes</v>
      </c>
    </row>
    <row r="53" spans="1:56" x14ac:dyDescent="0.3">
      <c r="A53" s="2">
        <v>52</v>
      </c>
      <c r="B53" s="2" t="s">
        <v>54</v>
      </c>
      <c r="C53" s="2" t="s">
        <v>53</v>
      </c>
      <c r="D53" s="2">
        <v>44</v>
      </c>
      <c r="E53" s="2" t="s">
        <v>14</v>
      </c>
      <c r="F53" s="2" t="s">
        <v>22</v>
      </c>
      <c r="G53" s="2">
        <v>6000</v>
      </c>
      <c r="H53" s="2">
        <v>62000</v>
      </c>
      <c r="I53" s="2" t="s">
        <v>23</v>
      </c>
      <c r="J53" s="2">
        <v>10000</v>
      </c>
      <c r="K53" s="2">
        <v>700</v>
      </c>
      <c r="L53" s="2" t="s">
        <v>31</v>
      </c>
      <c r="M53" s="2" t="s">
        <v>81</v>
      </c>
      <c r="N53" s="2" t="s">
        <v>18</v>
      </c>
      <c r="O53">
        <v>7</v>
      </c>
      <c r="R53">
        <f t="shared" si="6"/>
        <v>6.2</v>
      </c>
      <c r="S53">
        <f t="shared" si="7"/>
        <v>6.2</v>
      </c>
      <c r="U53" t="b">
        <v>1</v>
      </c>
      <c r="W53" t="str">
        <f t="shared" si="8"/>
        <v>EVEN</v>
      </c>
      <c r="Y53">
        <f t="shared" si="9"/>
        <v>170</v>
      </c>
      <c r="AB53" t="str">
        <f t="shared" si="10"/>
        <v>Good_user</v>
      </c>
      <c r="AE53" t="b">
        <f t="shared" si="11"/>
        <v>0</v>
      </c>
      <c r="AG53" t="b">
        <f t="shared" si="12"/>
        <v>0</v>
      </c>
      <c r="AI53" t="str">
        <f>IF(AND(Dataset!G53 &gt;5000,Dataset!H53&gt;7000),"ACTIVE_CONSUMER","INACTIVE_CONSUMER")</f>
        <v>ACTIVE_CONSUMER</v>
      </c>
      <c r="AN53" t="str">
        <f t="shared" si="13"/>
        <v>Not_eligible</v>
      </c>
      <c r="AQ53" t="str">
        <f>IF(AND(E53="M",F53="checking",Dataset!G53&gt;2000,Dataset!K53&gt;500),"good_client","bad_client")</f>
        <v>bad_client</v>
      </c>
      <c r="AT53" t="s">
        <v>482</v>
      </c>
      <c r="AU53" t="str">
        <f>IF(AND(Dataset!F53="Savings",Dataset!AT53="eligible"),"YES","NO")</f>
        <v>NO</v>
      </c>
      <c r="AW53" s="8"/>
      <c r="AX53" s="12" t="s">
        <v>487</v>
      </c>
      <c r="AY53" s="8" t="s">
        <v>489</v>
      </c>
      <c r="AZ53" s="8"/>
      <c r="BD53" t="str">
        <f t="shared" si="14"/>
        <v>yes</v>
      </c>
    </row>
    <row r="54" spans="1:56" x14ac:dyDescent="0.3">
      <c r="A54" s="2">
        <v>53</v>
      </c>
      <c r="B54" s="2" t="s">
        <v>60</v>
      </c>
      <c r="C54" s="2" t="s">
        <v>51</v>
      </c>
      <c r="D54" s="2">
        <v>39</v>
      </c>
      <c r="E54" s="2" t="s">
        <v>21</v>
      </c>
      <c r="F54" s="2" t="s">
        <v>15</v>
      </c>
      <c r="G54" s="2">
        <v>9000</v>
      </c>
      <c r="H54" s="2">
        <v>67000</v>
      </c>
      <c r="I54" s="2" t="s">
        <v>16</v>
      </c>
      <c r="J54" s="2">
        <v>0</v>
      </c>
      <c r="K54" s="2">
        <v>720</v>
      </c>
      <c r="L54" s="2" t="s">
        <v>17</v>
      </c>
      <c r="M54" s="2" t="s">
        <v>81</v>
      </c>
      <c r="N54" s="2" t="s">
        <v>25</v>
      </c>
      <c r="O54" t="s">
        <v>302</v>
      </c>
      <c r="R54" t="e">
        <f t="shared" si="6"/>
        <v>#DIV/0!</v>
      </c>
      <c r="S54" t="str">
        <f t="shared" si="7"/>
        <v>DIVISION ERROR</v>
      </c>
      <c r="U54" t="b">
        <v>0</v>
      </c>
      <c r="W54" t="str">
        <f t="shared" si="8"/>
        <v>ODD</v>
      </c>
      <c r="Y54">
        <f t="shared" si="9"/>
        <v>60</v>
      </c>
      <c r="AB54" t="str">
        <f t="shared" si="10"/>
        <v>Bad_user</v>
      </c>
      <c r="AE54" t="b">
        <f t="shared" si="11"/>
        <v>1</v>
      </c>
      <c r="AG54" t="b">
        <f t="shared" si="12"/>
        <v>1</v>
      </c>
      <c r="AI54" t="str">
        <f>IF(AND(Dataset!G54 &gt;5000,Dataset!H54&gt;7000),"ACTIVE_CONSUMER","INACTIVE_CONSUMER")</f>
        <v>ACTIVE_CONSUMER</v>
      </c>
      <c r="AN54" t="str">
        <f t="shared" si="13"/>
        <v>Not_eligible</v>
      </c>
      <c r="AQ54" t="str">
        <f>IF(AND(E54="M",F54="checking",Dataset!G54&gt;2000,Dataset!K54&gt;500),"good_client","bad_client")</f>
        <v>bad_client</v>
      </c>
      <c r="AT54" t="s">
        <v>482</v>
      </c>
      <c r="AU54" t="str">
        <f>IF(AND(Dataset!F54="Savings",Dataset!AT54="eligible"),"YES","NO")</f>
        <v>NO</v>
      </c>
      <c r="AW54" s="8"/>
      <c r="AX54" s="12" t="s">
        <v>487</v>
      </c>
      <c r="AY54" s="8" t="s">
        <v>490</v>
      </c>
      <c r="AZ54" s="8"/>
      <c r="BD54" t="str">
        <f t="shared" si="14"/>
        <v>yes</v>
      </c>
    </row>
    <row r="55" spans="1:56" x14ac:dyDescent="0.3">
      <c r="A55" s="2">
        <v>54</v>
      </c>
      <c r="B55" s="2" t="s">
        <v>62</v>
      </c>
      <c r="C55" s="2" t="s">
        <v>57</v>
      </c>
      <c r="D55" s="2">
        <v>27</v>
      </c>
      <c r="E55" s="2" t="s">
        <v>14</v>
      </c>
      <c r="F55" s="2" t="s">
        <v>22</v>
      </c>
      <c r="G55" s="2">
        <v>2500</v>
      </c>
      <c r="H55" s="2">
        <v>49000</v>
      </c>
      <c r="I55" s="2" t="s">
        <v>23</v>
      </c>
      <c r="J55" s="2">
        <v>7000</v>
      </c>
      <c r="K55" s="2">
        <v>680</v>
      </c>
      <c r="L55" s="2" t="s">
        <v>24</v>
      </c>
      <c r="M55" s="2" t="s">
        <v>82</v>
      </c>
      <c r="N55" s="2" t="s">
        <v>18</v>
      </c>
      <c r="O55">
        <v>4</v>
      </c>
      <c r="R55">
        <f t="shared" si="6"/>
        <v>7</v>
      </c>
      <c r="S55">
        <f t="shared" si="7"/>
        <v>7</v>
      </c>
      <c r="U55" t="b">
        <v>1</v>
      </c>
      <c r="W55" t="str">
        <f t="shared" si="8"/>
        <v>ODD</v>
      </c>
      <c r="Y55">
        <f t="shared" si="9"/>
        <v>286</v>
      </c>
      <c r="AB55" t="str">
        <f t="shared" si="10"/>
        <v>Good_user</v>
      </c>
      <c r="AE55" t="b">
        <f t="shared" si="11"/>
        <v>0</v>
      </c>
      <c r="AG55" t="b">
        <f t="shared" si="12"/>
        <v>0</v>
      </c>
      <c r="AI55" t="str">
        <f>IF(AND(Dataset!G55 &gt;5000,Dataset!H55&gt;7000),"ACTIVE_CONSUMER","INACTIVE_CONSUMER")</f>
        <v>INACTIVE_CONSUMER</v>
      </c>
      <c r="AN55" t="str">
        <f t="shared" si="13"/>
        <v>Not_eligible</v>
      </c>
      <c r="AQ55" t="str">
        <f>IF(AND(E55="M",F55="checking",Dataset!G55&gt;2000,Dataset!K55&gt;500),"good_client","bad_client")</f>
        <v>bad_client</v>
      </c>
      <c r="AT55" t="s">
        <v>482</v>
      </c>
      <c r="AU55" t="str">
        <f>IF(AND(Dataset!F55="Savings",Dataset!AT55="eligible"),"YES","NO")</f>
        <v>NO</v>
      </c>
      <c r="AW55" s="8"/>
      <c r="AX55" s="12" t="s">
        <v>486</v>
      </c>
      <c r="AY55" s="8" t="s">
        <v>489</v>
      </c>
      <c r="AZ55" s="8"/>
      <c r="BD55" t="str">
        <f t="shared" si="14"/>
        <v>yes</v>
      </c>
    </row>
    <row r="56" spans="1:56" x14ac:dyDescent="0.3">
      <c r="A56" s="2">
        <v>55</v>
      </c>
      <c r="B56" s="2" t="s">
        <v>77</v>
      </c>
      <c r="C56" s="2" t="s">
        <v>30</v>
      </c>
      <c r="D56" s="2">
        <v>40</v>
      </c>
      <c r="E56" s="2" t="s">
        <v>21</v>
      </c>
      <c r="F56" s="2" t="s">
        <v>15</v>
      </c>
      <c r="G56" s="2">
        <v>7000</v>
      </c>
      <c r="H56" s="2">
        <v>71000</v>
      </c>
      <c r="I56" s="2" t="s">
        <v>16</v>
      </c>
      <c r="J56" s="2">
        <v>0</v>
      </c>
      <c r="K56" s="2">
        <v>710</v>
      </c>
      <c r="L56" s="2" t="s">
        <v>28</v>
      </c>
      <c r="M56" s="2" t="s">
        <v>82</v>
      </c>
      <c r="N56" s="2" t="s">
        <v>25</v>
      </c>
      <c r="O56">
        <v>15</v>
      </c>
      <c r="R56" t="e">
        <f t="shared" si="6"/>
        <v>#DIV/0!</v>
      </c>
      <c r="S56" t="str">
        <f t="shared" si="7"/>
        <v>DIVISION ERROR</v>
      </c>
      <c r="U56" t="b">
        <v>0</v>
      </c>
      <c r="W56" t="str">
        <f t="shared" si="8"/>
        <v>EVEN</v>
      </c>
      <c r="Y56">
        <f t="shared" si="9"/>
        <v>120.5</v>
      </c>
      <c r="AB56" t="str">
        <f t="shared" si="10"/>
        <v>Bad_user</v>
      </c>
      <c r="AE56" t="b">
        <f t="shared" si="11"/>
        <v>1</v>
      </c>
      <c r="AG56" t="b">
        <f t="shared" si="12"/>
        <v>0</v>
      </c>
      <c r="AI56" t="str">
        <f>IF(AND(Dataset!G56 &gt;5000,Dataset!H56&gt;7000),"ACTIVE_CONSUMER","INACTIVE_CONSUMER")</f>
        <v>ACTIVE_CONSUMER</v>
      </c>
      <c r="AN56" t="str">
        <f t="shared" si="13"/>
        <v>Not_eligible</v>
      </c>
      <c r="AQ56" t="str">
        <f>IF(AND(E56="M",F56="checking",Dataset!G56&gt;2000,Dataset!K56&gt;500),"good_client","bad_client")</f>
        <v>bad_client</v>
      </c>
      <c r="AT56" t="s">
        <v>482</v>
      </c>
      <c r="AU56" t="str">
        <f>IF(AND(Dataset!F56="Savings",Dataset!AT56="eligible"),"YES","NO")</f>
        <v>NO</v>
      </c>
      <c r="AW56" s="8"/>
      <c r="AX56" s="12" t="s">
        <v>486</v>
      </c>
      <c r="AY56" s="8" t="s">
        <v>490</v>
      </c>
      <c r="AZ56" s="8"/>
      <c r="BD56" t="str">
        <f t="shared" si="14"/>
        <v>yes</v>
      </c>
    </row>
    <row r="57" spans="1:56" x14ac:dyDescent="0.3">
      <c r="A57" s="2">
        <v>56</v>
      </c>
      <c r="B57" s="2" t="s">
        <v>38</v>
      </c>
      <c r="C57" s="2" t="s">
        <v>67</v>
      </c>
      <c r="D57" s="2">
        <v>34</v>
      </c>
      <c r="E57" s="2" t="s">
        <v>14</v>
      </c>
      <c r="F57" s="2" t="s">
        <v>22</v>
      </c>
      <c r="G57" s="2">
        <v>15000</v>
      </c>
      <c r="H57" s="2">
        <v>73000</v>
      </c>
      <c r="I57" s="2" t="s">
        <v>23</v>
      </c>
      <c r="J57" s="2">
        <v>13000</v>
      </c>
      <c r="K57" s="2">
        <v>720</v>
      </c>
      <c r="L57" s="2" t="s">
        <v>31</v>
      </c>
      <c r="M57" s="2" t="s">
        <v>82</v>
      </c>
      <c r="N57" s="2" t="s">
        <v>18</v>
      </c>
      <c r="O57">
        <v>4</v>
      </c>
      <c r="R57">
        <f t="shared" si="6"/>
        <v>5.615384615384615</v>
      </c>
      <c r="S57">
        <f t="shared" si="7"/>
        <v>5.615384615384615</v>
      </c>
      <c r="U57" t="b">
        <v>1</v>
      </c>
      <c r="W57" t="str">
        <f t="shared" si="8"/>
        <v>EVEN</v>
      </c>
      <c r="Y57">
        <f t="shared" si="9"/>
        <v>60</v>
      </c>
      <c r="AB57" t="str">
        <f t="shared" si="10"/>
        <v>Good_user</v>
      </c>
      <c r="AE57" t="b">
        <f t="shared" si="11"/>
        <v>0</v>
      </c>
      <c r="AG57" t="b">
        <f t="shared" si="12"/>
        <v>0</v>
      </c>
      <c r="AI57" t="str">
        <f>IF(AND(Dataset!G57 &gt;5000,Dataset!H57&gt;7000),"ACTIVE_CONSUMER","INACTIVE_CONSUMER")</f>
        <v>ACTIVE_CONSUMER</v>
      </c>
      <c r="AN57" t="str">
        <f t="shared" si="13"/>
        <v>Not_eligible</v>
      </c>
      <c r="AQ57" t="str">
        <f>IF(AND(E57="M",F57="checking",Dataset!G57&gt;2000,Dataset!K57&gt;500),"good_client","bad_client")</f>
        <v>bad_client</v>
      </c>
      <c r="AT57" t="s">
        <v>482</v>
      </c>
      <c r="AU57" t="str">
        <f>IF(AND(Dataset!F57="Savings",Dataset!AT57="eligible"),"YES","NO")</f>
        <v>NO</v>
      </c>
      <c r="AW57" s="8"/>
      <c r="AX57" s="12" t="s">
        <v>486</v>
      </c>
      <c r="AY57" s="8" t="s">
        <v>489</v>
      </c>
      <c r="AZ57" s="8"/>
      <c r="BD57" t="str">
        <f t="shared" si="14"/>
        <v>yes</v>
      </c>
    </row>
    <row r="58" spans="1:56" x14ac:dyDescent="0.3">
      <c r="A58" s="2">
        <v>57</v>
      </c>
      <c r="B58" s="2" t="s">
        <v>64</v>
      </c>
      <c r="C58" s="2" t="s">
        <v>59</v>
      </c>
      <c r="D58" s="2">
        <v>29</v>
      </c>
      <c r="E58" s="2" t="s">
        <v>21</v>
      </c>
      <c r="F58" s="2" t="s">
        <v>15</v>
      </c>
      <c r="G58" s="2">
        <v>2500</v>
      </c>
      <c r="H58" s="2">
        <v>47000</v>
      </c>
      <c r="I58" s="2" t="s">
        <v>16</v>
      </c>
      <c r="J58" s="2">
        <v>0</v>
      </c>
      <c r="K58" s="2">
        <v>680</v>
      </c>
      <c r="L58" s="2" t="s">
        <v>17</v>
      </c>
      <c r="M58" s="2" t="s">
        <v>80</v>
      </c>
      <c r="N58" s="2" t="s">
        <v>25</v>
      </c>
      <c r="O58">
        <v>15</v>
      </c>
      <c r="R58" t="e">
        <f t="shared" si="6"/>
        <v>#DIV/0!</v>
      </c>
      <c r="S58" t="str">
        <f t="shared" si="7"/>
        <v>DIVISION ERROR</v>
      </c>
      <c r="U58" t="b">
        <v>0</v>
      </c>
      <c r="W58" t="str">
        <f t="shared" si="8"/>
        <v>ODD</v>
      </c>
      <c r="Y58">
        <f t="shared" si="9"/>
        <v>286</v>
      </c>
      <c r="AB58" t="str">
        <f t="shared" si="10"/>
        <v>Bad_user</v>
      </c>
      <c r="AE58" t="b">
        <f t="shared" si="11"/>
        <v>1</v>
      </c>
      <c r="AG58" t="b">
        <f t="shared" si="12"/>
        <v>0</v>
      </c>
      <c r="AI58" t="str">
        <f>IF(AND(Dataset!G58 &gt;5000,Dataset!H58&gt;7000),"ACTIVE_CONSUMER","INACTIVE_CONSUMER")</f>
        <v>INACTIVE_CONSUMER</v>
      </c>
      <c r="AN58" t="str">
        <f t="shared" si="13"/>
        <v>Not_eligible</v>
      </c>
      <c r="AQ58" t="str">
        <f>IF(AND(E58="M",F58="checking",Dataset!G58&gt;2000,Dataset!K58&gt;500),"good_client","bad_client")</f>
        <v>bad_client</v>
      </c>
      <c r="AT58" t="s">
        <v>482</v>
      </c>
      <c r="AU58" t="str">
        <f>IF(AND(Dataset!F58="Savings",Dataset!AT58="eligible"),"YES","NO")</f>
        <v>NO</v>
      </c>
      <c r="AW58" s="8"/>
      <c r="AX58" s="12" t="s">
        <v>487</v>
      </c>
      <c r="AY58" s="8" t="s">
        <v>490</v>
      </c>
      <c r="AZ58" s="8"/>
      <c r="BD58" t="str">
        <f t="shared" si="14"/>
        <v>yes</v>
      </c>
    </row>
    <row r="59" spans="1:56" x14ac:dyDescent="0.3">
      <c r="A59" s="2">
        <v>58</v>
      </c>
      <c r="B59" s="2" t="s">
        <v>42</v>
      </c>
      <c r="C59" s="2" t="s">
        <v>63</v>
      </c>
      <c r="D59" s="2">
        <v>31</v>
      </c>
      <c r="E59" s="2" t="s">
        <v>14</v>
      </c>
      <c r="F59" s="2" t="s">
        <v>22</v>
      </c>
      <c r="G59" s="2">
        <v>5000</v>
      </c>
      <c r="H59" s="2">
        <v>53000</v>
      </c>
      <c r="I59" s="2" t="s">
        <v>23</v>
      </c>
      <c r="J59" s="2">
        <v>8000</v>
      </c>
      <c r="K59" s="2">
        <v>690</v>
      </c>
      <c r="L59" s="2" t="s">
        <v>24</v>
      </c>
      <c r="M59" s="2" t="s">
        <v>80</v>
      </c>
      <c r="N59" s="2" t="s">
        <v>18</v>
      </c>
      <c r="O59">
        <v>14</v>
      </c>
      <c r="R59">
        <f t="shared" si="6"/>
        <v>6.625</v>
      </c>
      <c r="S59">
        <f t="shared" si="7"/>
        <v>6.625</v>
      </c>
      <c r="U59" t="b">
        <v>1</v>
      </c>
      <c r="W59" t="str">
        <f t="shared" si="8"/>
        <v>ODD</v>
      </c>
      <c r="Y59">
        <f t="shared" si="9"/>
        <v>223.5</v>
      </c>
      <c r="AB59" t="str">
        <f t="shared" si="10"/>
        <v>Good_user</v>
      </c>
      <c r="AE59" t="b">
        <f t="shared" si="11"/>
        <v>0</v>
      </c>
      <c r="AG59" t="b">
        <f t="shared" si="12"/>
        <v>0</v>
      </c>
      <c r="AI59" t="str">
        <f>IF(AND(Dataset!G59 &gt;5000,Dataset!H59&gt;7000),"ACTIVE_CONSUMER","INACTIVE_CONSUMER")</f>
        <v>INACTIVE_CONSUMER</v>
      </c>
      <c r="AN59" t="str">
        <f t="shared" si="13"/>
        <v>Not_eligible</v>
      </c>
      <c r="AQ59" t="str">
        <f>IF(AND(E59="M",F59="checking",Dataset!G59&gt;2000,Dataset!K59&gt;500),"good_client","bad_client")</f>
        <v>bad_client</v>
      </c>
      <c r="AT59" t="s">
        <v>482</v>
      </c>
      <c r="AU59" t="str">
        <f>IF(AND(Dataset!F59="Savings",Dataset!AT59="eligible"),"YES","NO")</f>
        <v>NO</v>
      </c>
      <c r="AW59" s="8"/>
      <c r="AX59" s="12" t="s">
        <v>487</v>
      </c>
      <c r="AY59" s="8" t="s">
        <v>489</v>
      </c>
      <c r="AZ59" s="8"/>
      <c r="BD59" t="str">
        <f t="shared" si="14"/>
        <v>yes</v>
      </c>
    </row>
    <row r="60" spans="1:56" x14ac:dyDescent="0.3">
      <c r="A60" s="2">
        <v>59</v>
      </c>
      <c r="B60" s="2" t="s">
        <v>48</v>
      </c>
      <c r="C60" s="2" t="s">
        <v>27</v>
      </c>
      <c r="D60" s="2">
        <v>42</v>
      </c>
      <c r="E60" s="2" t="s">
        <v>21</v>
      </c>
      <c r="F60" s="2" t="s">
        <v>15</v>
      </c>
      <c r="G60" s="2">
        <v>6000</v>
      </c>
      <c r="H60" s="2">
        <v>69000</v>
      </c>
      <c r="I60" s="2" t="s">
        <v>16</v>
      </c>
      <c r="J60" s="2">
        <v>0</v>
      </c>
      <c r="K60" s="2">
        <v>720</v>
      </c>
      <c r="L60" s="2" t="s">
        <v>28</v>
      </c>
      <c r="M60" s="2" t="s">
        <v>80</v>
      </c>
      <c r="N60" s="2" t="s">
        <v>25</v>
      </c>
      <c r="O60">
        <v>10</v>
      </c>
      <c r="R60" t="e">
        <f t="shared" si="6"/>
        <v>#DIV/0!</v>
      </c>
      <c r="S60" t="str">
        <f t="shared" si="7"/>
        <v>DIVISION ERROR</v>
      </c>
      <c r="U60" t="b">
        <v>0</v>
      </c>
      <c r="W60" t="str">
        <f t="shared" si="8"/>
        <v>EVEN</v>
      </c>
      <c r="Y60">
        <f t="shared" si="9"/>
        <v>60</v>
      </c>
      <c r="AB60" t="str">
        <f t="shared" si="10"/>
        <v>Bad_user</v>
      </c>
      <c r="AE60" t="b">
        <f t="shared" si="11"/>
        <v>1</v>
      </c>
      <c r="AG60" t="b">
        <f t="shared" si="12"/>
        <v>0</v>
      </c>
      <c r="AI60" t="str">
        <f>IF(AND(Dataset!G60 &gt;5000,Dataset!H60&gt;7000),"ACTIVE_CONSUMER","INACTIVE_CONSUMER")</f>
        <v>ACTIVE_CONSUMER</v>
      </c>
      <c r="AN60" t="str">
        <f t="shared" si="13"/>
        <v>Not_eligible</v>
      </c>
      <c r="AQ60" t="str">
        <f>IF(AND(E60="M",F60="checking",Dataset!G60&gt;2000,Dataset!K60&gt;500),"good_client","bad_client")</f>
        <v>bad_client</v>
      </c>
      <c r="AT60" t="s">
        <v>482</v>
      </c>
      <c r="AU60" t="str">
        <f>IF(AND(Dataset!F60="Savings",Dataset!AT60="eligible"),"YES","NO")</f>
        <v>NO</v>
      </c>
      <c r="AW60" s="8"/>
      <c r="AX60" s="12" t="s">
        <v>487</v>
      </c>
      <c r="AY60" s="8" t="s">
        <v>490</v>
      </c>
      <c r="AZ60" s="8"/>
      <c r="BD60" t="str">
        <f t="shared" si="14"/>
        <v>yes</v>
      </c>
    </row>
    <row r="61" spans="1:56" x14ac:dyDescent="0.3">
      <c r="A61" s="2">
        <v>60</v>
      </c>
      <c r="B61" s="2" t="s">
        <v>34</v>
      </c>
      <c r="C61" s="2" t="s">
        <v>37</v>
      </c>
      <c r="D61" s="2">
        <v>36</v>
      </c>
      <c r="E61" s="2" t="s">
        <v>14</v>
      </c>
      <c r="F61" s="2" t="s">
        <v>22</v>
      </c>
      <c r="G61" s="2">
        <v>2000</v>
      </c>
      <c r="H61" s="2">
        <v>45000</v>
      </c>
      <c r="I61" s="2" t="s">
        <v>23</v>
      </c>
      <c r="J61" s="2">
        <v>5000</v>
      </c>
      <c r="K61" s="2">
        <v>700</v>
      </c>
      <c r="L61" s="2" t="s">
        <v>31</v>
      </c>
      <c r="M61" s="2" t="s">
        <v>80</v>
      </c>
      <c r="N61" s="2" t="s">
        <v>18</v>
      </c>
      <c r="O61">
        <v>14</v>
      </c>
      <c r="R61">
        <f t="shared" si="6"/>
        <v>9</v>
      </c>
      <c r="S61">
        <f t="shared" si="7"/>
        <v>9</v>
      </c>
      <c r="U61" t="b">
        <v>1</v>
      </c>
      <c r="W61" t="str">
        <f t="shared" si="8"/>
        <v>EVEN</v>
      </c>
      <c r="Y61">
        <f t="shared" si="9"/>
        <v>170</v>
      </c>
      <c r="AB61" t="str">
        <f t="shared" si="10"/>
        <v>Good_user</v>
      </c>
      <c r="AE61" t="b">
        <f t="shared" si="11"/>
        <v>0</v>
      </c>
      <c r="AG61" t="b">
        <f t="shared" si="12"/>
        <v>0</v>
      </c>
      <c r="AI61" t="str">
        <f>IF(AND(Dataset!G61 &gt;5000,Dataset!H61&gt;7000),"ACTIVE_CONSUMER","INACTIVE_CONSUMER")</f>
        <v>INACTIVE_CONSUMER</v>
      </c>
      <c r="AN61" t="str">
        <f t="shared" si="13"/>
        <v>Not_eligible</v>
      </c>
      <c r="AQ61" t="str">
        <f>IF(AND(E61="M",F61="checking",Dataset!G61&gt;2000,Dataset!K61&gt;500),"good_client","bad_client")</f>
        <v>bad_client</v>
      </c>
      <c r="AT61" t="s">
        <v>482</v>
      </c>
      <c r="AU61" t="str">
        <f>IF(AND(Dataset!F61="Savings",Dataset!AT61="eligible"),"YES","NO")</f>
        <v>NO</v>
      </c>
      <c r="AW61" s="8"/>
      <c r="AX61" s="12" t="s">
        <v>487</v>
      </c>
      <c r="AY61" s="8" t="s">
        <v>489</v>
      </c>
      <c r="AZ61" s="8"/>
      <c r="BD61" t="str">
        <f t="shared" si="14"/>
        <v>yes</v>
      </c>
    </row>
    <row r="62" spans="1:56" x14ac:dyDescent="0.3">
      <c r="A62" s="2">
        <v>61</v>
      </c>
      <c r="B62" s="2" t="s">
        <v>36</v>
      </c>
      <c r="C62" s="2" t="s">
        <v>49</v>
      </c>
      <c r="D62" s="2">
        <v>48</v>
      </c>
      <c r="E62" s="2" t="s">
        <v>21</v>
      </c>
      <c r="F62" s="2" t="s">
        <v>15</v>
      </c>
      <c r="G62" s="2">
        <v>8000</v>
      </c>
      <c r="H62" s="2">
        <v>74000</v>
      </c>
      <c r="I62" s="2" t="s">
        <v>16</v>
      </c>
      <c r="J62" s="2">
        <v>0</v>
      </c>
      <c r="K62" s="2">
        <v>680</v>
      </c>
      <c r="L62" s="2" t="s">
        <v>17</v>
      </c>
      <c r="M62" s="2" t="s">
        <v>81</v>
      </c>
      <c r="N62" s="2" t="s">
        <v>25</v>
      </c>
      <c r="O62">
        <v>15</v>
      </c>
      <c r="R62" t="e">
        <f t="shared" si="6"/>
        <v>#DIV/0!</v>
      </c>
      <c r="S62" t="str">
        <f t="shared" si="7"/>
        <v>DIVISION ERROR</v>
      </c>
      <c r="U62" t="b">
        <v>0</v>
      </c>
      <c r="W62" t="str">
        <f t="shared" si="8"/>
        <v>EVEN</v>
      </c>
      <c r="Y62">
        <f t="shared" si="9"/>
        <v>286</v>
      </c>
      <c r="AB62" t="str">
        <f t="shared" si="10"/>
        <v>Bad_user</v>
      </c>
      <c r="AE62" t="b">
        <f t="shared" si="11"/>
        <v>1</v>
      </c>
      <c r="AG62" t="b">
        <f t="shared" si="12"/>
        <v>0</v>
      </c>
      <c r="AI62" t="str">
        <f>IF(AND(Dataset!G62 &gt;5000,Dataset!H62&gt;7000),"ACTIVE_CONSUMER","INACTIVE_CONSUMER")</f>
        <v>ACTIVE_CONSUMER</v>
      </c>
      <c r="AN62" t="str">
        <f t="shared" si="13"/>
        <v>Not_eligible</v>
      </c>
      <c r="AQ62" t="str">
        <f>IF(AND(E62="M",F62="checking",Dataset!G62&gt;2000,Dataset!K62&gt;500),"good_client","bad_client")</f>
        <v>bad_client</v>
      </c>
      <c r="AT62" t="s">
        <v>482</v>
      </c>
      <c r="AU62" t="str">
        <f>IF(AND(Dataset!F62="Savings",Dataset!AT62="eligible"),"YES","NO")</f>
        <v>NO</v>
      </c>
      <c r="AW62" s="8"/>
      <c r="AX62" s="12" t="s">
        <v>487</v>
      </c>
      <c r="AY62" s="8" t="s">
        <v>490</v>
      </c>
      <c r="AZ62" s="8"/>
      <c r="BD62" t="str">
        <f t="shared" si="14"/>
        <v>yes</v>
      </c>
    </row>
    <row r="63" spans="1:56" x14ac:dyDescent="0.3">
      <c r="A63" s="2">
        <v>62</v>
      </c>
      <c r="B63" s="2" t="s">
        <v>62</v>
      </c>
      <c r="C63" s="2" t="s">
        <v>20</v>
      </c>
      <c r="D63" s="2">
        <v>33</v>
      </c>
      <c r="E63" s="2" t="s">
        <v>14</v>
      </c>
      <c r="F63" s="2" t="s">
        <v>22</v>
      </c>
      <c r="G63" s="2">
        <v>4000</v>
      </c>
      <c r="H63" s="2">
        <v>60000</v>
      </c>
      <c r="I63" s="2" t="s">
        <v>23</v>
      </c>
      <c r="J63" s="2">
        <v>8000</v>
      </c>
      <c r="K63" s="2">
        <v>720</v>
      </c>
      <c r="L63" s="2" t="s">
        <v>24</v>
      </c>
      <c r="M63" s="2" t="s">
        <v>81</v>
      </c>
      <c r="N63" s="2" t="s">
        <v>18</v>
      </c>
      <c r="O63">
        <v>13</v>
      </c>
      <c r="R63">
        <f t="shared" si="6"/>
        <v>7.5</v>
      </c>
      <c r="S63">
        <f t="shared" si="7"/>
        <v>7.5</v>
      </c>
      <c r="U63" t="b">
        <v>1</v>
      </c>
      <c r="W63" t="str">
        <f t="shared" si="8"/>
        <v>ODD</v>
      </c>
      <c r="Y63">
        <f t="shared" si="9"/>
        <v>60</v>
      </c>
      <c r="AB63" t="str">
        <f t="shared" si="10"/>
        <v>Good_user</v>
      </c>
      <c r="AE63" t="b">
        <f t="shared" si="11"/>
        <v>0</v>
      </c>
      <c r="AG63" t="b">
        <f t="shared" si="12"/>
        <v>0</v>
      </c>
      <c r="AI63" t="str">
        <f>IF(AND(Dataset!G63 &gt;5000,Dataset!H63&gt;7000),"ACTIVE_CONSUMER","INACTIVE_CONSUMER")</f>
        <v>INACTIVE_CONSUMER</v>
      </c>
      <c r="AN63" t="str">
        <f t="shared" si="13"/>
        <v>Not_eligible</v>
      </c>
      <c r="AQ63" t="str">
        <f>IF(AND(E63="M",F63="checking",Dataset!G63&gt;2000,Dataset!K63&gt;500),"good_client","bad_client")</f>
        <v>bad_client</v>
      </c>
      <c r="AT63" t="s">
        <v>482</v>
      </c>
      <c r="AU63" t="str">
        <f>IF(AND(Dataset!F63="Savings",Dataset!AT63="eligible"),"YES","NO")</f>
        <v>NO</v>
      </c>
      <c r="AW63" s="8"/>
      <c r="AX63" s="12" t="s">
        <v>487</v>
      </c>
      <c r="AY63" s="8" t="s">
        <v>489</v>
      </c>
      <c r="AZ63" s="8"/>
      <c r="BD63" t="str">
        <f t="shared" si="14"/>
        <v>yes</v>
      </c>
    </row>
    <row r="64" spans="1:56" x14ac:dyDescent="0.3">
      <c r="A64" s="2">
        <v>63</v>
      </c>
      <c r="B64" s="2" t="s">
        <v>72</v>
      </c>
      <c r="C64" s="2" t="s">
        <v>33</v>
      </c>
      <c r="D64" s="2">
        <v>29</v>
      </c>
      <c r="E64" s="2" t="s">
        <v>21</v>
      </c>
      <c r="F64" s="2" t="s">
        <v>15</v>
      </c>
      <c r="G64" s="2">
        <v>3500</v>
      </c>
      <c r="H64" s="2">
        <v>55000</v>
      </c>
      <c r="I64" s="2" t="s">
        <v>16</v>
      </c>
      <c r="J64" s="2">
        <v>0</v>
      </c>
      <c r="K64" s="2">
        <v>690</v>
      </c>
      <c r="L64" s="2" t="s">
        <v>28</v>
      </c>
      <c r="M64" s="2" t="s">
        <v>81</v>
      </c>
      <c r="N64" s="2" t="s">
        <v>25</v>
      </c>
      <c r="O64">
        <v>7</v>
      </c>
      <c r="R64" t="e">
        <f t="shared" si="6"/>
        <v>#DIV/0!</v>
      </c>
      <c r="S64" t="str">
        <f t="shared" si="7"/>
        <v>DIVISION ERROR</v>
      </c>
      <c r="U64" t="b">
        <v>0</v>
      </c>
      <c r="W64" t="str">
        <f t="shared" si="8"/>
        <v>ODD</v>
      </c>
      <c r="Y64">
        <f t="shared" si="9"/>
        <v>223.5</v>
      </c>
      <c r="AB64" t="str">
        <f t="shared" si="10"/>
        <v>Bad_user</v>
      </c>
      <c r="AE64" t="b">
        <f t="shared" si="11"/>
        <v>1</v>
      </c>
      <c r="AG64" t="b">
        <f t="shared" si="12"/>
        <v>0</v>
      </c>
      <c r="AI64" t="str">
        <f>IF(AND(Dataset!G64 &gt;5000,Dataset!H64&gt;7000),"ACTIVE_CONSUMER","INACTIVE_CONSUMER")</f>
        <v>INACTIVE_CONSUMER</v>
      </c>
      <c r="AN64" t="str">
        <f t="shared" si="13"/>
        <v>Not_eligible</v>
      </c>
      <c r="AQ64" t="str">
        <f>IF(AND(E64="M",F64="checking",Dataset!G64&gt;2000,Dataset!K64&gt;500),"good_client","bad_client")</f>
        <v>bad_client</v>
      </c>
      <c r="AT64" t="s">
        <v>482</v>
      </c>
      <c r="AU64" t="str">
        <f>IF(AND(Dataset!F64="Savings",Dataset!AT64="eligible"),"YES","NO")</f>
        <v>NO</v>
      </c>
      <c r="AW64" s="8"/>
      <c r="AX64" s="12" t="s">
        <v>487</v>
      </c>
      <c r="AY64" s="8" t="s">
        <v>490</v>
      </c>
      <c r="AZ64" s="8"/>
      <c r="BD64" t="str">
        <f t="shared" si="14"/>
        <v>yes</v>
      </c>
    </row>
    <row r="65" spans="1:56" x14ac:dyDescent="0.3">
      <c r="A65" s="2">
        <v>64</v>
      </c>
      <c r="B65" s="2" t="s">
        <v>58</v>
      </c>
      <c r="C65" s="2" t="s">
        <v>41</v>
      </c>
      <c r="D65" s="2">
        <v>37</v>
      </c>
      <c r="E65" s="2" t="s">
        <v>14</v>
      </c>
      <c r="F65" s="2" t="s">
        <v>15</v>
      </c>
      <c r="G65" s="2">
        <v>10000</v>
      </c>
      <c r="H65" s="2">
        <v>67000</v>
      </c>
      <c r="I65" s="2" t="s">
        <v>23</v>
      </c>
      <c r="J65" s="2">
        <v>12000</v>
      </c>
      <c r="K65" s="2">
        <v>710</v>
      </c>
      <c r="L65" s="2" t="s">
        <v>31</v>
      </c>
      <c r="M65" s="2" t="s">
        <v>81</v>
      </c>
      <c r="N65" s="2" t="s">
        <v>18</v>
      </c>
      <c r="O65">
        <v>5</v>
      </c>
      <c r="R65">
        <f t="shared" si="6"/>
        <v>5.583333333333333</v>
      </c>
      <c r="S65">
        <f t="shared" si="7"/>
        <v>5.583333333333333</v>
      </c>
      <c r="U65" t="b">
        <v>1</v>
      </c>
      <c r="W65" t="str">
        <f t="shared" si="8"/>
        <v>ODD</v>
      </c>
      <c r="Y65">
        <f t="shared" si="9"/>
        <v>120.5</v>
      </c>
      <c r="AB65" t="str">
        <f t="shared" si="10"/>
        <v>Good_user</v>
      </c>
      <c r="AE65" t="b">
        <f t="shared" si="11"/>
        <v>0</v>
      </c>
      <c r="AG65" t="b">
        <f t="shared" si="12"/>
        <v>0</v>
      </c>
      <c r="AI65" t="str">
        <f>IF(AND(Dataset!G65 &gt;5000,Dataset!H65&gt;7000),"ACTIVE_CONSUMER","INACTIVE_CONSUMER")</f>
        <v>ACTIVE_CONSUMER</v>
      </c>
      <c r="AN65" t="str">
        <f t="shared" si="13"/>
        <v>Not_eligible</v>
      </c>
      <c r="AQ65" t="str">
        <f>IF(AND(E65="M",F65="checking",Dataset!G65&gt;2000,Dataset!K65&gt;500),"good_client","bad_client")</f>
        <v>good_client</v>
      </c>
      <c r="AT65" t="s">
        <v>482</v>
      </c>
      <c r="AU65" t="str">
        <f>IF(AND(Dataset!F65="Savings",Dataset!AT65="eligible"),"YES","NO")</f>
        <v>NO</v>
      </c>
      <c r="AW65" s="8"/>
      <c r="AX65" s="12" t="s">
        <v>487</v>
      </c>
      <c r="AY65" s="8" t="s">
        <v>489</v>
      </c>
      <c r="AZ65" s="8"/>
      <c r="BD65" t="str">
        <f t="shared" si="14"/>
        <v>yes</v>
      </c>
    </row>
    <row r="66" spans="1:56" x14ac:dyDescent="0.3">
      <c r="A66" s="2">
        <v>65</v>
      </c>
      <c r="B66" s="2" t="s">
        <v>48</v>
      </c>
      <c r="C66" s="2" t="s">
        <v>35</v>
      </c>
      <c r="D66" s="2">
        <v>34</v>
      </c>
      <c r="E66" s="2" t="s">
        <v>21</v>
      </c>
      <c r="F66" s="2" t="s">
        <v>15</v>
      </c>
      <c r="G66" s="2">
        <v>3000</v>
      </c>
      <c r="H66" s="2">
        <v>48000</v>
      </c>
      <c r="I66" s="2" t="s">
        <v>16</v>
      </c>
      <c r="J66" s="2">
        <v>0</v>
      </c>
      <c r="K66" s="2">
        <v>680</v>
      </c>
      <c r="L66" s="2" t="s">
        <v>17</v>
      </c>
      <c r="M66" s="2" t="s">
        <v>82</v>
      </c>
      <c r="N66" s="2" t="s">
        <v>25</v>
      </c>
      <c r="O66" t="s">
        <v>302</v>
      </c>
      <c r="R66" t="e">
        <f t="shared" si="6"/>
        <v>#DIV/0!</v>
      </c>
      <c r="S66" t="str">
        <f t="shared" si="7"/>
        <v>DIVISION ERROR</v>
      </c>
      <c r="U66" t="b">
        <v>0</v>
      </c>
      <c r="W66" t="str">
        <f t="shared" si="8"/>
        <v>EVEN</v>
      </c>
      <c r="Y66">
        <f t="shared" si="9"/>
        <v>286</v>
      </c>
      <c r="AB66" t="str">
        <f t="shared" si="10"/>
        <v>Bad_user</v>
      </c>
      <c r="AE66" t="b">
        <f t="shared" si="11"/>
        <v>1</v>
      </c>
      <c r="AG66" t="b">
        <f t="shared" si="12"/>
        <v>1</v>
      </c>
      <c r="AI66" t="str">
        <f>IF(AND(Dataset!G66 &gt;5000,Dataset!H66&gt;7000),"ACTIVE_CONSUMER","INACTIVE_CONSUMER")</f>
        <v>INACTIVE_CONSUMER</v>
      </c>
      <c r="AN66" t="str">
        <f t="shared" si="13"/>
        <v>Not_eligible</v>
      </c>
      <c r="AQ66" t="str">
        <f>IF(AND(E66="M",F66="checking",Dataset!G66&gt;2000,Dataset!K66&gt;500),"good_client","bad_client")</f>
        <v>bad_client</v>
      </c>
      <c r="AT66" t="s">
        <v>482</v>
      </c>
      <c r="AU66" t="str">
        <f>IF(AND(Dataset!F66="Savings",Dataset!AT66="eligible"),"YES","NO")</f>
        <v>NO</v>
      </c>
      <c r="AW66" s="8"/>
      <c r="AX66" s="12" t="s">
        <v>486</v>
      </c>
      <c r="AY66" s="8" t="s">
        <v>490</v>
      </c>
      <c r="AZ66" s="8"/>
      <c r="BD66" t="str">
        <f t="shared" si="14"/>
        <v>yes</v>
      </c>
    </row>
    <row r="67" spans="1:56" x14ac:dyDescent="0.3">
      <c r="A67" s="2">
        <v>66</v>
      </c>
      <c r="B67" s="2" t="s">
        <v>34</v>
      </c>
      <c r="C67" s="2" t="s">
        <v>33</v>
      </c>
      <c r="D67" s="2">
        <v>45</v>
      </c>
      <c r="E67" s="2" t="s">
        <v>14</v>
      </c>
      <c r="F67" s="2" t="s">
        <v>15</v>
      </c>
      <c r="G67" s="2">
        <v>6000</v>
      </c>
      <c r="H67" s="2">
        <v>70000</v>
      </c>
      <c r="I67" s="2" t="s">
        <v>23</v>
      </c>
      <c r="J67" s="2">
        <v>15000</v>
      </c>
      <c r="K67" s="2">
        <v>690</v>
      </c>
      <c r="L67" s="2" t="s">
        <v>24</v>
      </c>
      <c r="M67" s="2" t="s">
        <v>82</v>
      </c>
      <c r="N67" s="2" t="s">
        <v>18</v>
      </c>
      <c r="O67">
        <v>8</v>
      </c>
      <c r="R67">
        <f t="shared" ref="R67:R130" si="15">H67/J67</f>
        <v>4.666666666666667</v>
      </c>
      <c r="S67">
        <f t="shared" ref="S67:S130" si="16">IFERROR(R67,"DIVISION ERROR")</f>
        <v>4.666666666666667</v>
      </c>
      <c r="U67" t="b">
        <v>1</v>
      </c>
      <c r="W67" t="str">
        <f t="shared" ref="W67:W130" si="17">IF(ISODD(D67),"ODD","EVEN")</f>
        <v>ODD</v>
      </c>
      <c r="Y67">
        <f t="shared" ref="Y67:Y130" si="18">_xlfn.RANK.AVG(K67,$K$2:$K$350,0)</f>
        <v>223.5</v>
      </c>
      <c r="AB67" t="str">
        <f t="shared" ref="AB67:AB130" si="19">IF(N67="Active","Good_user","Bad_user")</f>
        <v>Good_user</v>
      </c>
      <c r="AE67" t="b">
        <f t="shared" ref="AE67:AE130" si="20">ISERROR(R67)</f>
        <v>0</v>
      </c>
      <c r="AG67" t="b">
        <f t="shared" ref="AG67:AG130" si="21">ISTEXT(O67)</f>
        <v>0</v>
      </c>
      <c r="AI67" t="str">
        <f>IF(AND(Dataset!G67 &gt;5000,Dataset!H67&gt;7000),"ACTIVE_CONSUMER","INACTIVE_CONSUMER")</f>
        <v>ACTIVE_CONSUMER</v>
      </c>
      <c r="AN67" t="str">
        <f t="shared" ref="AN67:AN130" si="22">IF(AND(D67&gt;40,H67&lt;8000,K67&lt;300),"Eligible","Not_eligible")</f>
        <v>Not_eligible</v>
      </c>
      <c r="AQ67" t="str">
        <f>IF(AND(E67="M",F67="checking",Dataset!G67&gt;2000,Dataset!K67&gt;500),"good_client","bad_client")</f>
        <v>good_client</v>
      </c>
      <c r="AT67" t="s">
        <v>482</v>
      </c>
      <c r="AU67" t="str">
        <f>IF(AND(Dataset!F67="Savings",Dataset!AT67="eligible"),"YES","NO")</f>
        <v>NO</v>
      </c>
      <c r="AW67" s="8"/>
      <c r="AX67" s="12" t="s">
        <v>486</v>
      </c>
      <c r="AY67" s="8" t="s">
        <v>489</v>
      </c>
      <c r="AZ67" s="8"/>
      <c r="BD67" t="str">
        <f t="shared" ref="BD67:BD130" si="23">IF(H67&gt;6000,"yes","no")</f>
        <v>yes</v>
      </c>
    </row>
    <row r="68" spans="1:56" x14ac:dyDescent="0.3">
      <c r="A68" s="2">
        <v>67</v>
      </c>
      <c r="B68" s="2" t="s">
        <v>36</v>
      </c>
      <c r="C68" s="2" t="s">
        <v>37</v>
      </c>
      <c r="D68" s="2">
        <v>28</v>
      </c>
      <c r="E68" s="2" t="s">
        <v>21</v>
      </c>
      <c r="F68" s="2" t="s">
        <v>15</v>
      </c>
      <c r="G68" s="2">
        <v>5500</v>
      </c>
      <c r="H68" s="2">
        <v>62000</v>
      </c>
      <c r="I68" s="2" t="s">
        <v>16</v>
      </c>
      <c r="J68" s="2">
        <v>0</v>
      </c>
      <c r="K68" s="2">
        <v>700</v>
      </c>
      <c r="L68" s="2" t="s">
        <v>28</v>
      </c>
      <c r="M68" s="2" t="s">
        <v>82</v>
      </c>
      <c r="N68" s="2" t="s">
        <v>25</v>
      </c>
      <c r="O68">
        <v>4</v>
      </c>
      <c r="R68" t="e">
        <f t="shared" si="15"/>
        <v>#DIV/0!</v>
      </c>
      <c r="S68" t="str">
        <f t="shared" si="16"/>
        <v>DIVISION ERROR</v>
      </c>
      <c r="U68" t="b">
        <v>0</v>
      </c>
      <c r="W68" t="str">
        <f t="shared" si="17"/>
        <v>EVEN</v>
      </c>
      <c r="Y68">
        <f t="shared" si="18"/>
        <v>170</v>
      </c>
      <c r="AB68" t="str">
        <f t="shared" si="19"/>
        <v>Bad_user</v>
      </c>
      <c r="AE68" t="b">
        <f t="shared" si="20"/>
        <v>1</v>
      </c>
      <c r="AG68" t="b">
        <f t="shared" si="21"/>
        <v>0</v>
      </c>
      <c r="AI68" t="str">
        <f>IF(AND(Dataset!G68 &gt;5000,Dataset!H68&gt;7000),"ACTIVE_CONSUMER","INACTIVE_CONSUMER")</f>
        <v>ACTIVE_CONSUMER</v>
      </c>
      <c r="AN68" t="str">
        <f t="shared" si="22"/>
        <v>Not_eligible</v>
      </c>
      <c r="AQ68" t="str">
        <f>IF(AND(E68="M",F68="checking",Dataset!G68&gt;2000,Dataset!K68&gt;500),"good_client","bad_client")</f>
        <v>bad_client</v>
      </c>
      <c r="AT68" t="s">
        <v>482</v>
      </c>
      <c r="AU68" t="str">
        <f>IF(AND(Dataset!F68="Savings",Dataset!AT68="eligible"),"YES","NO")</f>
        <v>NO</v>
      </c>
      <c r="AW68" s="8"/>
      <c r="AX68" s="12" t="s">
        <v>486</v>
      </c>
      <c r="AY68" s="8" t="s">
        <v>490</v>
      </c>
      <c r="AZ68" s="8"/>
      <c r="BD68" t="str">
        <f t="shared" si="23"/>
        <v>yes</v>
      </c>
    </row>
    <row r="69" spans="1:56" x14ac:dyDescent="0.3">
      <c r="A69" s="2">
        <v>68</v>
      </c>
      <c r="B69" s="2" t="s">
        <v>62</v>
      </c>
      <c r="C69" s="2" t="s">
        <v>61</v>
      </c>
      <c r="D69" s="2">
        <v>42</v>
      </c>
      <c r="E69" s="2" t="s">
        <v>14</v>
      </c>
      <c r="F69" s="2" t="s">
        <v>22</v>
      </c>
      <c r="G69" s="2">
        <v>8000</v>
      </c>
      <c r="H69" s="2">
        <v>73000</v>
      </c>
      <c r="I69" s="2" t="s">
        <v>23</v>
      </c>
      <c r="J69" s="2">
        <v>10000</v>
      </c>
      <c r="K69" s="2">
        <v>720</v>
      </c>
      <c r="L69" s="2" t="s">
        <v>31</v>
      </c>
      <c r="M69" s="2" t="s">
        <v>82</v>
      </c>
      <c r="N69" s="2" t="s">
        <v>18</v>
      </c>
      <c r="O69">
        <v>3</v>
      </c>
      <c r="R69">
        <f t="shared" si="15"/>
        <v>7.3</v>
      </c>
      <c r="S69">
        <f t="shared" si="16"/>
        <v>7.3</v>
      </c>
      <c r="U69" t="b">
        <v>1</v>
      </c>
      <c r="W69" t="str">
        <f t="shared" si="17"/>
        <v>EVEN</v>
      </c>
      <c r="Y69">
        <f t="shared" si="18"/>
        <v>60</v>
      </c>
      <c r="AB69" t="str">
        <f t="shared" si="19"/>
        <v>Good_user</v>
      </c>
      <c r="AE69" t="b">
        <f t="shared" si="20"/>
        <v>0</v>
      </c>
      <c r="AG69" t="b">
        <f t="shared" si="21"/>
        <v>0</v>
      </c>
      <c r="AI69" t="str">
        <f>IF(AND(Dataset!G69 &gt;5000,Dataset!H69&gt;7000),"ACTIVE_CONSUMER","INACTIVE_CONSUMER")</f>
        <v>ACTIVE_CONSUMER</v>
      </c>
      <c r="AN69" t="str">
        <f t="shared" si="22"/>
        <v>Not_eligible</v>
      </c>
      <c r="AQ69" t="str">
        <f>IF(AND(E69="M",F69="checking",Dataset!G69&gt;2000,Dataset!K69&gt;500),"good_client","bad_client")</f>
        <v>bad_client</v>
      </c>
      <c r="AT69" t="s">
        <v>482</v>
      </c>
      <c r="AU69" t="str">
        <f>IF(AND(Dataset!F69="Savings",Dataset!AT69="eligible"),"YES","NO")</f>
        <v>NO</v>
      </c>
      <c r="AW69" s="8"/>
      <c r="AX69" s="12" t="s">
        <v>486</v>
      </c>
      <c r="AY69" s="8" t="s">
        <v>489</v>
      </c>
      <c r="AZ69" s="8"/>
      <c r="BD69" t="str">
        <f t="shared" si="23"/>
        <v>yes</v>
      </c>
    </row>
    <row r="70" spans="1:56" x14ac:dyDescent="0.3">
      <c r="A70" s="2">
        <v>69</v>
      </c>
      <c r="B70" s="2" t="s">
        <v>26</v>
      </c>
      <c r="C70" s="2" t="s">
        <v>47</v>
      </c>
      <c r="D70" s="2">
        <v>31</v>
      </c>
      <c r="E70" s="2" t="s">
        <v>21</v>
      </c>
      <c r="F70" s="2" t="s">
        <v>15</v>
      </c>
      <c r="G70" s="2">
        <v>1500</v>
      </c>
      <c r="H70" s="2">
        <v>51000</v>
      </c>
      <c r="I70" s="2" t="s">
        <v>16</v>
      </c>
      <c r="J70" s="2">
        <v>0</v>
      </c>
      <c r="K70" s="2">
        <v>680</v>
      </c>
      <c r="L70" s="2" t="s">
        <v>17</v>
      </c>
      <c r="M70" s="2" t="s">
        <v>80</v>
      </c>
      <c r="N70" s="2" t="s">
        <v>25</v>
      </c>
      <c r="O70">
        <v>7</v>
      </c>
      <c r="R70" t="e">
        <f t="shared" si="15"/>
        <v>#DIV/0!</v>
      </c>
      <c r="S70" t="str">
        <f t="shared" si="16"/>
        <v>DIVISION ERROR</v>
      </c>
      <c r="U70" t="b">
        <v>0</v>
      </c>
      <c r="W70" t="str">
        <f t="shared" si="17"/>
        <v>ODD</v>
      </c>
      <c r="Y70">
        <f t="shared" si="18"/>
        <v>286</v>
      </c>
      <c r="AB70" t="str">
        <f t="shared" si="19"/>
        <v>Bad_user</v>
      </c>
      <c r="AE70" t="b">
        <f t="shared" si="20"/>
        <v>1</v>
      </c>
      <c r="AG70" t="b">
        <f t="shared" si="21"/>
        <v>0</v>
      </c>
      <c r="AI70" t="str">
        <f>IF(AND(Dataset!G70 &gt;5000,Dataset!H70&gt;7000),"ACTIVE_CONSUMER","INACTIVE_CONSUMER")</f>
        <v>INACTIVE_CONSUMER</v>
      </c>
      <c r="AN70" t="str">
        <f t="shared" si="22"/>
        <v>Not_eligible</v>
      </c>
      <c r="AQ70" t="str">
        <f>IF(AND(E70="M",F70="checking",Dataset!G70&gt;2000,Dataset!K70&gt;500),"good_client","bad_client")</f>
        <v>bad_client</v>
      </c>
      <c r="AT70" t="s">
        <v>482</v>
      </c>
      <c r="AU70" t="str">
        <f>IF(AND(Dataset!F70="Savings",Dataset!AT70="eligible"),"YES","NO")</f>
        <v>NO</v>
      </c>
      <c r="AW70" s="8"/>
      <c r="AX70" s="12" t="s">
        <v>487</v>
      </c>
      <c r="AY70" s="8" t="s">
        <v>490</v>
      </c>
      <c r="AZ70" s="8"/>
      <c r="BD70" t="str">
        <f t="shared" si="23"/>
        <v>yes</v>
      </c>
    </row>
    <row r="71" spans="1:56" x14ac:dyDescent="0.3">
      <c r="A71" s="2">
        <v>70</v>
      </c>
      <c r="B71" s="2" t="s">
        <v>38</v>
      </c>
      <c r="C71" s="2" t="s">
        <v>49</v>
      </c>
      <c r="D71" s="2">
        <v>29</v>
      </c>
      <c r="E71" s="2" t="s">
        <v>14</v>
      </c>
      <c r="F71" s="2" t="s">
        <v>22</v>
      </c>
      <c r="G71" s="2">
        <v>5000</v>
      </c>
      <c r="H71" s="2">
        <v>53000</v>
      </c>
      <c r="I71" s="2" t="s">
        <v>23</v>
      </c>
      <c r="J71" s="2">
        <v>7000</v>
      </c>
      <c r="K71" s="2">
        <v>690</v>
      </c>
      <c r="L71" s="2" t="s">
        <v>24</v>
      </c>
      <c r="M71" s="2" t="s">
        <v>80</v>
      </c>
      <c r="N71" s="2" t="s">
        <v>18</v>
      </c>
      <c r="O71">
        <v>12</v>
      </c>
      <c r="R71">
        <f t="shared" si="15"/>
        <v>7.5714285714285712</v>
      </c>
      <c r="S71">
        <f t="shared" si="16"/>
        <v>7.5714285714285712</v>
      </c>
      <c r="U71" t="b">
        <v>1</v>
      </c>
      <c r="W71" t="str">
        <f t="shared" si="17"/>
        <v>ODD</v>
      </c>
      <c r="Y71">
        <f t="shared" si="18"/>
        <v>223.5</v>
      </c>
      <c r="AB71" t="str">
        <f t="shared" si="19"/>
        <v>Good_user</v>
      </c>
      <c r="AE71" t="b">
        <f t="shared" si="20"/>
        <v>0</v>
      </c>
      <c r="AG71" t="b">
        <f t="shared" si="21"/>
        <v>0</v>
      </c>
      <c r="AI71" t="str">
        <f>IF(AND(Dataset!G71 &gt;5000,Dataset!H71&gt;7000),"ACTIVE_CONSUMER","INACTIVE_CONSUMER")</f>
        <v>INACTIVE_CONSUMER</v>
      </c>
      <c r="AN71" t="str">
        <f t="shared" si="22"/>
        <v>Not_eligible</v>
      </c>
      <c r="AQ71" t="str">
        <f>IF(AND(E71="M",F71="checking",Dataset!G71&gt;2000,Dataset!K71&gt;500),"good_client","bad_client")</f>
        <v>bad_client</v>
      </c>
      <c r="AT71" t="s">
        <v>482</v>
      </c>
      <c r="AU71" t="str">
        <f>IF(AND(Dataset!F71="Savings",Dataset!AT71="eligible"),"YES","NO")</f>
        <v>NO</v>
      </c>
      <c r="AW71" s="8"/>
      <c r="AX71" s="12" t="s">
        <v>487</v>
      </c>
      <c r="AY71" s="8" t="s">
        <v>489</v>
      </c>
      <c r="AZ71" s="8"/>
      <c r="BD71" t="str">
        <f t="shared" si="23"/>
        <v>yes</v>
      </c>
    </row>
    <row r="72" spans="1:56" x14ac:dyDescent="0.3">
      <c r="A72" s="2">
        <v>71</v>
      </c>
      <c r="B72" s="2" t="s">
        <v>48</v>
      </c>
      <c r="C72" s="2" t="s">
        <v>30</v>
      </c>
      <c r="D72" s="2">
        <v>36</v>
      </c>
      <c r="E72" s="2" t="s">
        <v>21</v>
      </c>
      <c r="F72" s="2" t="s">
        <v>15</v>
      </c>
      <c r="G72" s="2">
        <v>6000</v>
      </c>
      <c r="H72" s="2">
        <v>67000</v>
      </c>
      <c r="I72" s="2" t="s">
        <v>16</v>
      </c>
      <c r="J72" s="2">
        <v>0</v>
      </c>
      <c r="K72" s="2">
        <v>710</v>
      </c>
      <c r="L72" s="2" t="s">
        <v>28</v>
      </c>
      <c r="M72" s="2" t="s">
        <v>80</v>
      </c>
      <c r="N72" s="2" t="s">
        <v>25</v>
      </c>
      <c r="O72">
        <v>11</v>
      </c>
      <c r="R72" t="e">
        <f t="shared" si="15"/>
        <v>#DIV/0!</v>
      </c>
      <c r="S72" t="str">
        <f t="shared" si="16"/>
        <v>DIVISION ERROR</v>
      </c>
      <c r="U72" t="b">
        <v>0</v>
      </c>
      <c r="W72" t="str">
        <f t="shared" si="17"/>
        <v>EVEN</v>
      </c>
      <c r="Y72">
        <f t="shared" si="18"/>
        <v>120.5</v>
      </c>
      <c r="AB72" t="str">
        <f t="shared" si="19"/>
        <v>Bad_user</v>
      </c>
      <c r="AE72" t="b">
        <f t="shared" si="20"/>
        <v>1</v>
      </c>
      <c r="AG72" t="b">
        <f t="shared" si="21"/>
        <v>0</v>
      </c>
      <c r="AI72" t="str">
        <f>IF(AND(Dataset!G72 &gt;5000,Dataset!H72&gt;7000),"ACTIVE_CONSUMER","INACTIVE_CONSUMER")</f>
        <v>ACTIVE_CONSUMER</v>
      </c>
      <c r="AN72" t="str">
        <f t="shared" si="22"/>
        <v>Not_eligible</v>
      </c>
      <c r="AQ72" t="str">
        <f>IF(AND(E72="M",F72="checking",Dataset!G72&gt;2000,Dataset!K72&gt;500),"good_client","bad_client")</f>
        <v>bad_client</v>
      </c>
      <c r="AT72" t="s">
        <v>482</v>
      </c>
      <c r="AU72" t="str">
        <f>IF(AND(Dataset!F72="Savings",Dataset!AT72="eligible"),"YES","NO")</f>
        <v>NO</v>
      </c>
      <c r="AW72" s="8"/>
      <c r="AX72" s="12" t="s">
        <v>487</v>
      </c>
      <c r="AY72" s="8" t="s">
        <v>490</v>
      </c>
      <c r="AZ72" s="8"/>
      <c r="BD72" t="str">
        <f t="shared" si="23"/>
        <v>yes</v>
      </c>
    </row>
    <row r="73" spans="1:56" x14ac:dyDescent="0.3">
      <c r="A73" s="2">
        <v>72</v>
      </c>
      <c r="B73" s="2" t="s">
        <v>34</v>
      </c>
      <c r="C73" s="2" t="s">
        <v>27</v>
      </c>
      <c r="D73" s="2">
        <v>43</v>
      </c>
      <c r="E73" s="2" t="s">
        <v>14</v>
      </c>
      <c r="F73" s="2" t="s">
        <v>15</v>
      </c>
      <c r="G73" s="2">
        <v>4000</v>
      </c>
      <c r="H73" s="2">
        <v>46000</v>
      </c>
      <c r="I73" s="2" t="s">
        <v>23</v>
      </c>
      <c r="J73" s="2">
        <v>6000</v>
      </c>
      <c r="K73" s="2">
        <v>720</v>
      </c>
      <c r="L73" s="2" t="s">
        <v>31</v>
      </c>
      <c r="M73" s="2" t="s">
        <v>81</v>
      </c>
      <c r="N73" s="2" t="s">
        <v>18</v>
      </c>
      <c r="O73" t="s">
        <v>302</v>
      </c>
      <c r="R73">
        <f t="shared" si="15"/>
        <v>7.666666666666667</v>
      </c>
      <c r="S73">
        <f t="shared" si="16"/>
        <v>7.666666666666667</v>
      </c>
      <c r="U73" t="b">
        <v>1</v>
      </c>
      <c r="W73" t="str">
        <f t="shared" si="17"/>
        <v>ODD</v>
      </c>
      <c r="Y73">
        <f t="shared" si="18"/>
        <v>60</v>
      </c>
      <c r="AB73" t="str">
        <f t="shared" si="19"/>
        <v>Good_user</v>
      </c>
      <c r="AE73" t="b">
        <f t="shared" si="20"/>
        <v>0</v>
      </c>
      <c r="AG73" t="b">
        <f t="shared" si="21"/>
        <v>1</v>
      </c>
      <c r="AI73" t="str">
        <f>IF(AND(Dataset!G73 &gt;5000,Dataset!H73&gt;7000),"ACTIVE_CONSUMER","INACTIVE_CONSUMER")</f>
        <v>INACTIVE_CONSUMER</v>
      </c>
      <c r="AN73" t="str">
        <f t="shared" si="22"/>
        <v>Not_eligible</v>
      </c>
      <c r="AQ73" t="str">
        <f>IF(AND(E73="M",F73="checking",Dataset!G73&gt;2000,Dataset!K73&gt;500),"good_client","bad_client")</f>
        <v>good_client</v>
      </c>
      <c r="AT73" t="s">
        <v>482</v>
      </c>
      <c r="AU73" t="str">
        <f>IF(AND(Dataset!F73="Savings",Dataset!AT73="eligible"),"YES","NO")</f>
        <v>NO</v>
      </c>
      <c r="AW73" s="8"/>
      <c r="AX73" s="12" t="s">
        <v>487</v>
      </c>
      <c r="AY73" s="8" t="s">
        <v>489</v>
      </c>
      <c r="AZ73" s="8"/>
      <c r="BD73" t="str">
        <f t="shared" si="23"/>
        <v>yes</v>
      </c>
    </row>
    <row r="74" spans="1:56" x14ac:dyDescent="0.3">
      <c r="A74" s="2">
        <v>73</v>
      </c>
      <c r="B74" s="2" t="s">
        <v>36</v>
      </c>
      <c r="C74" s="2" t="s">
        <v>53</v>
      </c>
      <c r="D74" s="2">
        <v>27</v>
      </c>
      <c r="E74" s="2" t="s">
        <v>21</v>
      </c>
      <c r="F74" s="2" t="s">
        <v>15</v>
      </c>
      <c r="G74" s="2">
        <v>2500</v>
      </c>
      <c r="H74" s="2">
        <v>47000</v>
      </c>
      <c r="I74" s="2" t="s">
        <v>16</v>
      </c>
      <c r="J74" s="2">
        <v>0</v>
      </c>
      <c r="K74" s="2">
        <v>670</v>
      </c>
      <c r="L74" s="2" t="s">
        <v>17</v>
      </c>
      <c r="M74" s="2" t="s">
        <v>81</v>
      </c>
      <c r="N74" s="2" t="s">
        <v>25</v>
      </c>
      <c r="O74">
        <v>5</v>
      </c>
      <c r="R74" t="e">
        <f t="shared" si="15"/>
        <v>#DIV/0!</v>
      </c>
      <c r="S74" t="str">
        <f t="shared" si="16"/>
        <v>DIVISION ERROR</v>
      </c>
      <c r="U74" t="b">
        <v>0</v>
      </c>
      <c r="W74" t="str">
        <f t="shared" si="17"/>
        <v>ODD</v>
      </c>
      <c r="Y74">
        <f t="shared" si="18"/>
        <v>334</v>
      </c>
      <c r="AB74" t="str">
        <f t="shared" si="19"/>
        <v>Bad_user</v>
      </c>
      <c r="AE74" t="b">
        <f t="shared" si="20"/>
        <v>1</v>
      </c>
      <c r="AG74" t="b">
        <f t="shared" si="21"/>
        <v>0</v>
      </c>
      <c r="AI74" t="str">
        <f>IF(AND(Dataset!G74 &gt;5000,Dataset!H74&gt;7000),"ACTIVE_CONSUMER","INACTIVE_CONSUMER")</f>
        <v>INACTIVE_CONSUMER</v>
      </c>
      <c r="AN74" t="str">
        <f t="shared" si="22"/>
        <v>Not_eligible</v>
      </c>
      <c r="AQ74" t="str">
        <f>IF(AND(E74="M",F74="checking",Dataset!G74&gt;2000,Dataset!K74&gt;500),"good_client","bad_client")</f>
        <v>bad_client</v>
      </c>
      <c r="AT74" t="s">
        <v>482</v>
      </c>
      <c r="AU74" t="str">
        <f>IF(AND(Dataset!F74="Savings",Dataset!AT74="eligible"),"YES","NO")</f>
        <v>NO</v>
      </c>
      <c r="AW74" s="8"/>
      <c r="AX74" s="12" t="s">
        <v>487</v>
      </c>
      <c r="AY74" s="8" t="s">
        <v>490</v>
      </c>
      <c r="AZ74" s="8"/>
      <c r="BD74" t="str">
        <f t="shared" si="23"/>
        <v>yes</v>
      </c>
    </row>
    <row r="75" spans="1:56" x14ac:dyDescent="0.3">
      <c r="A75" s="2">
        <v>74</v>
      </c>
      <c r="B75" s="2" t="s">
        <v>62</v>
      </c>
      <c r="C75" s="2" t="s">
        <v>67</v>
      </c>
      <c r="D75" s="2">
        <v>39</v>
      </c>
      <c r="E75" s="2" t="s">
        <v>14</v>
      </c>
      <c r="F75" s="2" t="s">
        <v>22</v>
      </c>
      <c r="G75" s="2">
        <v>9000</v>
      </c>
      <c r="H75" s="2">
        <v>70000</v>
      </c>
      <c r="I75" s="2" t="s">
        <v>23</v>
      </c>
      <c r="J75" s="2">
        <v>12000</v>
      </c>
      <c r="K75" s="2">
        <v>700</v>
      </c>
      <c r="L75" s="2" t="s">
        <v>24</v>
      </c>
      <c r="M75" s="2" t="s">
        <v>81</v>
      </c>
      <c r="N75" s="2" t="s">
        <v>18</v>
      </c>
      <c r="O75" t="s">
        <v>302</v>
      </c>
      <c r="R75">
        <f t="shared" si="15"/>
        <v>5.833333333333333</v>
      </c>
      <c r="S75">
        <f t="shared" si="16"/>
        <v>5.833333333333333</v>
      </c>
      <c r="U75" t="b">
        <v>1</v>
      </c>
      <c r="W75" t="str">
        <f t="shared" si="17"/>
        <v>ODD</v>
      </c>
      <c r="Y75">
        <f t="shared" si="18"/>
        <v>170</v>
      </c>
      <c r="AB75" t="str">
        <f t="shared" si="19"/>
        <v>Good_user</v>
      </c>
      <c r="AE75" t="b">
        <f t="shared" si="20"/>
        <v>0</v>
      </c>
      <c r="AG75" t="b">
        <f t="shared" si="21"/>
        <v>1</v>
      </c>
      <c r="AI75" t="str">
        <f>IF(AND(Dataset!G75 &gt;5000,Dataset!H75&gt;7000),"ACTIVE_CONSUMER","INACTIVE_CONSUMER")</f>
        <v>ACTIVE_CONSUMER</v>
      </c>
      <c r="AN75" t="str">
        <f t="shared" si="22"/>
        <v>Not_eligible</v>
      </c>
      <c r="AQ75" t="str">
        <f>IF(AND(E75="M",F75="checking",Dataset!G75&gt;2000,Dataset!K75&gt;500),"good_client","bad_client")</f>
        <v>bad_client</v>
      </c>
      <c r="AT75" t="s">
        <v>482</v>
      </c>
      <c r="AU75" t="str">
        <f>IF(AND(Dataset!F75="Savings",Dataset!AT75="eligible"),"YES","NO")</f>
        <v>NO</v>
      </c>
      <c r="AW75" s="8"/>
      <c r="AX75" s="12" t="s">
        <v>487</v>
      </c>
      <c r="AY75" s="8" t="s">
        <v>489</v>
      </c>
      <c r="AZ75" s="8"/>
      <c r="BD75" t="str">
        <f t="shared" si="23"/>
        <v>yes</v>
      </c>
    </row>
    <row r="76" spans="1:56" x14ac:dyDescent="0.3">
      <c r="A76" s="2">
        <v>75</v>
      </c>
      <c r="B76" s="2" t="s">
        <v>72</v>
      </c>
      <c r="C76" s="2" t="s">
        <v>45</v>
      </c>
      <c r="D76" s="2">
        <v>31</v>
      </c>
      <c r="E76" s="2" t="s">
        <v>21</v>
      </c>
      <c r="F76" s="2" t="s">
        <v>15</v>
      </c>
      <c r="G76" s="2">
        <v>5000</v>
      </c>
      <c r="H76" s="2">
        <v>56000</v>
      </c>
      <c r="I76" s="2" t="s">
        <v>16</v>
      </c>
      <c r="J76" s="2">
        <v>0</v>
      </c>
      <c r="K76" s="2">
        <v>680</v>
      </c>
      <c r="L76" s="2" t="s">
        <v>28</v>
      </c>
      <c r="M76" s="2" t="s">
        <v>82</v>
      </c>
      <c r="N76" s="2" t="s">
        <v>25</v>
      </c>
      <c r="O76">
        <v>11</v>
      </c>
      <c r="R76" t="e">
        <f t="shared" si="15"/>
        <v>#DIV/0!</v>
      </c>
      <c r="S76" t="str">
        <f t="shared" si="16"/>
        <v>DIVISION ERROR</v>
      </c>
      <c r="U76" t="b">
        <v>0</v>
      </c>
      <c r="W76" t="str">
        <f t="shared" si="17"/>
        <v>ODD</v>
      </c>
      <c r="Y76">
        <f t="shared" si="18"/>
        <v>286</v>
      </c>
      <c r="AB76" t="str">
        <f t="shared" si="19"/>
        <v>Bad_user</v>
      </c>
      <c r="AE76" t="b">
        <f t="shared" si="20"/>
        <v>1</v>
      </c>
      <c r="AG76" t="b">
        <f t="shared" si="21"/>
        <v>0</v>
      </c>
      <c r="AI76" t="str">
        <f>IF(AND(Dataset!G76 &gt;5000,Dataset!H76&gt;7000),"ACTIVE_CONSUMER","INACTIVE_CONSUMER")</f>
        <v>INACTIVE_CONSUMER</v>
      </c>
      <c r="AN76" t="str">
        <f t="shared" si="22"/>
        <v>Not_eligible</v>
      </c>
      <c r="AQ76" t="str">
        <f>IF(AND(E76="M",F76="checking",Dataset!G76&gt;2000,Dataset!K76&gt;500),"good_client","bad_client")</f>
        <v>bad_client</v>
      </c>
      <c r="AT76" t="s">
        <v>482</v>
      </c>
      <c r="AU76" t="str">
        <f>IF(AND(Dataset!F76="Savings",Dataset!AT76="eligible"),"YES","NO")</f>
        <v>NO</v>
      </c>
      <c r="AW76" s="8"/>
      <c r="AX76" s="12" t="s">
        <v>486</v>
      </c>
      <c r="AY76" s="8" t="s">
        <v>490</v>
      </c>
      <c r="AZ76" s="8"/>
      <c r="BD76" t="str">
        <f t="shared" si="23"/>
        <v>yes</v>
      </c>
    </row>
    <row r="77" spans="1:56" x14ac:dyDescent="0.3">
      <c r="A77" s="2">
        <v>76</v>
      </c>
      <c r="B77" s="2" t="s">
        <v>58</v>
      </c>
      <c r="C77" s="2" t="s">
        <v>47</v>
      </c>
      <c r="D77" s="2">
        <v>28</v>
      </c>
      <c r="E77" s="2" t="s">
        <v>14</v>
      </c>
      <c r="F77" s="2" t="s">
        <v>22</v>
      </c>
      <c r="G77" s="2">
        <v>2000</v>
      </c>
      <c r="H77" s="2">
        <v>47000</v>
      </c>
      <c r="I77" s="2" t="s">
        <v>23</v>
      </c>
      <c r="J77" s="2">
        <v>5000</v>
      </c>
      <c r="K77" s="2">
        <v>690</v>
      </c>
      <c r="L77" s="2" t="s">
        <v>31</v>
      </c>
      <c r="M77" s="2" t="s">
        <v>82</v>
      </c>
      <c r="N77" s="2" t="s">
        <v>18</v>
      </c>
      <c r="O77">
        <v>11</v>
      </c>
      <c r="R77">
        <f t="shared" si="15"/>
        <v>9.4</v>
      </c>
      <c r="S77">
        <f t="shared" si="16"/>
        <v>9.4</v>
      </c>
      <c r="U77" t="b">
        <v>1</v>
      </c>
      <c r="W77" t="str">
        <f t="shared" si="17"/>
        <v>EVEN</v>
      </c>
      <c r="Y77">
        <f t="shared" si="18"/>
        <v>223.5</v>
      </c>
      <c r="AB77" t="str">
        <f t="shared" si="19"/>
        <v>Good_user</v>
      </c>
      <c r="AE77" t="b">
        <f t="shared" si="20"/>
        <v>0</v>
      </c>
      <c r="AG77" t="b">
        <f t="shared" si="21"/>
        <v>0</v>
      </c>
      <c r="AI77" t="str">
        <f>IF(AND(Dataset!G77 &gt;5000,Dataset!H77&gt;7000),"ACTIVE_CONSUMER","INACTIVE_CONSUMER")</f>
        <v>INACTIVE_CONSUMER</v>
      </c>
      <c r="AN77" t="str">
        <f t="shared" si="22"/>
        <v>Not_eligible</v>
      </c>
      <c r="AQ77" t="str">
        <f>IF(AND(E77="M",F77="checking",Dataset!G77&gt;2000,Dataset!K77&gt;500),"good_client","bad_client")</f>
        <v>bad_client</v>
      </c>
      <c r="AT77" t="s">
        <v>482</v>
      </c>
      <c r="AU77" t="str">
        <f>IF(AND(Dataset!F77="Savings",Dataset!AT77="eligible"),"YES","NO")</f>
        <v>NO</v>
      </c>
      <c r="AW77" s="8"/>
      <c r="AX77" s="12" t="s">
        <v>486</v>
      </c>
      <c r="AY77" s="8" t="s">
        <v>489</v>
      </c>
      <c r="AZ77" s="8"/>
      <c r="BD77" t="str">
        <f t="shared" si="23"/>
        <v>yes</v>
      </c>
    </row>
    <row r="78" spans="1:56" x14ac:dyDescent="0.3">
      <c r="A78" s="2">
        <v>77</v>
      </c>
      <c r="B78" s="2" t="s">
        <v>48</v>
      </c>
      <c r="C78" s="2" t="s">
        <v>67</v>
      </c>
      <c r="D78" s="2">
        <v>40</v>
      </c>
      <c r="E78" s="2" t="s">
        <v>21</v>
      </c>
      <c r="F78" s="2" t="s">
        <v>15</v>
      </c>
      <c r="G78" s="2">
        <v>7000</v>
      </c>
      <c r="H78" s="2">
        <v>68000</v>
      </c>
      <c r="I78" s="2" t="s">
        <v>16</v>
      </c>
      <c r="J78" s="2">
        <v>0</v>
      </c>
      <c r="K78" s="2">
        <v>710</v>
      </c>
      <c r="L78" s="2" t="s">
        <v>17</v>
      </c>
      <c r="M78" s="2" t="s">
        <v>82</v>
      </c>
      <c r="N78" s="2" t="s">
        <v>25</v>
      </c>
      <c r="O78">
        <v>6</v>
      </c>
      <c r="R78" t="e">
        <f t="shared" si="15"/>
        <v>#DIV/0!</v>
      </c>
      <c r="S78" t="str">
        <f t="shared" si="16"/>
        <v>DIVISION ERROR</v>
      </c>
      <c r="U78" t="b">
        <v>0</v>
      </c>
      <c r="W78" t="str">
        <f t="shared" si="17"/>
        <v>EVEN</v>
      </c>
      <c r="Y78">
        <f t="shared" si="18"/>
        <v>120.5</v>
      </c>
      <c r="AB78" t="str">
        <f t="shared" si="19"/>
        <v>Bad_user</v>
      </c>
      <c r="AE78" t="b">
        <f t="shared" si="20"/>
        <v>1</v>
      </c>
      <c r="AG78" t="b">
        <f t="shared" si="21"/>
        <v>0</v>
      </c>
      <c r="AI78" t="str">
        <f>IF(AND(Dataset!G78 &gt;5000,Dataset!H78&gt;7000),"ACTIVE_CONSUMER","INACTIVE_CONSUMER")</f>
        <v>ACTIVE_CONSUMER</v>
      </c>
      <c r="AN78" t="str">
        <f t="shared" si="22"/>
        <v>Not_eligible</v>
      </c>
      <c r="AQ78" t="str">
        <f>IF(AND(E78="M",F78="checking",Dataset!G78&gt;2000,Dataset!K78&gt;500),"good_client","bad_client")</f>
        <v>bad_client</v>
      </c>
      <c r="AT78" t="s">
        <v>482</v>
      </c>
      <c r="AU78" t="str">
        <f>IF(AND(Dataset!F78="Savings",Dataset!AT78="eligible"),"YES","NO")</f>
        <v>NO</v>
      </c>
      <c r="AW78" s="8"/>
      <c r="AX78" s="12" t="s">
        <v>486</v>
      </c>
      <c r="AY78" s="8" t="s">
        <v>490</v>
      </c>
      <c r="AZ78" s="8"/>
      <c r="BD78" t="str">
        <f t="shared" si="23"/>
        <v>yes</v>
      </c>
    </row>
    <row r="79" spans="1:56" x14ac:dyDescent="0.3">
      <c r="A79" s="2">
        <v>78</v>
      </c>
      <c r="B79" s="2" t="s">
        <v>42</v>
      </c>
      <c r="C79" s="2" t="s">
        <v>30</v>
      </c>
      <c r="D79" s="2">
        <v>36</v>
      </c>
      <c r="E79" s="2" t="s">
        <v>14</v>
      </c>
      <c r="F79" s="2" t="s">
        <v>22</v>
      </c>
      <c r="G79" s="2">
        <v>3000</v>
      </c>
      <c r="H79" s="2">
        <v>49000</v>
      </c>
      <c r="I79" s="2" t="s">
        <v>23</v>
      </c>
      <c r="J79" s="2">
        <v>6000</v>
      </c>
      <c r="K79" s="2">
        <v>700</v>
      </c>
      <c r="L79" s="2" t="s">
        <v>24</v>
      </c>
      <c r="M79" s="2" t="s">
        <v>80</v>
      </c>
      <c r="N79" s="2" t="s">
        <v>18</v>
      </c>
      <c r="O79">
        <v>6</v>
      </c>
      <c r="R79">
        <f t="shared" si="15"/>
        <v>8.1666666666666661</v>
      </c>
      <c r="S79">
        <f t="shared" si="16"/>
        <v>8.1666666666666661</v>
      </c>
      <c r="U79" t="b">
        <v>1</v>
      </c>
      <c r="W79" t="str">
        <f t="shared" si="17"/>
        <v>EVEN</v>
      </c>
      <c r="Y79">
        <f t="shared" si="18"/>
        <v>170</v>
      </c>
      <c r="AB79" t="str">
        <f t="shared" si="19"/>
        <v>Good_user</v>
      </c>
      <c r="AE79" t="b">
        <f t="shared" si="20"/>
        <v>0</v>
      </c>
      <c r="AG79" t="b">
        <f t="shared" si="21"/>
        <v>0</v>
      </c>
      <c r="AI79" t="str">
        <f>IF(AND(Dataset!G79 &gt;5000,Dataset!H79&gt;7000),"ACTIVE_CONSUMER","INACTIVE_CONSUMER")</f>
        <v>INACTIVE_CONSUMER</v>
      </c>
      <c r="AN79" t="str">
        <f t="shared" si="22"/>
        <v>Not_eligible</v>
      </c>
      <c r="AQ79" t="str">
        <f>IF(AND(E79="M",F79="checking",Dataset!G79&gt;2000,Dataset!K79&gt;500),"good_client","bad_client")</f>
        <v>bad_client</v>
      </c>
      <c r="AT79" t="s">
        <v>482</v>
      </c>
      <c r="AU79" t="str">
        <f>IF(AND(Dataset!F79="Savings",Dataset!AT79="eligible"),"YES","NO")</f>
        <v>NO</v>
      </c>
      <c r="AW79" s="8"/>
      <c r="AX79" s="12" t="s">
        <v>487</v>
      </c>
      <c r="AY79" s="8" t="s">
        <v>489</v>
      </c>
      <c r="AZ79" s="8"/>
      <c r="BD79" t="str">
        <f t="shared" si="23"/>
        <v>yes</v>
      </c>
    </row>
    <row r="80" spans="1:56" x14ac:dyDescent="0.3">
      <c r="A80" s="2">
        <v>79</v>
      </c>
      <c r="B80" s="2" t="s">
        <v>60</v>
      </c>
      <c r="C80" s="2" t="s">
        <v>61</v>
      </c>
      <c r="D80" s="2">
        <v>29</v>
      </c>
      <c r="E80" s="2" t="s">
        <v>21</v>
      </c>
      <c r="F80" s="2" t="s">
        <v>15</v>
      </c>
      <c r="G80" s="2">
        <v>2000</v>
      </c>
      <c r="H80" s="2">
        <v>45000</v>
      </c>
      <c r="I80" s="2" t="s">
        <v>16</v>
      </c>
      <c r="J80" s="2">
        <v>0</v>
      </c>
      <c r="K80" s="2">
        <v>670</v>
      </c>
      <c r="L80" s="2" t="s">
        <v>28</v>
      </c>
      <c r="M80" s="2" t="s">
        <v>80</v>
      </c>
      <c r="N80" s="2" t="s">
        <v>25</v>
      </c>
      <c r="O80">
        <v>5</v>
      </c>
      <c r="R80" t="e">
        <f t="shared" si="15"/>
        <v>#DIV/0!</v>
      </c>
      <c r="S80" t="str">
        <f t="shared" si="16"/>
        <v>DIVISION ERROR</v>
      </c>
      <c r="U80" t="b">
        <v>0</v>
      </c>
      <c r="W80" t="str">
        <f t="shared" si="17"/>
        <v>ODD</v>
      </c>
      <c r="Y80">
        <f t="shared" si="18"/>
        <v>334</v>
      </c>
      <c r="AB80" t="str">
        <f t="shared" si="19"/>
        <v>Bad_user</v>
      </c>
      <c r="AE80" t="b">
        <f t="shared" si="20"/>
        <v>1</v>
      </c>
      <c r="AG80" t="b">
        <f t="shared" si="21"/>
        <v>0</v>
      </c>
      <c r="AI80" t="str">
        <f>IF(AND(Dataset!G80 &gt;5000,Dataset!H80&gt;7000),"ACTIVE_CONSUMER","INACTIVE_CONSUMER")</f>
        <v>INACTIVE_CONSUMER</v>
      </c>
      <c r="AN80" t="str">
        <f t="shared" si="22"/>
        <v>Not_eligible</v>
      </c>
      <c r="AQ80" t="str">
        <f>IF(AND(E80="M",F80="checking",Dataset!G80&gt;2000,Dataset!K80&gt;500),"good_client","bad_client")</f>
        <v>bad_client</v>
      </c>
      <c r="AT80" t="s">
        <v>482</v>
      </c>
      <c r="AU80" t="str">
        <f>IF(AND(Dataset!F80="Savings",Dataset!AT80="eligible"),"YES","NO")</f>
        <v>NO</v>
      </c>
      <c r="AW80" s="8"/>
      <c r="AX80" s="12" t="s">
        <v>487</v>
      </c>
      <c r="AY80" s="8" t="s">
        <v>490</v>
      </c>
      <c r="AZ80" s="8"/>
      <c r="BD80" t="str">
        <f t="shared" si="23"/>
        <v>yes</v>
      </c>
    </row>
    <row r="81" spans="1:56" x14ac:dyDescent="0.3">
      <c r="A81" s="2">
        <v>80</v>
      </c>
      <c r="B81" s="2" t="s">
        <v>62</v>
      </c>
      <c r="C81" s="2" t="s">
        <v>45</v>
      </c>
      <c r="D81" s="2">
        <v>38</v>
      </c>
      <c r="E81" s="2" t="s">
        <v>14</v>
      </c>
      <c r="F81" s="2" t="s">
        <v>22</v>
      </c>
      <c r="G81" s="2">
        <v>6000</v>
      </c>
      <c r="H81" s="2">
        <v>71000</v>
      </c>
      <c r="I81" s="2" t="s">
        <v>23</v>
      </c>
      <c r="J81" s="2">
        <v>12000</v>
      </c>
      <c r="K81" s="2">
        <v>720</v>
      </c>
      <c r="L81" s="2" t="s">
        <v>31</v>
      </c>
      <c r="M81" s="2" t="s">
        <v>80</v>
      </c>
      <c r="N81" s="2" t="s">
        <v>18</v>
      </c>
      <c r="O81">
        <v>4</v>
      </c>
      <c r="R81">
        <f t="shared" si="15"/>
        <v>5.916666666666667</v>
      </c>
      <c r="S81">
        <f t="shared" si="16"/>
        <v>5.916666666666667</v>
      </c>
      <c r="U81" t="b">
        <v>1</v>
      </c>
      <c r="W81" t="str">
        <f t="shared" si="17"/>
        <v>EVEN</v>
      </c>
      <c r="Y81">
        <f t="shared" si="18"/>
        <v>60</v>
      </c>
      <c r="AB81" t="str">
        <f t="shared" si="19"/>
        <v>Good_user</v>
      </c>
      <c r="AE81" t="b">
        <f t="shared" si="20"/>
        <v>0</v>
      </c>
      <c r="AG81" t="b">
        <f t="shared" si="21"/>
        <v>0</v>
      </c>
      <c r="AI81" t="str">
        <f>IF(AND(Dataset!G81 &gt;5000,Dataset!H81&gt;7000),"ACTIVE_CONSUMER","INACTIVE_CONSUMER")</f>
        <v>ACTIVE_CONSUMER</v>
      </c>
      <c r="AN81" t="str">
        <f t="shared" si="22"/>
        <v>Not_eligible</v>
      </c>
      <c r="AQ81" t="str">
        <f>IF(AND(E81="M",F81="checking",Dataset!G81&gt;2000,Dataset!K81&gt;500),"good_client","bad_client")</f>
        <v>bad_client</v>
      </c>
      <c r="AT81" t="s">
        <v>482</v>
      </c>
      <c r="AU81" t="str">
        <f>IF(AND(Dataset!F81="Savings",Dataset!AT81="eligible"),"YES","NO")</f>
        <v>NO</v>
      </c>
      <c r="AW81" s="8"/>
      <c r="AX81" s="12" t="s">
        <v>487</v>
      </c>
      <c r="AY81" s="8" t="s">
        <v>489</v>
      </c>
      <c r="AZ81" s="8"/>
      <c r="BD81" t="str">
        <f t="shared" si="23"/>
        <v>yes</v>
      </c>
    </row>
    <row r="82" spans="1:56" x14ac:dyDescent="0.3">
      <c r="A82" s="2">
        <v>81</v>
      </c>
      <c r="B82" s="3" t="s">
        <v>38</v>
      </c>
      <c r="C82" s="3" t="s">
        <v>20</v>
      </c>
      <c r="D82" s="2">
        <v>34</v>
      </c>
      <c r="E82" s="2" t="s">
        <v>14</v>
      </c>
      <c r="F82" s="2" t="s">
        <v>15</v>
      </c>
      <c r="G82" s="2">
        <v>2500</v>
      </c>
      <c r="H82" s="2">
        <v>55000</v>
      </c>
      <c r="I82" s="2" t="s">
        <v>16</v>
      </c>
      <c r="J82" s="2">
        <v>0</v>
      </c>
      <c r="K82" s="2">
        <v>720</v>
      </c>
      <c r="L82" s="2" t="s">
        <v>17</v>
      </c>
      <c r="M82" s="2" t="s">
        <v>80</v>
      </c>
      <c r="N82" s="2" t="s">
        <v>18</v>
      </c>
      <c r="O82">
        <v>6</v>
      </c>
      <c r="R82" t="e">
        <f t="shared" si="15"/>
        <v>#DIV/0!</v>
      </c>
      <c r="S82" t="str">
        <f t="shared" si="16"/>
        <v>DIVISION ERROR</v>
      </c>
      <c r="U82" t="b">
        <v>0</v>
      </c>
      <c r="W82" t="str">
        <f t="shared" si="17"/>
        <v>EVEN</v>
      </c>
      <c r="Y82">
        <f t="shared" si="18"/>
        <v>60</v>
      </c>
      <c r="AB82" t="str">
        <f t="shared" si="19"/>
        <v>Good_user</v>
      </c>
      <c r="AE82" t="b">
        <f t="shared" si="20"/>
        <v>1</v>
      </c>
      <c r="AG82" t="b">
        <f t="shared" si="21"/>
        <v>0</v>
      </c>
      <c r="AI82" t="str">
        <f>IF(AND(Dataset!G82 &gt;5000,Dataset!H82&gt;7000),"ACTIVE_CONSUMER","INACTIVE_CONSUMER")</f>
        <v>INACTIVE_CONSUMER</v>
      </c>
      <c r="AN82" t="str">
        <f t="shared" si="22"/>
        <v>Not_eligible</v>
      </c>
      <c r="AQ82" t="str">
        <f>IF(AND(E82="M",F82="checking",Dataset!G82&gt;2000,Dataset!K82&gt;500),"good_client","bad_client")</f>
        <v>good_client</v>
      </c>
      <c r="AT82" t="s">
        <v>482</v>
      </c>
      <c r="AU82" t="str">
        <f>IF(AND(Dataset!F82="Savings",Dataset!AT82="eligible"),"YES","NO")</f>
        <v>NO</v>
      </c>
      <c r="AW82" s="8"/>
      <c r="AX82" s="12" t="s">
        <v>487</v>
      </c>
      <c r="AY82" s="8" t="s">
        <v>489</v>
      </c>
      <c r="AZ82" s="8"/>
      <c r="BD82" t="str">
        <f t="shared" si="23"/>
        <v>yes</v>
      </c>
    </row>
    <row r="83" spans="1:56" x14ac:dyDescent="0.3">
      <c r="A83" s="2">
        <v>82</v>
      </c>
      <c r="B83" s="3" t="s">
        <v>100</v>
      </c>
      <c r="C83" s="3" t="s">
        <v>27</v>
      </c>
      <c r="D83" s="2">
        <v>29</v>
      </c>
      <c r="E83" s="2" t="s">
        <v>21</v>
      </c>
      <c r="F83" s="2" t="s">
        <v>22</v>
      </c>
      <c r="G83" s="2">
        <v>8000</v>
      </c>
      <c r="H83" s="2">
        <v>62000</v>
      </c>
      <c r="I83" s="2" t="s">
        <v>23</v>
      </c>
      <c r="J83" s="2">
        <v>15000</v>
      </c>
      <c r="K83" s="2">
        <v>680</v>
      </c>
      <c r="L83" s="2" t="s">
        <v>24</v>
      </c>
      <c r="M83" s="2" t="s">
        <v>81</v>
      </c>
      <c r="N83" s="2" t="s">
        <v>25</v>
      </c>
      <c r="O83">
        <v>5</v>
      </c>
      <c r="R83">
        <f t="shared" si="15"/>
        <v>4.1333333333333337</v>
      </c>
      <c r="S83">
        <f t="shared" si="16"/>
        <v>4.1333333333333337</v>
      </c>
      <c r="U83" t="b">
        <v>1</v>
      </c>
      <c r="W83" t="str">
        <f t="shared" si="17"/>
        <v>ODD</v>
      </c>
      <c r="Y83">
        <f t="shared" si="18"/>
        <v>286</v>
      </c>
      <c r="AB83" t="str">
        <f t="shared" si="19"/>
        <v>Bad_user</v>
      </c>
      <c r="AE83" t="b">
        <f t="shared" si="20"/>
        <v>0</v>
      </c>
      <c r="AG83" t="b">
        <f t="shared" si="21"/>
        <v>0</v>
      </c>
      <c r="AI83" t="str">
        <f>IF(AND(Dataset!G83 &gt;5000,Dataset!H83&gt;7000),"ACTIVE_CONSUMER","INACTIVE_CONSUMER")</f>
        <v>ACTIVE_CONSUMER</v>
      </c>
      <c r="AN83" t="str">
        <f t="shared" si="22"/>
        <v>Not_eligible</v>
      </c>
      <c r="AQ83" t="str">
        <f>IF(AND(E83="M",F83="checking",Dataset!G83&gt;2000,Dataset!K83&gt;500),"good_client","bad_client")</f>
        <v>bad_client</v>
      </c>
      <c r="AT83" t="s">
        <v>482</v>
      </c>
      <c r="AU83" t="str">
        <f>IF(AND(Dataset!F83="Savings",Dataset!AT83="eligible"),"YES","NO")</f>
        <v>NO</v>
      </c>
      <c r="AW83" s="8"/>
      <c r="AX83" s="12" t="s">
        <v>487</v>
      </c>
      <c r="AY83" s="8" t="s">
        <v>490</v>
      </c>
      <c r="AZ83" s="8"/>
      <c r="BD83" t="str">
        <f t="shared" si="23"/>
        <v>yes</v>
      </c>
    </row>
    <row r="84" spans="1:56" x14ac:dyDescent="0.3">
      <c r="A84" s="2">
        <v>82</v>
      </c>
      <c r="B84" s="3" t="s">
        <v>12</v>
      </c>
      <c r="C84" s="3" t="s">
        <v>30</v>
      </c>
      <c r="D84" s="2">
        <v>45</v>
      </c>
      <c r="E84" s="2" t="s">
        <v>21</v>
      </c>
      <c r="F84" s="2" t="s">
        <v>15</v>
      </c>
      <c r="G84" s="2">
        <v>12000</v>
      </c>
      <c r="H84" s="2">
        <v>75000</v>
      </c>
      <c r="I84" s="2" t="s">
        <v>16</v>
      </c>
      <c r="J84" s="2">
        <v>0</v>
      </c>
      <c r="K84" s="2">
        <v>750</v>
      </c>
      <c r="L84" s="2" t="s">
        <v>28</v>
      </c>
      <c r="M84" s="2" t="s">
        <v>82</v>
      </c>
      <c r="N84" s="2" t="s">
        <v>18</v>
      </c>
      <c r="O84">
        <v>14</v>
      </c>
      <c r="R84" t="e">
        <f t="shared" si="15"/>
        <v>#DIV/0!</v>
      </c>
      <c r="S84" t="str">
        <f t="shared" si="16"/>
        <v>DIVISION ERROR</v>
      </c>
      <c r="U84" t="b">
        <v>0</v>
      </c>
      <c r="W84" t="str">
        <f t="shared" si="17"/>
        <v>ODD</v>
      </c>
      <c r="Y84">
        <f t="shared" si="18"/>
        <v>3</v>
      </c>
      <c r="AB84" t="str">
        <f t="shared" si="19"/>
        <v>Good_user</v>
      </c>
      <c r="AE84" t="b">
        <f t="shared" si="20"/>
        <v>1</v>
      </c>
      <c r="AG84" t="b">
        <f t="shared" si="21"/>
        <v>0</v>
      </c>
      <c r="AI84" t="str">
        <f>IF(AND(Dataset!G84 &gt;5000,Dataset!H84&gt;7000),"ACTIVE_CONSUMER","INACTIVE_CONSUMER")</f>
        <v>ACTIVE_CONSUMER</v>
      </c>
      <c r="AN84" t="str">
        <f t="shared" si="22"/>
        <v>Not_eligible</v>
      </c>
      <c r="AQ84" t="str">
        <f>IF(AND(E84="M",F84="checking",Dataset!G84&gt;2000,Dataset!K84&gt;500),"good_client","bad_client")</f>
        <v>bad_client</v>
      </c>
      <c r="AT84" t="s">
        <v>482</v>
      </c>
      <c r="AU84" t="str">
        <f>IF(AND(Dataset!F84="Savings",Dataset!AT84="eligible"),"YES","NO")</f>
        <v>NO</v>
      </c>
      <c r="AW84" s="8"/>
      <c r="AX84" s="12" t="s">
        <v>486</v>
      </c>
      <c r="AY84" s="8" t="s">
        <v>489</v>
      </c>
      <c r="AZ84" s="8"/>
      <c r="BD84" t="str">
        <f t="shared" si="23"/>
        <v>yes</v>
      </c>
    </row>
    <row r="85" spans="1:56" x14ac:dyDescent="0.3">
      <c r="A85" s="2">
        <v>84</v>
      </c>
      <c r="B85" s="3" t="s">
        <v>101</v>
      </c>
      <c r="C85" s="3" t="s">
        <v>102</v>
      </c>
      <c r="D85" s="2">
        <v>52</v>
      </c>
      <c r="E85" s="2" t="s">
        <v>14</v>
      </c>
      <c r="F85" s="2" t="s">
        <v>22</v>
      </c>
      <c r="G85" s="2">
        <v>3000</v>
      </c>
      <c r="H85" s="2">
        <v>48000</v>
      </c>
      <c r="I85" s="2" t="s">
        <v>23</v>
      </c>
      <c r="J85" s="2">
        <v>5000</v>
      </c>
      <c r="K85" s="2">
        <v>690</v>
      </c>
      <c r="L85" s="2" t="s">
        <v>31</v>
      </c>
      <c r="M85" s="2" t="s">
        <v>80</v>
      </c>
      <c r="N85" s="2" t="s">
        <v>18</v>
      </c>
      <c r="O85">
        <v>12</v>
      </c>
      <c r="R85">
        <f t="shared" si="15"/>
        <v>9.6</v>
      </c>
      <c r="S85">
        <f t="shared" si="16"/>
        <v>9.6</v>
      </c>
      <c r="U85" t="b">
        <v>1</v>
      </c>
      <c r="W85" t="str">
        <f t="shared" si="17"/>
        <v>EVEN</v>
      </c>
      <c r="Y85">
        <f t="shared" si="18"/>
        <v>223.5</v>
      </c>
      <c r="AB85" t="str">
        <f t="shared" si="19"/>
        <v>Good_user</v>
      </c>
      <c r="AE85" t="b">
        <f t="shared" si="20"/>
        <v>0</v>
      </c>
      <c r="AG85" t="b">
        <f t="shared" si="21"/>
        <v>0</v>
      </c>
      <c r="AI85" t="str">
        <f>IF(AND(Dataset!G85 &gt;5000,Dataset!H85&gt;7000),"ACTIVE_CONSUMER","INACTIVE_CONSUMER")</f>
        <v>INACTIVE_CONSUMER</v>
      </c>
      <c r="AN85" t="str">
        <f t="shared" si="22"/>
        <v>Not_eligible</v>
      </c>
      <c r="AQ85" t="str">
        <f>IF(AND(E85="M",F85="checking",Dataset!G85&gt;2000,Dataset!K85&gt;500),"good_client","bad_client")</f>
        <v>bad_client</v>
      </c>
      <c r="AT85" t="s">
        <v>482</v>
      </c>
      <c r="AU85" t="str">
        <f>IF(AND(Dataset!F85="Savings",Dataset!AT85="eligible"),"YES","NO")</f>
        <v>NO</v>
      </c>
      <c r="AW85" s="8"/>
      <c r="AX85" s="12" t="s">
        <v>487</v>
      </c>
      <c r="AY85" s="8" t="s">
        <v>489</v>
      </c>
      <c r="AZ85" s="8"/>
      <c r="BD85" t="str">
        <f t="shared" si="23"/>
        <v>yes</v>
      </c>
    </row>
    <row r="86" spans="1:56" x14ac:dyDescent="0.3">
      <c r="A86" s="2">
        <v>85</v>
      </c>
      <c r="B86" s="3" t="s">
        <v>103</v>
      </c>
      <c r="C86" s="3" t="s">
        <v>104</v>
      </c>
      <c r="D86" s="2">
        <v>37</v>
      </c>
      <c r="E86" s="2" t="s">
        <v>21</v>
      </c>
      <c r="F86" s="2" t="s">
        <v>15</v>
      </c>
      <c r="G86" s="2">
        <v>5000</v>
      </c>
      <c r="H86" s="2">
        <v>58000</v>
      </c>
      <c r="I86" s="2" t="s">
        <v>16</v>
      </c>
      <c r="J86" s="2">
        <v>0</v>
      </c>
      <c r="K86" s="2">
        <v>710</v>
      </c>
      <c r="L86" s="2" t="s">
        <v>17</v>
      </c>
      <c r="M86" s="2" t="s">
        <v>80</v>
      </c>
      <c r="N86" s="2" t="s">
        <v>25</v>
      </c>
      <c r="O86">
        <v>11</v>
      </c>
      <c r="R86" t="e">
        <f t="shared" si="15"/>
        <v>#DIV/0!</v>
      </c>
      <c r="S86" t="str">
        <f t="shared" si="16"/>
        <v>DIVISION ERROR</v>
      </c>
      <c r="U86" t="b">
        <v>0</v>
      </c>
      <c r="W86" t="str">
        <f t="shared" si="17"/>
        <v>ODD</v>
      </c>
      <c r="Y86">
        <f t="shared" si="18"/>
        <v>120.5</v>
      </c>
      <c r="AB86" t="str">
        <f t="shared" si="19"/>
        <v>Bad_user</v>
      </c>
      <c r="AE86" t="b">
        <f t="shared" si="20"/>
        <v>1</v>
      </c>
      <c r="AG86" t="b">
        <f t="shared" si="21"/>
        <v>0</v>
      </c>
      <c r="AI86" t="str">
        <f>IF(AND(Dataset!G86 &gt;5000,Dataset!H86&gt;7000),"ACTIVE_CONSUMER","INACTIVE_CONSUMER")</f>
        <v>INACTIVE_CONSUMER</v>
      </c>
      <c r="AN86" t="str">
        <f t="shared" si="22"/>
        <v>Not_eligible</v>
      </c>
      <c r="AQ86" t="str">
        <f>IF(AND(E86="M",F86="checking",Dataset!G86&gt;2000,Dataset!K86&gt;500),"good_client","bad_client")</f>
        <v>bad_client</v>
      </c>
      <c r="AT86" t="s">
        <v>482</v>
      </c>
      <c r="AU86" t="str">
        <f>IF(AND(Dataset!F86="Savings",Dataset!AT86="eligible"),"YES","NO")</f>
        <v>NO</v>
      </c>
      <c r="AW86" s="8"/>
      <c r="AX86" s="12" t="s">
        <v>487</v>
      </c>
      <c r="AY86" s="8" t="s">
        <v>490</v>
      </c>
      <c r="AZ86" s="8"/>
      <c r="BD86" t="str">
        <f t="shared" si="23"/>
        <v>yes</v>
      </c>
    </row>
    <row r="87" spans="1:56" x14ac:dyDescent="0.3">
      <c r="A87" s="2">
        <v>86</v>
      </c>
      <c r="B87" s="3" t="s">
        <v>105</v>
      </c>
      <c r="C87" s="3" t="s">
        <v>106</v>
      </c>
      <c r="D87" s="2">
        <v>30</v>
      </c>
      <c r="E87" s="2" t="s">
        <v>14</v>
      </c>
      <c r="F87" s="2" t="s">
        <v>22</v>
      </c>
      <c r="G87" s="2">
        <v>6000</v>
      </c>
      <c r="H87" s="2">
        <v>70000</v>
      </c>
      <c r="I87" s="2" t="s">
        <v>23</v>
      </c>
      <c r="J87" s="2">
        <v>20000</v>
      </c>
      <c r="K87" s="2">
        <v>700</v>
      </c>
      <c r="L87" s="2" t="s">
        <v>24</v>
      </c>
      <c r="M87" s="2" t="s">
        <v>80</v>
      </c>
      <c r="N87" s="2" t="s">
        <v>18</v>
      </c>
      <c r="O87">
        <v>8</v>
      </c>
      <c r="R87">
        <f t="shared" si="15"/>
        <v>3.5</v>
      </c>
      <c r="S87">
        <f t="shared" si="16"/>
        <v>3.5</v>
      </c>
      <c r="U87" t="b">
        <v>1</v>
      </c>
      <c r="W87" t="str">
        <f t="shared" si="17"/>
        <v>EVEN</v>
      </c>
      <c r="Y87">
        <f t="shared" si="18"/>
        <v>170</v>
      </c>
      <c r="AB87" t="str">
        <f t="shared" si="19"/>
        <v>Good_user</v>
      </c>
      <c r="AE87" t="b">
        <f t="shared" si="20"/>
        <v>0</v>
      </c>
      <c r="AG87" t="b">
        <f t="shared" si="21"/>
        <v>0</v>
      </c>
      <c r="AI87" t="str">
        <f>IF(AND(Dataset!G87 &gt;5000,Dataset!H87&gt;7000),"ACTIVE_CONSUMER","INACTIVE_CONSUMER")</f>
        <v>ACTIVE_CONSUMER</v>
      </c>
      <c r="AN87" t="str">
        <f t="shared" si="22"/>
        <v>Not_eligible</v>
      </c>
      <c r="AQ87" t="str">
        <f>IF(AND(E87="M",F87="checking",Dataset!G87&gt;2000,Dataset!K87&gt;500),"good_client","bad_client")</f>
        <v>bad_client</v>
      </c>
      <c r="AT87" t="s">
        <v>482</v>
      </c>
      <c r="AU87" t="str">
        <f>IF(AND(Dataset!F87="Savings",Dataset!AT87="eligible"),"YES","NO")</f>
        <v>NO</v>
      </c>
      <c r="AW87" s="8"/>
      <c r="AX87" s="12" t="s">
        <v>487</v>
      </c>
      <c r="AY87" s="8" t="s">
        <v>489</v>
      </c>
      <c r="AZ87" s="8"/>
      <c r="BD87" t="str">
        <f t="shared" si="23"/>
        <v>yes</v>
      </c>
    </row>
    <row r="88" spans="1:56" x14ac:dyDescent="0.3">
      <c r="A88">
        <f t="shared" ref="A88:A151" si="24">ROW()-1</f>
        <v>87</v>
      </c>
      <c r="B88" s="3" t="s">
        <v>29</v>
      </c>
      <c r="C88" s="3" t="s">
        <v>33</v>
      </c>
      <c r="D88" s="2">
        <v>40</v>
      </c>
      <c r="E88" s="2" t="s">
        <v>21</v>
      </c>
      <c r="F88" s="2" t="s">
        <v>15</v>
      </c>
      <c r="G88" s="2">
        <v>15000</v>
      </c>
      <c r="H88" s="2">
        <v>82000</v>
      </c>
      <c r="I88" s="2" t="s">
        <v>16</v>
      </c>
      <c r="J88" s="2">
        <v>0</v>
      </c>
      <c r="K88" s="2">
        <v>730</v>
      </c>
      <c r="L88" s="2" t="s">
        <v>28</v>
      </c>
      <c r="M88" s="2" t="s">
        <v>80</v>
      </c>
      <c r="N88" s="2" t="s">
        <v>25</v>
      </c>
      <c r="O88">
        <v>4</v>
      </c>
      <c r="R88" t="e">
        <f t="shared" si="15"/>
        <v>#DIV/0!</v>
      </c>
      <c r="S88" t="str">
        <f t="shared" si="16"/>
        <v>DIVISION ERROR</v>
      </c>
      <c r="U88" t="b">
        <v>0</v>
      </c>
      <c r="W88" t="str">
        <f t="shared" si="17"/>
        <v>EVEN</v>
      </c>
      <c r="Y88">
        <f t="shared" si="18"/>
        <v>23</v>
      </c>
      <c r="AB88" t="str">
        <f t="shared" si="19"/>
        <v>Bad_user</v>
      </c>
      <c r="AE88" t="b">
        <f t="shared" si="20"/>
        <v>1</v>
      </c>
      <c r="AG88" t="b">
        <f t="shared" si="21"/>
        <v>0</v>
      </c>
      <c r="AI88" t="str">
        <f>IF(AND(Dataset!G88 &gt;5000,Dataset!H88&gt;7000),"ACTIVE_CONSUMER","INACTIVE_CONSUMER")</f>
        <v>ACTIVE_CONSUMER</v>
      </c>
      <c r="AN88" t="str">
        <f t="shared" si="22"/>
        <v>Not_eligible</v>
      </c>
      <c r="AQ88" t="str">
        <f>IF(AND(E88="M",F88="checking",Dataset!G88&gt;2000,Dataset!K88&gt;500),"good_client","bad_client")</f>
        <v>bad_client</v>
      </c>
      <c r="AT88" t="s">
        <v>482</v>
      </c>
      <c r="AU88" t="str">
        <f>IF(AND(Dataset!F88="Savings",Dataset!AT88="eligible"),"YES","NO")</f>
        <v>NO</v>
      </c>
      <c r="AW88" s="8"/>
      <c r="AX88" s="12" t="s">
        <v>487</v>
      </c>
      <c r="AY88" s="8" t="s">
        <v>490</v>
      </c>
      <c r="AZ88" s="8"/>
      <c r="BD88" t="str">
        <f t="shared" si="23"/>
        <v>yes</v>
      </c>
    </row>
    <row r="89" spans="1:56" x14ac:dyDescent="0.3">
      <c r="A89">
        <f t="shared" si="24"/>
        <v>88</v>
      </c>
      <c r="B89" s="3" t="s">
        <v>107</v>
      </c>
      <c r="C89" s="3" t="s">
        <v>108</v>
      </c>
      <c r="D89" s="2">
        <v>25</v>
      </c>
      <c r="E89" s="2" t="s">
        <v>14</v>
      </c>
      <c r="F89" s="2" t="s">
        <v>22</v>
      </c>
      <c r="G89" s="2">
        <v>2000</v>
      </c>
      <c r="H89" s="2">
        <v>43000</v>
      </c>
      <c r="I89" s="2" t="s">
        <v>16</v>
      </c>
      <c r="J89" s="2">
        <v>0</v>
      </c>
      <c r="K89" s="2">
        <v>670</v>
      </c>
      <c r="L89" s="2" t="s">
        <v>31</v>
      </c>
      <c r="M89" s="2" t="s">
        <v>81</v>
      </c>
      <c r="N89" s="2" t="s">
        <v>18</v>
      </c>
      <c r="O89">
        <v>13</v>
      </c>
      <c r="R89" t="e">
        <f t="shared" si="15"/>
        <v>#DIV/0!</v>
      </c>
      <c r="S89" t="str">
        <f t="shared" si="16"/>
        <v>DIVISION ERROR</v>
      </c>
      <c r="U89" t="b">
        <v>0</v>
      </c>
      <c r="W89" t="str">
        <f t="shared" si="17"/>
        <v>ODD</v>
      </c>
      <c r="Y89">
        <f t="shared" si="18"/>
        <v>334</v>
      </c>
      <c r="AB89" t="str">
        <f t="shared" si="19"/>
        <v>Good_user</v>
      </c>
      <c r="AE89" t="b">
        <f t="shared" si="20"/>
        <v>1</v>
      </c>
      <c r="AG89" t="b">
        <f t="shared" si="21"/>
        <v>0</v>
      </c>
      <c r="AI89" t="str">
        <f>IF(AND(Dataset!G89 &gt;5000,Dataset!H89&gt;7000),"ACTIVE_CONSUMER","INACTIVE_CONSUMER")</f>
        <v>INACTIVE_CONSUMER</v>
      </c>
      <c r="AN89" t="str">
        <f t="shared" si="22"/>
        <v>Not_eligible</v>
      </c>
      <c r="AQ89" t="str">
        <f>IF(AND(E89="M",F89="checking",Dataset!G89&gt;2000,Dataset!K89&gt;500),"good_client","bad_client")</f>
        <v>bad_client</v>
      </c>
      <c r="AT89" t="s">
        <v>482</v>
      </c>
      <c r="AU89" t="str">
        <f>IF(AND(Dataset!F89="Savings",Dataset!AT89="eligible"),"YES","NO")</f>
        <v>NO</v>
      </c>
      <c r="AW89" s="8"/>
      <c r="AX89" s="12" t="s">
        <v>487</v>
      </c>
      <c r="AY89" s="8" t="s">
        <v>489</v>
      </c>
      <c r="AZ89" s="8"/>
      <c r="BD89" t="str">
        <f t="shared" si="23"/>
        <v>yes</v>
      </c>
    </row>
    <row r="90" spans="1:56" x14ac:dyDescent="0.3">
      <c r="A90">
        <f t="shared" si="24"/>
        <v>89</v>
      </c>
      <c r="B90" s="3" t="s">
        <v>34</v>
      </c>
      <c r="C90" s="3" t="s">
        <v>109</v>
      </c>
      <c r="D90" s="2">
        <v>31</v>
      </c>
      <c r="E90" s="2" t="s">
        <v>21</v>
      </c>
      <c r="F90" s="2" t="s">
        <v>15</v>
      </c>
      <c r="G90" s="2">
        <v>7000</v>
      </c>
      <c r="H90" s="2">
        <v>55000</v>
      </c>
      <c r="I90" s="2" t="s">
        <v>23</v>
      </c>
      <c r="J90" s="2">
        <v>10000</v>
      </c>
      <c r="K90" s="2">
        <v>720</v>
      </c>
      <c r="L90" s="2" t="s">
        <v>17</v>
      </c>
      <c r="M90" s="2" t="s">
        <v>81</v>
      </c>
      <c r="N90" s="2" t="s">
        <v>18</v>
      </c>
      <c r="O90">
        <v>7</v>
      </c>
      <c r="R90">
        <f t="shared" si="15"/>
        <v>5.5</v>
      </c>
      <c r="S90">
        <f t="shared" si="16"/>
        <v>5.5</v>
      </c>
      <c r="U90" t="b">
        <v>1</v>
      </c>
      <c r="W90" t="str">
        <f t="shared" si="17"/>
        <v>ODD</v>
      </c>
      <c r="Y90">
        <f t="shared" si="18"/>
        <v>60</v>
      </c>
      <c r="AB90" t="str">
        <f t="shared" si="19"/>
        <v>Good_user</v>
      </c>
      <c r="AE90" t="b">
        <f t="shared" si="20"/>
        <v>0</v>
      </c>
      <c r="AG90" t="b">
        <f t="shared" si="21"/>
        <v>0</v>
      </c>
      <c r="AI90" t="str">
        <f>IF(AND(Dataset!G90 &gt;5000,Dataset!H90&gt;7000),"ACTIVE_CONSUMER","INACTIVE_CONSUMER")</f>
        <v>ACTIVE_CONSUMER</v>
      </c>
      <c r="AN90" t="str">
        <f t="shared" si="22"/>
        <v>Not_eligible</v>
      </c>
      <c r="AQ90" t="str">
        <f>IF(AND(E90="M",F90="checking",Dataset!G90&gt;2000,Dataset!K90&gt;500),"good_client","bad_client")</f>
        <v>bad_client</v>
      </c>
      <c r="AT90" t="s">
        <v>482</v>
      </c>
      <c r="AU90" t="str">
        <f>IF(AND(Dataset!F90="Savings",Dataset!AT90="eligible"),"YES","NO")</f>
        <v>NO</v>
      </c>
      <c r="AW90" s="8"/>
      <c r="AX90" s="12" t="s">
        <v>487</v>
      </c>
      <c r="AY90" s="8" t="s">
        <v>489</v>
      </c>
      <c r="AZ90" s="8"/>
      <c r="BD90" t="str">
        <f t="shared" si="23"/>
        <v>yes</v>
      </c>
    </row>
    <row r="91" spans="1:56" x14ac:dyDescent="0.3">
      <c r="A91">
        <f t="shared" si="24"/>
        <v>90</v>
      </c>
      <c r="B91" s="3" t="s">
        <v>110</v>
      </c>
      <c r="C91" s="3" t="s">
        <v>39</v>
      </c>
      <c r="D91" s="2">
        <v>44</v>
      </c>
      <c r="E91" s="2" t="s">
        <v>14</v>
      </c>
      <c r="F91" s="2" t="s">
        <v>22</v>
      </c>
      <c r="G91" s="2">
        <v>11000</v>
      </c>
      <c r="H91" s="2">
        <v>65000</v>
      </c>
      <c r="I91" s="2" t="s">
        <v>16</v>
      </c>
      <c r="J91" s="2">
        <v>0</v>
      </c>
      <c r="K91" s="2">
        <v>740</v>
      </c>
      <c r="L91" s="2" t="s">
        <v>24</v>
      </c>
      <c r="M91" s="2" t="s">
        <v>82</v>
      </c>
      <c r="N91" s="2" t="s">
        <v>25</v>
      </c>
      <c r="O91">
        <v>4</v>
      </c>
      <c r="R91" t="e">
        <f t="shared" si="15"/>
        <v>#DIV/0!</v>
      </c>
      <c r="S91" t="str">
        <f t="shared" si="16"/>
        <v>DIVISION ERROR</v>
      </c>
      <c r="U91" t="b">
        <v>0</v>
      </c>
      <c r="W91" t="str">
        <f t="shared" si="17"/>
        <v>EVEN</v>
      </c>
      <c r="Y91">
        <f t="shared" si="18"/>
        <v>13</v>
      </c>
      <c r="AB91" t="str">
        <f t="shared" si="19"/>
        <v>Bad_user</v>
      </c>
      <c r="AE91" t="b">
        <f t="shared" si="20"/>
        <v>1</v>
      </c>
      <c r="AG91" t="b">
        <f t="shared" si="21"/>
        <v>0</v>
      </c>
      <c r="AI91" t="str">
        <f>IF(AND(Dataset!G91 &gt;5000,Dataset!H91&gt;7000),"ACTIVE_CONSUMER","INACTIVE_CONSUMER")</f>
        <v>ACTIVE_CONSUMER</v>
      </c>
      <c r="AN91" t="str">
        <f t="shared" si="22"/>
        <v>Not_eligible</v>
      </c>
      <c r="AQ91" t="str">
        <f>IF(AND(E91="M",F91="checking",Dataset!G91&gt;2000,Dataset!K91&gt;500),"good_client","bad_client")</f>
        <v>bad_client</v>
      </c>
      <c r="AT91" t="s">
        <v>482</v>
      </c>
      <c r="AU91" t="str">
        <f>IF(AND(Dataset!F91="Savings",Dataset!AT91="eligible"),"YES","NO")</f>
        <v>NO</v>
      </c>
      <c r="AW91" s="8"/>
      <c r="AX91" s="12" t="s">
        <v>486</v>
      </c>
      <c r="AY91" s="8" t="s">
        <v>490</v>
      </c>
      <c r="AZ91" s="8"/>
      <c r="BD91" t="str">
        <f t="shared" si="23"/>
        <v>yes</v>
      </c>
    </row>
    <row r="92" spans="1:56" x14ac:dyDescent="0.3">
      <c r="A92">
        <f t="shared" si="24"/>
        <v>91</v>
      </c>
      <c r="B92" s="3" t="s">
        <v>111</v>
      </c>
      <c r="C92" s="3" t="s">
        <v>35</v>
      </c>
      <c r="D92" s="2">
        <v>28</v>
      </c>
      <c r="E92" s="2" t="s">
        <v>21</v>
      </c>
      <c r="F92" s="2" t="s">
        <v>15</v>
      </c>
      <c r="G92" s="2">
        <v>4500</v>
      </c>
      <c r="H92" s="2">
        <v>47000</v>
      </c>
      <c r="I92" s="2" t="s">
        <v>16</v>
      </c>
      <c r="J92" s="2">
        <v>0</v>
      </c>
      <c r="K92" s="2">
        <v>690</v>
      </c>
      <c r="L92" s="2" t="s">
        <v>28</v>
      </c>
      <c r="M92" s="2" t="s">
        <v>80</v>
      </c>
      <c r="N92" s="2" t="s">
        <v>18</v>
      </c>
      <c r="O92">
        <v>14</v>
      </c>
      <c r="R92" t="e">
        <f t="shared" si="15"/>
        <v>#DIV/0!</v>
      </c>
      <c r="S92" t="str">
        <f t="shared" si="16"/>
        <v>DIVISION ERROR</v>
      </c>
      <c r="U92" t="b">
        <v>0</v>
      </c>
      <c r="W92" t="str">
        <f t="shared" si="17"/>
        <v>EVEN</v>
      </c>
      <c r="Y92">
        <f t="shared" si="18"/>
        <v>223.5</v>
      </c>
      <c r="AB92" t="str">
        <f t="shared" si="19"/>
        <v>Good_user</v>
      </c>
      <c r="AE92" t="b">
        <f t="shared" si="20"/>
        <v>1</v>
      </c>
      <c r="AG92" t="b">
        <f t="shared" si="21"/>
        <v>0</v>
      </c>
      <c r="AI92" t="str">
        <f>IF(AND(Dataset!G92 &gt;5000,Dataset!H92&gt;7000),"ACTIVE_CONSUMER","INACTIVE_CONSUMER")</f>
        <v>INACTIVE_CONSUMER</v>
      </c>
      <c r="AN92" t="str">
        <f t="shared" si="22"/>
        <v>Not_eligible</v>
      </c>
      <c r="AQ92" t="str">
        <f>IF(AND(E92="M",F92="checking",Dataset!G92&gt;2000,Dataset!K92&gt;500),"good_client","bad_client")</f>
        <v>bad_client</v>
      </c>
      <c r="AT92" t="s">
        <v>482</v>
      </c>
      <c r="AU92" t="str">
        <f>IF(AND(Dataset!F92="Savings",Dataset!AT92="eligible"),"YES","NO")</f>
        <v>NO</v>
      </c>
      <c r="AW92" s="8"/>
      <c r="AX92" s="12" t="s">
        <v>487</v>
      </c>
      <c r="AY92" s="8" t="s">
        <v>489</v>
      </c>
      <c r="AZ92" s="8"/>
      <c r="BD92" t="str">
        <f t="shared" si="23"/>
        <v>yes</v>
      </c>
    </row>
    <row r="93" spans="1:56" x14ac:dyDescent="0.3">
      <c r="A93">
        <f t="shared" si="24"/>
        <v>92</v>
      </c>
      <c r="B93" s="3" t="s">
        <v>112</v>
      </c>
      <c r="C93" s="3" t="s">
        <v>41</v>
      </c>
      <c r="D93" s="2">
        <v>39</v>
      </c>
      <c r="E93" s="2" t="s">
        <v>14</v>
      </c>
      <c r="F93" s="2" t="s">
        <v>22</v>
      </c>
      <c r="G93" s="2">
        <v>10000</v>
      </c>
      <c r="H93" s="2">
        <v>72000</v>
      </c>
      <c r="I93" s="2" t="s">
        <v>23</v>
      </c>
      <c r="J93" s="2">
        <v>12000</v>
      </c>
      <c r="K93" s="2">
        <v>700</v>
      </c>
      <c r="L93" s="2" t="s">
        <v>31</v>
      </c>
      <c r="M93" s="2" t="s">
        <v>82</v>
      </c>
      <c r="N93" s="2" t="s">
        <v>18</v>
      </c>
      <c r="O93">
        <v>5</v>
      </c>
      <c r="R93">
        <f t="shared" si="15"/>
        <v>6</v>
      </c>
      <c r="S93">
        <f t="shared" si="16"/>
        <v>6</v>
      </c>
      <c r="U93" t="b">
        <v>1</v>
      </c>
      <c r="W93" t="str">
        <f t="shared" si="17"/>
        <v>ODD</v>
      </c>
      <c r="Y93">
        <f t="shared" si="18"/>
        <v>170</v>
      </c>
      <c r="AB93" t="str">
        <f t="shared" si="19"/>
        <v>Good_user</v>
      </c>
      <c r="AE93" t="b">
        <f t="shared" si="20"/>
        <v>0</v>
      </c>
      <c r="AG93" t="b">
        <f t="shared" si="21"/>
        <v>0</v>
      </c>
      <c r="AI93" t="str">
        <f>IF(AND(Dataset!G93 &gt;5000,Dataset!H93&gt;7000),"ACTIVE_CONSUMER","INACTIVE_CONSUMER")</f>
        <v>ACTIVE_CONSUMER</v>
      </c>
      <c r="AN93" t="str">
        <f t="shared" si="22"/>
        <v>Not_eligible</v>
      </c>
      <c r="AQ93" t="str">
        <f>IF(AND(E93="M",F93="checking",Dataset!G93&gt;2000,Dataset!K93&gt;500),"good_client","bad_client")</f>
        <v>bad_client</v>
      </c>
      <c r="AT93" t="s">
        <v>482</v>
      </c>
      <c r="AU93" t="str">
        <f>IF(AND(Dataset!F93="Savings",Dataset!AT93="eligible"),"YES","NO")</f>
        <v>NO</v>
      </c>
      <c r="AW93" s="8"/>
      <c r="AX93" s="12" t="s">
        <v>486</v>
      </c>
      <c r="AY93" s="8" t="s">
        <v>489</v>
      </c>
      <c r="AZ93" s="8"/>
      <c r="BD93" t="str">
        <f t="shared" si="23"/>
        <v>yes</v>
      </c>
    </row>
    <row r="94" spans="1:56" x14ac:dyDescent="0.3">
      <c r="A94">
        <f t="shared" si="24"/>
        <v>93</v>
      </c>
      <c r="B94" s="3" t="s">
        <v>113</v>
      </c>
      <c r="C94" s="3" t="s">
        <v>114</v>
      </c>
      <c r="D94" s="2">
        <v>26</v>
      </c>
      <c r="E94" s="2" t="s">
        <v>21</v>
      </c>
      <c r="F94" s="2" t="s">
        <v>15</v>
      </c>
      <c r="G94" s="2">
        <v>3500</v>
      </c>
      <c r="H94" s="2">
        <v>53000</v>
      </c>
      <c r="I94" s="2" t="s">
        <v>16</v>
      </c>
      <c r="J94" s="2">
        <v>0</v>
      </c>
      <c r="K94" s="2">
        <v>680</v>
      </c>
      <c r="L94" s="2" t="s">
        <v>17</v>
      </c>
      <c r="M94" s="2" t="s">
        <v>81</v>
      </c>
      <c r="N94" s="2" t="s">
        <v>25</v>
      </c>
      <c r="O94">
        <v>10</v>
      </c>
      <c r="R94" t="e">
        <f t="shared" si="15"/>
        <v>#DIV/0!</v>
      </c>
      <c r="S94" t="str">
        <f t="shared" si="16"/>
        <v>DIVISION ERROR</v>
      </c>
      <c r="U94" t="b">
        <v>0</v>
      </c>
      <c r="W94" t="str">
        <f t="shared" si="17"/>
        <v>EVEN</v>
      </c>
      <c r="Y94">
        <f t="shared" si="18"/>
        <v>286</v>
      </c>
      <c r="AB94" t="str">
        <f t="shared" si="19"/>
        <v>Bad_user</v>
      </c>
      <c r="AE94" t="b">
        <f t="shared" si="20"/>
        <v>1</v>
      </c>
      <c r="AG94" t="b">
        <f t="shared" si="21"/>
        <v>0</v>
      </c>
      <c r="AI94" t="str">
        <f>IF(AND(Dataset!G94 &gt;5000,Dataset!H94&gt;7000),"ACTIVE_CONSUMER","INACTIVE_CONSUMER")</f>
        <v>INACTIVE_CONSUMER</v>
      </c>
      <c r="AN94" t="str">
        <f t="shared" si="22"/>
        <v>Not_eligible</v>
      </c>
      <c r="AQ94" t="str">
        <f>IF(AND(E94="M",F94="checking",Dataset!G94&gt;2000,Dataset!K94&gt;500),"good_client","bad_client")</f>
        <v>bad_client</v>
      </c>
      <c r="AT94" t="s">
        <v>482</v>
      </c>
      <c r="AU94" t="str">
        <f>IF(AND(Dataset!F94="Savings",Dataset!AT94="eligible"),"YES","NO")</f>
        <v>NO</v>
      </c>
      <c r="AW94" s="8"/>
      <c r="AX94" s="12" t="s">
        <v>487</v>
      </c>
      <c r="AY94" s="8" t="s">
        <v>490</v>
      </c>
      <c r="AZ94" s="8"/>
      <c r="BD94" t="str">
        <f t="shared" si="23"/>
        <v>yes</v>
      </c>
    </row>
    <row r="95" spans="1:56" x14ac:dyDescent="0.3">
      <c r="A95">
        <f t="shared" si="24"/>
        <v>94</v>
      </c>
      <c r="B95" s="3" t="s">
        <v>115</v>
      </c>
      <c r="C95" s="3" t="s">
        <v>43</v>
      </c>
      <c r="D95" s="2">
        <v>33</v>
      </c>
      <c r="E95" s="2" t="s">
        <v>14</v>
      </c>
      <c r="F95" s="2" t="s">
        <v>22</v>
      </c>
      <c r="G95" s="2">
        <v>8000</v>
      </c>
      <c r="H95" s="2">
        <v>60000</v>
      </c>
      <c r="I95" s="2" t="s">
        <v>23</v>
      </c>
      <c r="J95" s="2">
        <v>8000</v>
      </c>
      <c r="K95" s="2">
        <v>710</v>
      </c>
      <c r="L95" s="2" t="s">
        <v>24</v>
      </c>
      <c r="M95" s="2" t="s">
        <v>80</v>
      </c>
      <c r="N95" s="2" t="s">
        <v>18</v>
      </c>
      <c r="O95">
        <v>10</v>
      </c>
      <c r="R95">
        <f t="shared" si="15"/>
        <v>7.5</v>
      </c>
      <c r="S95">
        <f t="shared" si="16"/>
        <v>7.5</v>
      </c>
      <c r="U95" t="b">
        <v>1</v>
      </c>
      <c r="W95" t="str">
        <f t="shared" si="17"/>
        <v>ODD</v>
      </c>
      <c r="Y95">
        <f t="shared" si="18"/>
        <v>120.5</v>
      </c>
      <c r="AB95" t="str">
        <f t="shared" si="19"/>
        <v>Good_user</v>
      </c>
      <c r="AE95" t="b">
        <f t="shared" si="20"/>
        <v>0</v>
      </c>
      <c r="AG95" t="b">
        <f t="shared" si="21"/>
        <v>0</v>
      </c>
      <c r="AI95" t="str">
        <f>IF(AND(Dataset!G95 &gt;5000,Dataset!H95&gt;7000),"ACTIVE_CONSUMER","INACTIVE_CONSUMER")</f>
        <v>ACTIVE_CONSUMER</v>
      </c>
      <c r="AN95" t="str">
        <f t="shared" si="22"/>
        <v>Not_eligible</v>
      </c>
      <c r="AQ95" t="str">
        <f>IF(AND(E95="M",F95="checking",Dataset!G95&gt;2000,Dataset!K95&gt;500),"good_client","bad_client")</f>
        <v>bad_client</v>
      </c>
      <c r="AT95" t="s">
        <v>482</v>
      </c>
      <c r="AU95" t="str">
        <f>IF(AND(Dataset!F95="Savings",Dataset!AT95="eligible"),"YES","NO")</f>
        <v>NO</v>
      </c>
      <c r="AW95" s="8"/>
      <c r="AX95" s="12" t="s">
        <v>487</v>
      </c>
      <c r="AY95" s="8" t="s">
        <v>489</v>
      </c>
      <c r="AZ95" s="8"/>
      <c r="BD95" t="str">
        <f t="shared" si="23"/>
        <v>yes</v>
      </c>
    </row>
    <row r="96" spans="1:56" x14ac:dyDescent="0.3">
      <c r="A96">
        <f t="shared" si="24"/>
        <v>95</v>
      </c>
      <c r="B96" s="3" t="s">
        <v>116</v>
      </c>
      <c r="C96" s="3" t="s">
        <v>117</v>
      </c>
      <c r="D96" s="2">
        <v>46</v>
      </c>
      <c r="E96" s="2" t="s">
        <v>21</v>
      </c>
      <c r="F96" s="2" t="s">
        <v>15</v>
      </c>
      <c r="G96" s="2">
        <v>13000</v>
      </c>
      <c r="H96" s="2">
        <v>85000</v>
      </c>
      <c r="I96" s="2" t="s">
        <v>16</v>
      </c>
      <c r="J96" s="2">
        <v>0</v>
      </c>
      <c r="K96" s="2">
        <v>740</v>
      </c>
      <c r="L96" s="2" t="s">
        <v>28</v>
      </c>
      <c r="M96" s="2" t="s">
        <v>82</v>
      </c>
      <c r="N96" s="2" t="s">
        <v>25</v>
      </c>
      <c r="O96">
        <v>7</v>
      </c>
      <c r="R96" t="e">
        <f t="shared" si="15"/>
        <v>#DIV/0!</v>
      </c>
      <c r="S96" t="str">
        <f t="shared" si="16"/>
        <v>DIVISION ERROR</v>
      </c>
      <c r="U96" t="b">
        <v>0</v>
      </c>
      <c r="W96" t="str">
        <f t="shared" si="17"/>
        <v>EVEN</v>
      </c>
      <c r="Y96">
        <f t="shared" si="18"/>
        <v>13</v>
      </c>
      <c r="AB96" t="str">
        <f t="shared" si="19"/>
        <v>Bad_user</v>
      </c>
      <c r="AE96" t="b">
        <f t="shared" si="20"/>
        <v>1</v>
      </c>
      <c r="AG96" t="b">
        <f t="shared" si="21"/>
        <v>0</v>
      </c>
      <c r="AI96" t="str">
        <f>IF(AND(Dataset!G96 &gt;5000,Dataset!H96&gt;7000),"ACTIVE_CONSUMER","INACTIVE_CONSUMER")</f>
        <v>ACTIVE_CONSUMER</v>
      </c>
      <c r="AN96" t="str">
        <f t="shared" si="22"/>
        <v>Not_eligible</v>
      </c>
      <c r="AQ96" t="str">
        <f>IF(AND(E96="M",F96="checking",Dataset!G96&gt;2000,Dataset!K96&gt;500),"good_client","bad_client")</f>
        <v>bad_client</v>
      </c>
      <c r="AT96" t="s">
        <v>482</v>
      </c>
      <c r="AU96" t="str">
        <f>IF(AND(Dataset!F96="Savings",Dataset!AT96="eligible"),"YES","NO")</f>
        <v>NO</v>
      </c>
      <c r="AW96" s="8"/>
      <c r="AX96" s="12" t="s">
        <v>486</v>
      </c>
      <c r="AY96" s="8" t="s">
        <v>490</v>
      </c>
      <c r="AZ96" s="8"/>
      <c r="BD96" t="str">
        <f t="shared" si="23"/>
        <v>yes</v>
      </c>
    </row>
    <row r="97" spans="1:56" x14ac:dyDescent="0.3">
      <c r="A97">
        <f t="shared" si="24"/>
        <v>96</v>
      </c>
      <c r="B97" s="3" t="s">
        <v>118</v>
      </c>
      <c r="C97" s="3" t="s">
        <v>119</v>
      </c>
      <c r="D97" s="2">
        <v>52</v>
      </c>
      <c r="E97" s="2" t="s">
        <v>14</v>
      </c>
      <c r="F97" s="2" t="s">
        <v>22</v>
      </c>
      <c r="G97" s="2">
        <v>4000</v>
      </c>
      <c r="H97" s="2">
        <v>49000</v>
      </c>
      <c r="I97" s="2" t="s">
        <v>23</v>
      </c>
      <c r="J97" s="2">
        <v>7000</v>
      </c>
      <c r="K97" s="2">
        <v>690</v>
      </c>
      <c r="L97" s="2" t="s">
        <v>31</v>
      </c>
      <c r="M97" s="2" t="s">
        <v>80</v>
      </c>
      <c r="N97" s="2" t="s">
        <v>18</v>
      </c>
      <c r="O97">
        <v>5</v>
      </c>
      <c r="R97">
        <f t="shared" si="15"/>
        <v>7</v>
      </c>
      <c r="S97">
        <f t="shared" si="16"/>
        <v>7</v>
      </c>
      <c r="U97" t="b">
        <v>1</v>
      </c>
      <c r="W97" t="str">
        <f t="shared" si="17"/>
        <v>EVEN</v>
      </c>
      <c r="Y97">
        <f t="shared" si="18"/>
        <v>223.5</v>
      </c>
      <c r="AB97" t="str">
        <f t="shared" si="19"/>
        <v>Good_user</v>
      </c>
      <c r="AE97" t="b">
        <f t="shared" si="20"/>
        <v>0</v>
      </c>
      <c r="AG97" t="b">
        <f t="shared" si="21"/>
        <v>0</v>
      </c>
      <c r="AI97" t="str">
        <f>IF(AND(Dataset!G97 &gt;5000,Dataset!H97&gt;7000),"ACTIVE_CONSUMER","INACTIVE_CONSUMER")</f>
        <v>INACTIVE_CONSUMER</v>
      </c>
      <c r="AN97" t="str">
        <f t="shared" si="22"/>
        <v>Not_eligible</v>
      </c>
      <c r="AQ97" t="str">
        <f>IF(AND(E97="M",F97="checking",Dataset!G97&gt;2000,Dataset!K97&gt;500),"good_client","bad_client")</f>
        <v>bad_client</v>
      </c>
      <c r="AT97" t="s">
        <v>482</v>
      </c>
      <c r="AU97" t="str">
        <f>IF(AND(Dataset!F97="Savings",Dataset!AT97="eligible"),"YES","NO")</f>
        <v>NO</v>
      </c>
      <c r="AW97" s="8"/>
      <c r="AX97" s="12" t="s">
        <v>487</v>
      </c>
      <c r="AY97" s="8" t="s">
        <v>489</v>
      </c>
      <c r="AZ97" s="8"/>
      <c r="BD97" t="str">
        <f t="shared" si="23"/>
        <v>yes</v>
      </c>
    </row>
    <row r="98" spans="1:56" x14ac:dyDescent="0.3">
      <c r="A98">
        <f t="shared" si="24"/>
        <v>97</v>
      </c>
      <c r="B98" s="3" t="s">
        <v>43</v>
      </c>
      <c r="C98" s="3" t="s">
        <v>120</v>
      </c>
      <c r="D98" s="2">
        <v>24</v>
      </c>
      <c r="E98" s="2" t="s">
        <v>14</v>
      </c>
      <c r="F98" s="2" t="s">
        <v>15</v>
      </c>
      <c r="G98" s="2">
        <v>2200</v>
      </c>
      <c r="H98" s="2">
        <v>45000</v>
      </c>
      <c r="I98" s="2" t="s">
        <v>16</v>
      </c>
      <c r="J98" s="2">
        <v>0</v>
      </c>
      <c r="K98" s="2">
        <v>670</v>
      </c>
      <c r="L98" s="2" t="s">
        <v>17</v>
      </c>
      <c r="M98" s="2" t="s">
        <v>81</v>
      </c>
      <c r="N98" s="2" t="s">
        <v>25</v>
      </c>
      <c r="O98">
        <v>15</v>
      </c>
      <c r="R98" t="e">
        <f t="shared" si="15"/>
        <v>#DIV/0!</v>
      </c>
      <c r="S98" t="str">
        <f t="shared" si="16"/>
        <v>DIVISION ERROR</v>
      </c>
      <c r="U98" t="b">
        <v>0</v>
      </c>
      <c r="W98" t="str">
        <f t="shared" si="17"/>
        <v>EVEN</v>
      </c>
      <c r="Y98">
        <f t="shared" si="18"/>
        <v>334</v>
      </c>
      <c r="AB98" t="str">
        <f t="shared" si="19"/>
        <v>Bad_user</v>
      </c>
      <c r="AE98" t="b">
        <f t="shared" si="20"/>
        <v>1</v>
      </c>
      <c r="AG98" t="b">
        <f t="shared" si="21"/>
        <v>0</v>
      </c>
      <c r="AI98" t="str">
        <f>IF(AND(Dataset!G98 &gt;5000,Dataset!H98&gt;7000),"ACTIVE_CONSUMER","INACTIVE_CONSUMER")</f>
        <v>INACTIVE_CONSUMER</v>
      </c>
      <c r="AN98" t="str">
        <f t="shared" si="22"/>
        <v>Not_eligible</v>
      </c>
      <c r="AQ98" t="str">
        <f>IF(AND(E98="M",F98="checking",Dataset!G98&gt;2000,Dataset!K98&gt;500),"good_client","bad_client")</f>
        <v>good_client</v>
      </c>
      <c r="AT98" t="s">
        <v>482</v>
      </c>
      <c r="AU98" t="str">
        <f>IF(AND(Dataset!F98="Savings",Dataset!AT98="eligible"),"YES","NO")</f>
        <v>NO</v>
      </c>
      <c r="AW98" s="8"/>
      <c r="AX98" s="12" t="s">
        <v>487</v>
      </c>
      <c r="AY98" s="8" t="s">
        <v>490</v>
      </c>
      <c r="AZ98" s="8"/>
      <c r="BD98" t="str">
        <f t="shared" si="23"/>
        <v>yes</v>
      </c>
    </row>
    <row r="99" spans="1:56" x14ac:dyDescent="0.3">
      <c r="A99">
        <f t="shared" si="24"/>
        <v>98</v>
      </c>
      <c r="B99" s="3" t="s">
        <v>32</v>
      </c>
      <c r="C99" s="3" t="s">
        <v>121</v>
      </c>
      <c r="D99" s="2">
        <v>38</v>
      </c>
      <c r="E99" s="2" t="s">
        <v>14</v>
      </c>
      <c r="F99" s="2" t="s">
        <v>22</v>
      </c>
      <c r="G99" s="2">
        <v>15000</v>
      </c>
      <c r="H99" s="2">
        <v>77000</v>
      </c>
      <c r="I99" s="2" t="s">
        <v>23</v>
      </c>
      <c r="J99" s="2">
        <v>15000</v>
      </c>
      <c r="K99" s="2">
        <v>720</v>
      </c>
      <c r="L99" s="2" t="s">
        <v>24</v>
      </c>
      <c r="M99" s="2" t="s">
        <v>82</v>
      </c>
      <c r="N99" s="2" t="s">
        <v>18</v>
      </c>
      <c r="O99">
        <v>4</v>
      </c>
      <c r="R99">
        <f t="shared" si="15"/>
        <v>5.1333333333333337</v>
      </c>
      <c r="S99">
        <f t="shared" si="16"/>
        <v>5.1333333333333337</v>
      </c>
      <c r="U99" t="b">
        <v>1</v>
      </c>
      <c r="W99" t="str">
        <f t="shared" si="17"/>
        <v>EVEN</v>
      </c>
      <c r="Y99">
        <f t="shared" si="18"/>
        <v>60</v>
      </c>
      <c r="AB99" t="str">
        <f t="shared" si="19"/>
        <v>Good_user</v>
      </c>
      <c r="AE99" t="b">
        <f t="shared" si="20"/>
        <v>0</v>
      </c>
      <c r="AG99" t="b">
        <f t="shared" si="21"/>
        <v>0</v>
      </c>
      <c r="AI99" t="str">
        <f>IF(AND(Dataset!G99 &gt;5000,Dataset!H99&gt;7000),"ACTIVE_CONSUMER","INACTIVE_CONSUMER")</f>
        <v>ACTIVE_CONSUMER</v>
      </c>
      <c r="AN99" t="str">
        <f t="shared" si="22"/>
        <v>Not_eligible</v>
      </c>
      <c r="AQ99" t="str">
        <f>IF(AND(E99="M",F99="checking",Dataset!G99&gt;2000,Dataset!K99&gt;500),"good_client","bad_client")</f>
        <v>bad_client</v>
      </c>
      <c r="AT99" t="s">
        <v>482</v>
      </c>
      <c r="AU99" t="str">
        <f>IF(AND(Dataset!F99="Savings",Dataset!AT99="eligible"),"YES","NO")</f>
        <v>NO</v>
      </c>
      <c r="AW99" s="8"/>
      <c r="AX99" s="12" t="s">
        <v>486</v>
      </c>
      <c r="AY99" s="8" t="s">
        <v>489</v>
      </c>
      <c r="AZ99" s="8"/>
      <c r="BD99" t="str">
        <f t="shared" si="23"/>
        <v>yes</v>
      </c>
    </row>
    <row r="100" spans="1:56" x14ac:dyDescent="0.3">
      <c r="A100">
        <f t="shared" si="24"/>
        <v>99</v>
      </c>
      <c r="B100" s="3" t="s">
        <v>122</v>
      </c>
      <c r="C100" s="3" t="s">
        <v>78</v>
      </c>
      <c r="D100" s="2">
        <v>27</v>
      </c>
      <c r="E100" s="2" t="s">
        <v>21</v>
      </c>
      <c r="F100" s="2" t="s">
        <v>15</v>
      </c>
      <c r="G100" s="2">
        <v>4000</v>
      </c>
      <c r="H100" s="2">
        <v>50000</v>
      </c>
      <c r="I100" s="2" t="s">
        <v>16</v>
      </c>
      <c r="J100" s="2">
        <v>0</v>
      </c>
      <c r="K100" s="2">
        <v>680</v>
      </c>
      <c r="L100" s="2" t="s">
        <v>28</v>
      </c>
      <c r="M100" s="2" t="s">
        <v>80</v>
      </c>
      <c r="N100" s="2" t="s">
        <v>25</v>
      </c>
      <c r="O100">
        <v>15</v>
      </c>
      <c r="R100" t="e">
        <f t="shared" si="15"/>
        <v>#DIV/0!</v>
      </c>
      <c r="S100" t="str">
        <f t="shared" si="16"/>
        <v>DIVISION ERROR</v>
      </c>
      <c r="U100" t="b">
        <v>0</v>
      </c>
      <c r="W100" t="str">
        <f t="shared" si="17"/>
        <v>ODD</v>
      </c>
      <c r="Y100">
        <f t="shared" si="18"/>
        <v>286</v>
      </c>
      <c r="AB100" t="str">
        <f t="shared" si="19"/>
        <v>Bad_user</v>
      </c>
      <c r="AE100" t="b">
        <f t="shared" si="20"/>
        <v>1</v>
      </c>
      <c r="AG100" t="b">
        <f t="shared" si="21"/>
        <v>0</v>
      </c>
      <c r="AI100" t="str">
        <f>IF(AND(Dataset!G100 &gt;5000,Dataset!H100&gt;7000),"ACTIVE_CONSUMER","INACTIVE_CONSUMER")</f>
        <v>INACTIVE_CONSUMER</v>
      </c>
      <c r="AN100" t="str">
        <f t="shared" si="22"/>
        <v>Not_eligible</v>
      </c>
      <c r="AQ100" t="str">
        <f>IF(AND(E100="M",F100="checking",Dataset!G100&gt;2000,Dataset!K100&gt;500),"good_client","bad_client")</f>
        <v>bad_client</v>
      </c>
      <c r="AT100" t="s">
        <v>482</v>
      </c>
      <c r="AU100" t="str">
        <f>IF(AND(Dataset!F100="Savings",Dataset!AT100="eligible"),"YES","NO")</f>
        <v>NO</v>
      </c>
      <c r="AW100" s="8"/>
      <c r="AX100" s="12" t="s">
        <v>487</v>
      </c>
      <c r="AY100" s="8" t="s">
        <v>490</v>
      </c>
      <c r="AZ100" s="8"/>
      <c r="BD100" t="str">
        <f t="shared" si="23"/>
        <v>yes</v>
      </c>
    </row>
    <row r="101" spans="1:56" x14ac:dyDescent="0.3">
      <c r="A101">
        <f t="shared" si="24"/>
        <v>100</v>
      </c>
      <c r="B101" s="3" t="s">
        <v>123</v>
      </c>
      <c r="C101" s="3" t="s">
        <v>45</v>
      </c>
      <c r="D101" s="2">
        <v>41</v>
      </c>
      <c r="E101" s="2" t="s">
        <v>14</v>
      </c>
      <c r="F101" s="2" t="s">
        <v>22</v>
      </c>
      <c r="G101" s="2">
        <v>9000</v>
      </c>
      <c r="H101" s="2">
        <v>69000</v>
      </c>
      <c r="I101" s="2" t="s">
        <v>23</v>
      </c>
      <c r="J101" s="2">
        <v>12000</v>
      </c>
      <c r="K101" s="2">
        <v>700</v>
      </c>
      <c r="L101" s="2" t="s">
        <v>31</v>
      </c>
      <c r="M101" s="2" t="s">
        <v>82</v>
      </c>
      <c r="N101" s="2" t="s">
        <v>18</v>
      </c>
      <c r="O101" t="s">
        <v>302</v>
      </c>
      <c r="R101">
        <f t="shared" si="15"/>
        <v>5.75</v>
      </c>
      <c r="S101">
        <f t="shared" si="16"/>
        <v>5.75</v>
      </c>
      <c r="U101" t="b">
        <v>1</v>
      </c>
      <c r="W101" t="str">
        <f t="shared" si="17"/>
        <v>ODD</v>
      </c>
      <c r="Y101">
        <f t="shared" si="18"/>
        <v>170</v>
      </c>
      <c r="AB101" t="str">
        <f t="shared" si="19"/>
        <v>Good_user</v>
      </c>
      <c r="AE101" t="b">
        <f t="shared" si="20"/>
        <v>0</v>
      </c>
      <c r="AG101" t="b">
        <f t="shared" si="21"/>
        <v>1</v>
      </c>
      <c r="AI101" t="str">
        <f>IF(AND(Dataset!G101 &gt;5000,Dataset!H101&gt;7000),"ACTIVE_CONSUMER","INACTIVE_CONSUMER")</f>
        <v>ACTIVE_CONSUMER</v>
      </c>
      <c r="AN101" t="str">
        <f t="shared" si="22"/>
        <v>Not_eligible</v>
      </c>
      <c r="AQ101" t="str">
        <f>IF(AND(E101="M",F101="checking",Dataset!G101&gt;2000,Dataset!K101&gt;500),"good_client","bad_client")</f>
        <v>bad_client</v>
      </c>
      <c r="AT101" t="s">
        <v>482</v>
      </c>
      <c r="AU101" t="str">
        <f>IF(AND(Dataset!F101="Savings",Dataset!AT101="eligible"),"YES","NO")</f>
        <v>NO</v>
      </c>
      <c r="AW101" s="8"/>
      <c r="AX101" s="12" t="s">
        <v>486</v>
      </c>
      <c r="AY101" s="8" t="s">
        <v>489</v>
      </c>
      <c r="AZ101" s="8"/>
      <c r="BD101" t="str">
        <f t="shared" si="23"/>
        <v>yes</v>
      </c>
    </row>
    <row r="102" spans="1:56" x14ac:dyDescent="0.3">
      <c r="A102">
        <f t="shared" si="24"/>
        <v>101</v>
      </c>
      <c r="B102" s="3" t="s">
        <v>124</v>
      </c>
      <c r="C102" s="3" t="s">
        <v>37</v>
      </c>
      <c r="D102" s="2">
        <v>32</v>
      </c>
      <c r="E102" s="2" t="s">
        <v>21</v>
      </c>
      <c r="F102" s="2" t="s">
        <v>15</v>
      </c>
      <c r="G102" s="2">
        <v>5500</v>
      </c>
      <c r="H102" s="2">
        <v>54000</v>
      </c>
      <c r="I102" s="2" t="s">
        <v>16</v>
      </c>
      <c r="J102" s="2">
        <v>0</v>
      </c>
      <c r="K102" s="2">
        <v>710</v>
      </c>
      <c r="L102" s="2" t="s">
        <v>17</v>
      </c>
      <c r="M102" s="2" t="s">
        <v>80</v>
      </c>
      <c r="N102" s="2" t="s">
        <v>25</v>
      </c>
      <c r="O102">
        <v>14</v>
      </c>
      <c r="R102" t="e">
        <f t="shared" si="15"/>
        <v>#DIV/0!</v>
      </c>
      <c r="S102" t="str">
        <f t="shared" si="16"/>
        <v>DIVISION ERROR</v>
      </c>
      <c r="U102" t="b">
        <v>0</v>
      </c>
      <c r="W102" t="str">
        <f t="shared" si="17"/>
        <v>EVEN</v>
      </c>
      <c r="Y102">
        <f t="shared" si="18"/>
        <v>120.5</v>
      </c>
      <c r="AB102" t="str">
        <f t="shared" si="19"/>
        <v>Bad_user</v>
      </c>
      <c r="AE102" t="b">
        <f t="shared" si="20"/>
        <v>1</v>
      </c>
      <c r="AG102" t="b">
        <f t="shared" si="21"/>
        <v>0</v>
      </c>
      <c r="AI102" t="str">
        <f>IF(AND(Dataset!G102 &gt;5000,Dataset!H102&gt;7000),"ACTIVE_CONSUMER","INACTIVE_CONSUMER")</f>
        <v>ACTIVE_CONSUMER</v>
      </c>
      <c r="AN102" t="str">
        <f t="shared" si="22"/>
        <v>Not_eligible</v>
      </c>
      <c r="AQ102" t="str">
        <f>IF(AND(E102="M",F102="checking",Dataset!G102&gt;2000,Dataset!K102&gt;500),"good_client","bad_client")</f>
        <v>bad_client</v>
      </c>
      <c r="AT102" t="s">
        <v>482</v>
      </c>
      <c r="AU102" t="str">
        <f>IF(AND(Dataset!F102="Savings",Dataset!AT102="eligible"),"YES","NO")</f>
        <v>NO</v>
      </c>
      <c r="AW102" s="8"/>
      <c r="AX102" s="12" t="s">
        <v>487</v>
      </c>
      <c r="AY102" s="8" t="s">
        <v>490</v>
      </c>
      <c r="AZ102" s="8"/>
      <c r="BD102" t="str">
        <f t="shared" si="23"/>
        <v>yes</v>
      </c>
    </row>
    <row r="103" spans="1:56" x14ac:dyDescent="0.3">
      <c r="A103">
        <f t="shared" si="24"/>
        <v>102</v>
      </c>
      <c r="B103" s="3" t="s">
        <v>125</v>
      </c>
      <c r="C103" s="3" t="s">
        <v>47</v>
      </c>
      <c r="D103" s="2">
        <v>47</v>
      </c>
      <c r="E103" s="2" t="s">
        <v>14</v>
      </c>
      <c r="F103" s="2" t="s">
        <v>22</v>
      </c>
      <c r="G103" s="2">
        <v>7000</v>
      </c>
      <c r="H103" s="2">
        <v>74000</v>
      </c>
      <c r="I103" s="2" t="s">
        <v>23</v>
      </c>
      <c r="J103" s="2">
        <v>10000</v>
      </c>
      <c r="K103" s="2">
        <v>690</v>
      </c>
      <c r="L103" s="2" t="s">
        <v>24</v>
      </c>
      <c r="M103" s="2" t="s">
        <v>81</v>
      </c>
      <c r="N103" s="2" t="s">
        <v>18</v>
      </c>
      <c r="O103">
        <v>8</v>
      </c>
      <c r="R103">
        <f t="shared" si="15"/>
        <v>7.4</v>
      </c>
      <c r="S103">
        <f t="shared" si="16"/>
        <v>7.4</v>
      </c>
      <c r="U103" t="b">
        <v>1</v>
      </c>
      <c r="W103" t="str">
        <f t="shared" si="17"/>
        <v>ODD</v>
      </c>
      <c r="Y103">
        <f t="shared" si="18"/>
        <v>223.5</v>
      </c>
      <c r="AB103" t="str">
        <f t="shared" si="19"/>
        <v>Good_user</v>
      </c>
      <c r="AE103" t="b">
        <f t="shared" si="20"/>
        <v>0</v>
      </c>
      <c r="AG103" t="b">
        <f t="shared" si="21"/>
        <v>0</v>
      </c>
      <c r="AI103" t="str">
        <f>IF(AND(Dataset!G103 &gt;5000,Dataset!H103&gt;7000),"ACTIVE_CONSUMER","INACTIVE_CONSUMER")</f>
        <v>ACTIVE_CONSUMER</v>
      </c>
      <c r="AN103" t="str">
        <f t="shared" si="22"/>
        <v>Not_eligible</v>
      </c>
      <c r="AQ103" t="str">
        <f>IF(AND(E103="M",F103="checking",Dataset!G103&gt;2000,Dataset!K103&gt;500),"good_client","bad_client")</f>
        <v>bad_client</v>
      </c>
      <c r="AT103" t="s">
        <v>482</v>
      </c>
      <c r="AU103" t="str">
        <f>IF(AND(Dataset!F103="Savings",Dataset!AT103="eligible"),"YES","NO")</f>
        <v>NO</v>
      </c>
      <c r="AW103" s="8"/>
      <c r="AX103" s="12" t="s">
        <v>487</v>
      </c>
      <c r="AY103" s="8" t="s">
        <v>489</v>
      </c>
      <c r="AZ103" s="8"/>
      <c r="BD103" t="str">
        <f t="shared" si="23"/>
        <v>yes</v>
      </c>
    </row>
    <row r="104" spans="1:56" x14ac:dyDescent="0.3">
      <c r="A104">
        <f t="shared" si="24"/>
        <v>103</v>
      </c>
      <c r="B104" s="3" t="s">
        <v>54</v>
      </c>
      <c r="C104" s="3" t="s">
        <v>49</v>
      </c>
      <c r="D104" s="2">
        <v>35</v>
      </c>
      <c r="E104" s="2" t="s">
        <v>21</v>
      </c>
      <c r="F104" s="2" t="s">
        <v>15</v>
      </c>
      <c r="G104" s="2">
        <v>6000</v>
      </c>
      <c r="H104" s="2">
        <v>68000</v>
      </c>
      <c r="I104" s="2" t="s">
        <v>16</v>
      </c>
      <c r="J104" s="2">
        <v>0</v>
      </c>
      <c r="K104" s="2">
        <v>720</v>
      </c>
      <c r="L104" s="2" t="s">
        <v>28</v>
      </c>
      <c r="M104" s="2" t="s">
        <v>81</v>
      </c>
      <c r="N104" s="2" t="s">
        <v>25</v>
      </c>
      <c r="O104">
        <v>15</v>
      </c>
      <c r="R104" t="e">
        <f t="shared" si="15"/>
        <v>#DIV/0!</v>
      </c>
      <c r="S104" t="str">
        <f t="shared" si="16"/>
        <v>DIVISION ERROR</v>
      </c>
      <c r="U104" t="b">
        <v>0</v>
      </c>
      <c r="W104" t="str">
        <f t="shared" si="17"/>
        <v>ODD</v>
      </c>
      <c r="Y104">
        <f t="shared" si="18"/>
        <v>60</v>
      </c>
      <c r="AB104" t="str">
        <f t="shared" si="19"/>
        <v>Bad_user</v>
      </c>
      <c r="AE104" t="b">
        <f t="shared" si="20"/>
        <v>1</v>
      </c>
      <c r="AG104" t="b">
        <f t="shared" si="21"/>
        <v>0</v>
      </c>
      <c r="AI104" t="str">
        <f>IF(AND(Dataset!G104 &gt;5000,Dataset!H104&gt;7000),"ACTIVE_CONSUMER","INACTIVE_CONSUMER")</f>
        <v>ACTIVE_CONSUMER</v>
      </c>
      <c r="AN104" t="str">
        <f t="shared" si="22"/>
        <v>Not_eligible</v>
      </c>
      <c r="AQ104" t="str">
        <f>IF(AND(E104="M",F104="checking",Dataset!G104&gt;2000,Dataset!K104&gt;500),"good_client","bad_client")</f>
        <v>bad_client</v>
      </c>
      <c r="AT104" t="s">
        <v>482</v>
      </c>
      <c r="AU104" t="str">
        <f>IF(AND(Dataset!F104="Savings",Dataset!AT104="eligible"),"YES","NO")</f>
        <v>NO</v>
      </c>
      <c r="AW104" s="8"/>
      <c r="AX104" s="12" t="s">
        <v>487</v>
      </c>
      <c r="AY104" s="8" t="s">
        <v>490</v>
      </c>
      <c r="AZ104" s="8"/>
      <c r="BD104" t="str">
        <f t="shared" si="23"/>
        <v>yes</v>
      </c>
    </row>
    <row r="105" spans="1:56" x14ac:dyDescent="0.3">
      <c r="A105">
        <f t="shared" si="24"/>
        <v>104</v>
      </c>
      <c r="B105" s="3" t="s">
        <v>126</v>
      </c>
      <c r="C105" s="3" t="s">
        <v>51</v>
      </c>
      <c r="D105" s="2">
        <v>29</v>
      </c>
      <c r="E105" s="2" t="s">
        <v>14</v>
      </c>
      <c r="F105" s="2" t="s">
        <v>22</v>
      </c>
      <c r="G105" s="2">
        <v>2500</v>
      </c>
      <c r="H105" s="2">
        <v>45000</v>
      </c>
      <c r="I105" s="2" t="s">
        <v>23</v>
      </c>
      <c r="J105" s="2">
        <v>5000</v>
      </c>
      <c r="K105" s="2">
        <v>670</v>
      </c>
      <c r="L105" s="2" t="s">
        <v>31</v>
      </c>
      <c r="M105" s="2" t="s">
        <v>81</v>
      </c>
      <c r="N105" s="2" t="s">
        <v>18</v>
      </c>
      <c r="O105">
        <v>9</v>
      </c>
      <c r="R105">
        <f t="shared" si="15"/>
        <v>9</v>
      </c>
      <c r="S105">
        <f t="shared" si="16"/>
        <v>9</v>
      </c>
      <c r="U105" t="b">
        <v>1</v>
      </c>
      <c r="W105" t="str">
        <f t="shared" si="17"/>
        <v>ODD</v>
      </c>
      <c r="Y105">
        <f t="shared" si="18"/>
        <v>334</v>
      </c>
      <c r="AB105" t="str">
        <f t="shared" si="19"/>
        <v>Good_user</v>
      </c>
      <c r="AE105" t="b">
        <f t="shared" si="20"/>
        <v>0</v>
      </c>
      <c r="AG105" t="b">
        <f t="shared" si="21"/>
        <v>0</v>
      </c>
      <c r="AI105" t="str">
        <f>IF(AND(Dataset!G105 &gt;5000,Dataset!H105&gt;7000),"ACTIVE_CONSUMER","INACTIVE_CONSUMER")</f>
        <v>INACTIVE_CONSUMER</v>
      </c>
      <c r="AN105" t="str">
        <f t="shared" si="22"/>
        <v>Not_eligible</v>
      </c>
      <c r="AQ105" t="str">
        <f>IF(AND(E105="M",F105="checking",Dataset!G105&gt;2000,Dataset!K105&gt;500),"good_client","bad_client")</f>
        <v>bad_client</v>
      </c>
      <c r="AT105" t="s">
        <v>482</v>
      </c>
      <c r="AU105" t="str">
        <f>IF(AND(Dataset!F105="Savings",Dataset!AT105="eligible"),"YES","NO")</f>
        <v>NO</v>
      </c>
      <c r="AW105" s="8"/>
      <c r="AX105" s="12" t="s">
        <v>487</v>
      </c>
      <c r="AY105" s="8" t="s">
        <v>489</v>
      </c>
      <c r="AZ105" s="8"/>
      <c r="BD105" t="str">
        <f t="shared" si="23"/>
        <v>yes</v>
      </c>
    </row>
    <row r="106" spans="1:56" x14ac:dyDescent="0.3">
      <c r="A106">
        <f t="shared" si="24"/>
        <v>105</v>
      </c>
      <c r="B106" s="3" t="s">
        <v>127</v>
      </c>
      <c r="C106" s="3" t="s">
        <v>128</v>
      </c>
      <c r="D106" s="2">
        <v>42</v>
      </c>
      <c r="E106" s="2" t="s">
        <v>21</v>
      </c>
      <c r="F106" s="2" t="s">
        <v>15</v>
      </c>
      <c r="G106" s="2">
        <v>11000</v>
      </c>
      <c r="H106" s="2">
        <v>80000</v>
      </c>
      <c r="I106" s="2" t="s">
        <v>16</v>
      </c>
      <c r="J106" s="2">
        <v>0</v>
      </c>
      <c r="K106" s="2">
        <v>740</v>
      </c>
      <c r="L106" s="2" t="s">
        <v>17</v>
      </c>
      <c r="M106" s="2" t="s">
        <v>82</v>
      </c>
      <c r="N106" s="2" t="s">
        <v>25</v>
      </c>
      <c r="O106">
        <v>4</v>
      </c>
      <c r="R106" t="e">
        <f t="shared" si="15"/>
        <v>#DIV/0!</v>
      </c>
      <c r="S106" t="str">
        <f t="shared" si="16"/>
        <v>DIVISION ERROR</v>
      </c>
      <c r="U106" t="b">
        <v>0</v>
      </c>
      <c r="W106" t="str">
        <f t="shared" si="17"/>
        <v>EVEN</v>
      </c>
      <c r="Y106">
        <f t="shared" si="18"/>
        <v>13</v>
      </c>
      <c r="AB106" t="str">
        <f t="shared" si="19"/>
        <v>Bad_user</v>
      </c>
      <c r="AE106" t="b">
        <f t="shared" si="20"/>
        <v>1</v>
      </c>
      <c r="AG106" t="b">
        <f t="shared" si="21"/>
        <v>0</v>
      </c>
      <c r="AI106" t="str">
        <f>IF(AND(Dataset!G106 &gt;5000,Dataset!H106&gt;7000),"ACTIVE_CONSUMER","INACTIVE_CONSUMER")</f>
        <v>ACTIVE_CONSUMER</v>
      </c>
      <c r="AN106" t="str">
        <f t="shared" si="22"/>
        <v>Not_eligible</v>
      </c>
      <c r="AQ106" t="str">
        <f>IF(AND(E106="M",F106="checking",Dataset!G106&gt;2000,Dataset!K106&gt;500),"good_client","bad_client")</f>
        <v>bad_client</v>
      </c>
      <c r="AT106" t="s">
        <v>482</v>
      </c>
      <c r="AU106" t="str">
        <f>IF(AND(Dataset!F106="Savings",Dataset!AT106="eligible"),"YES","NO")</f>
        <v>NO</v>
      </c>
      <c r="AW106" s="8"/>
      <c r="AX106" s="12" t="s">
        <v>486</v>
      </c>
      <c r="AY106" s="8" t="s">
        <v>490</v>
      </c>
      <c r="AZ106" s="8"/>
      <c r="BD106" t="str">
        <f t="shared" si="23"/>
        <v>yes</v>
      </c>
    </row>
    <row r="107" spans="1:56" x14ac:dyDescent="0.3">
      <c r="A107">
        <f t="shared" si="24"/>
        <v>106</v>
      </c>
      <c r="B107" s="3" t="s">
        <v>129</v>
      </c>
      <c r="C107" s="3" t="s">
        <v>53</v>
      </c>
      <c r="D107" s="2">
        <v>50</v>
      </c>
      <c r="E107" s="2" t="s">
        <v>14</v>
      </c>
      <c r="F107" s="2" t="s">
        <v>22</v>
      </c>
      <c r="G107" s="2">
        <v>3000</v>
      </c>
      <c r="H107" s="2">
        <v>47000</v>
      </c>
      <c r="I107" s="2" t="s">
        <v>23</v>
      </c>
      <c r="J107" s="2">
        <v>8000</v>
      </c>
      <c r="K107" s="2">
        <v>680</v>
      </c>
      <c r="L107" s="2" t="s">
        <v>24</v>
      </c>
      <c r="M107" s="2" t="s">
        <v>82</v>
      </c>
      <c r="N107" s="2" t="s">
        <v>18</v>
      </c>
      <c r="O107">
        <v>13</v>
      </c>
      <c r="R107">
        <f t="shared" si="15"/>
        <v>5.875</v>
      </c>
      <c r="S107">
        <f t="shared" si="16"/>
        <v>5.875</v>
      </c>
      <c r="U107" t="b">
        <v>1</v>
      </c>
      <c r="W107" t="str">
        <f t="shared" si="17"/>
        <v>EVEN</v>
      </c>
      <c r="Y107">
        <f t="shared" si="18"/>
        <v>286</v>
      </c>
      <c r="AB107" t="str">
        <f t="shared" si="19"/>
        <v>Good_user</v>
      </c>
      <c r="AE107" t="b">
        <f t="shared" si="20"/>
        <v>0</v>
      </c>
      <c r="AG107" t="b">
        <f t="shared" si="21"/>
        <v>0</v>
      </c>
      <c r="AI107" t="str">
        <f>IF(AND(Dataset!G107 &gt;5000,Dataset!H107&gt;7000),"ACTIVE_CONSUMER","INACTIVE_CONSUMER")</f>
        <v>INACTIVE_CONSUMER</v>
      </c>
      <c r="AN107" t="str">
        <f t="shared" si="22"/>
        <v>Not_eligible</v>
      </c>
      <c r="AQ107" t="str">
        <f>IF(AND(E107="M",F107="checking",Dataset!G107&gt;2000,Dataset!K107&gt;500),"good_client","bad_client")</f>
        <v>bad_client</v>
      </c>
      <c r="AT107" t="s">
        <v>482</v>
      </c>
      <c r="AU107" t="str">
        <f>IF(AND(Dataset!F107="Savings",Dataset!AT107="eligible"),"YES","NO")</f>
        <v>NO</v>
      </c>
      <c r="AW107" s="8"/>
      <c r="AX107" s="12" t="s">
        <v>486</v>
      </c>
      <c r="AY107" s="8" t="s">
        <v>489</v>
      </c>
      <c r="AZ107" s="8"/>
      <c r="BD107" t="str">
        <f t="shared" si="23"/>
        <v>yes</v>
      </c>
    </row>
    <row r="108" spans="1:56" x14ac:dyDescent="0.3">
      <c r="A108">
        <f t="shared" si="24"/>
        <v>107</v>
      </c>
      <c r="B108" s="3" t="s">
        <v>130</v>
      </c>
      <c r="C108" s="3" t="s">
        <v>131</v>
      </c>
      <c r="D108" s="2">
        <v>28</v>
      </c>
      <c r="E108" s="2" t="s">
        <v>21</v>
      </c>
      <c r="F108" s="2" t="s">
        <v>15</v>
      </c>
      <c r="G108" s="2">
        <v>4000</v>
      </c>
      <c r="H108" s="2">
        <v>53000</v>
      </c>
      <c r="I108" s="2" t="s">
        <v>16</v>
      </c>
      <c r="J108" s="2">
        <v>0</v>
      </c>
      <c r="K108" s="2">
        <v>690</v>
      </c>
      <c r="L108" s="2" t="s">
        <v>28</v>
      </c>
      <c r="M108" s="2" t="s">
        <v>80</v>
      </c>
      <c r="N108" s="2" t="s">
        <v>25</v>
      </c>
      <c r="O108">
        <v>5</v>
      </c>
      <c r="R108" t="e">
        <f t="shared" si="15"/>
        <v>#DIV/0!</v>
      </c>
      <c r="S108" t="str">
        <f t="shared" si="16"/>
        <v>DIVISION ERROR</v>
      </c>
      <c r="U108" t="b">
        <v>0</v>
      </c>
      <c r="W108" t="str">
        <f t="shared" si="17"/>
        <v>EVEN</v>
      </c>
      <c r="Y108">
        <f t="shared" si="18"/>
        <v>223.5</v>
      </c>
      <c r="AB108" t="str">
        <f t="shared" si="19"/>
        <v>Bad_user</v>
      </c>
      <c r="AE108" t="b">
        <f t="shared" si="20"/>
        <v>1</v>
      </c>
      <c r="AG108" t="b">
        <f t="shared" si="21"/>
        <v>0</v>
      </c>
      <c r="AI108" t="str">
        <f>IF(AND(Dataset!G108 &gt;5000,Dataset!H108&gt;7000),"ACTIVE_CONSUMER","INACTIVE_CONSUMER")</f>
        <v>INACTIVE_CONSUMER</v>
      </c>
      <c r="AN108" t="str">
        <f t="shared" si="22"/>
        <v>Not_eligible</v>
      </c>
      <c r="AQ108" t="str">
        <f>IF(AND(E108="M",F108="checking",Dataset!G108&gt;2000,Dataset!K108&gt;500),"good_client","bad_client")</f>
        <v>bad_client</v>
      </c>
      <c r="AT108" t="s">
        <v>482</v>
      </c>
      <c r="AU108" t="str">
        <f>IF(AND(Dataset!F108="Savings",Dataset!AT108="eligible"),"YES","NO")</f>
        <v>NO</v>
      </c>
      <c r="AW108" s="8"/>
      <c r="AX108" s="12" t="s">
        <v>487</v>
      </c>
      <c r="AY108" s="8" t="s">
        <v>490</v>
      </c>
      <c r="AZ108" s="8"/>
      <c r="BD108" t="str">
        <f t="shared" si="23"/>
        <v>yes</v>
      </c>
    </row>
    <row r="109" spans="1:56" x14ac:dyDescent="0.3">
      <c r="A109">
        <f t="shared" si="24"/>
        <v>108</v>
      </c>
      <c r="B109" s="3" t="s">
        <v>132</v>
      </c>
      <c r="C109" s="3" t="s">
        <v>55</v>
      </c>
      <c r="D109" s="2">
        <v>36</v>
      </c>
      <c r="E109" s="2" t="s">
        <v>14</v>
      </c>
      <c r="F109" s="2" t="s">
        <v>22</v>
      </c>
      <c r="G109" s="2">
        <v>9000</v>
      </c>
      <c r="H109" s="2">
        <v>71000</v>
      </c>
      <c r="I109" s="2" t="s">
        <v>23</v>
      </c>
      <c r="J109" s="2">
        <v>13000</v>
      </c>
      <c r="K109" s="2">
        <v>700</v>
      </c>
      <c r="L109" s="2" t="s">
        <v>31</v>
      </c>
      <c r="M109" s="2" t="s">
        <v>81</v>
      </c>
      <c r="N109" s="2" t="s">
        <v>18</v>
      </c>
      <c r="O109">
        <v>11</v>
      </c>
      <c r="R109">
        <f t="shared" si="15"/>
        <v>5.4615384615384617</v>
      </c>
      <c r="S109">
        <f t="shared" si="16"/>
        <v>5.4615384615384617</v>
      </c>
      <c r="U109" t="b">
        <v>1</v>
      </c>
      <c r="W109" t="str">
        <f t="shared" si="17"/>
        <v>EVEN</v>
      </c>
      <c r="Y109">
        <f t="shared" si="18"/>
        <v>170</v>
      </c>
      <c r="AB109" t="str">
        <f t="shared" si="19"/>
        <v>Good_user</v>
      </c>
      <c r="AE109" t="b">
        <f t="shared" si="20"/>
        <v>0</v>
      </c>
      <c r="AG109" t="b">
        <f t="shared" si="21"/>
        <v>0</v>
      </c>
      <c r="AI109" t="str">
        <f>IF(AND(Dataset!G109 &gt;5000,Dataset!H109&gt;7000),"ACTIVE_CONSUMER","INACTIVE_CONSUMER")</f>
        <v>ACTIVE_CONSUMER</v>
      </c>
      <c r="AN109" t="str">
        <f t="shared" si="22"/>
        <v>Not_eligible</v>
      </c>
      <c r="AQ109" t="str">
        <f>IF(AND(E109="M",F109="checking",Dataset!G109&gt;2000,Dataset!K109&gt;500),"good_client","bad_client")</f>
        <v>bad_client</v>
      </c>
      <c r="AT109" t="s">
        <v>482</v>
      </c>
      <c r="AU109" t="str">
        <f>IF(AND(Dataset!F109="Savings",Dataset!AT109="eligible"),"YES","NO")</f>
        <v>NO</v>
      </c>
      <c r="AW109" s="8"/>
      <c r="AX109" s="12" t="s">
        <v>487</v>
      </c>
      <c r="AY109" s="8" t="s">
        <v>489</v>
      </c>
      <c r="AZ109" s="8"/>
      <c r="BD109" t="str">
        <f t="shared" si="23"/>
        <v>yes</v>
      </c>
    </row>
    <row r="110" spans="1:56" x14ac:dyDescent="0.3">
      <c r="A110">
        <f t="shared" si="24"/>
        <v>109</v>
      </c>
      <c r="B110" s="3" t="s">
        <v>133</v>
      </c>
      <c r="C110" s="3" t="s">
        <v>59</v>
      </c>
      <c r="D110" s="2">
        <v>41</v>
      </c>
      <c r="E110" s="2" t="s">
        <v>21</v>
      </c>
      <c r="F110" s="2" t="s">
        <v>15</v>
      </c>
      <c r="G110" s="2">
        <v>8000</v>
      </c>
      <c r="H110" s="2">
        <v>67000</v>
      </c>
      <c r="I110" s="2" t="s">
        <v>16</v>
      </c>
      <c r="J110" s="2">
        <v>0</v>
      </c>
      <c r="K110" s="2">
        <v>710</v>
      </c>
      <c r="L110" s="2" t="s">
        <v>17</v>
      </c>
      <c r="M110" s="2" t="s">
        <v>82</v>
      </c>
      <c r="N110" s="2" t="s">
        <v>25</v>
      </c>
      <c r="O110">
        <v>4</v>
      </c>
      <c r="R110" t="e">
        <f t="shared" si="15"/>
        <v>#DIV/0!</v>
      </c>
      <c r="S110" t="str">
        <f t="shared" si="16"/>
        <v>DIVISION ERROR</v>
      </c>
      <c r="U110" t="b">
        <v>0</v>
      </c>
      <c r="W110" t="str">
        <f t="shared" si="17"/>
        <v>ODD</v>
      </c>
      <c r="Y110">
        <f t="shared" si="18"/>
        <v>120.5</v>
      </c>
      <c r="AB110" t="str">
        <f t="shared" si="19"/>
        <v>Bad_user</v>
      </c>
      <c r="AE110" t="b">
        <f t="shared" si="20"/>
        <v>1</v>
      </c>
      <c r="AG110" t="b">
        <f t="shared" si="21"/>
        <v>0</v>
      </c>
      <c r="AI110" t="str">
        <f>IF(AND(Dataset!G110 &gt;5000,Dataset!H110&gt;7000),"ACTIVE_CONSUMER","INACTIVE_CONSUMER")</f>
        <v>ACTIVE_CONSUMER</v>
      </c>
      <c r="AN110" t="str">
        <f t="shared" si="22"/>
        <v>Not_eligible</v>
      </c>
      <c r="AQ110" t="str">
        <f>IF(AND(E110="M",F110="checking",Dataset!G110&gt;2000,Dataset!K110&gt;500),"good_client","bad_client")</f>
        <v>bad_client</v>
      </c>
      <c r="AT110" t="s">
        <v>482</v>
      </c>
      <c r="AU110" t="str">
        <f>IF(AND(Dataset!F110="Savings",Dataset!AT110="eligible"),"YES","NO")</f>
        <v>NO</v>
      </c>
      <c r="AW110" s="8"/>
      <c r="AX110" s="12" t="s">
        <v>486</v>
      </c>
      <c r="AY110" s="8" t="s">
        <v>490</v>
      </c>
      <c r="AZ110" s="8"/>
      <c r="BD110" t="str">
        <f t="shared" si="23"/>
        <v>yes</v>
      </c>
    </row>
    <row r="111" spans="1:56" x14ac:dyDescent="0.3">
      <c r="A111">
        <f t="shared" si="24"/>
        <v>110</v>
      </c>
      <c r="B111" s="3" t="s">
        <v>134</v>
      </c>
      <c r="C111" s="3" t="s">
        <v>57</v>
      </c>
      <c r="D111" s="2">
        <v>30</v>
      </c>
      <c r="E111" s="2" t="s">
        <v>14</v>
      </c>
      <c r="F111" s="2" t="s">
        <v>22</v>
      </c>
      <c r="G111" s="2">
        <v>5000</v>
      </c>
      <c r="H111" s="2">
        <v>55000</v>
      </c>
      <c r="I111" s="2" t="s">
        <v>23</v>
      </c>
      <c r="J111" s="2">
        <v>7000</v>
      </c>
      <c r="K111" s="2">
        <v>690</v>
      </c>
      <c r="L111" s="2" t="s">
        <v>24</v>
      </c>
      <c r="M111" s="2" t="s">
        <v>82</v>
      </c>
      <c r="N111" s="2" t="s">
        <v>18</v>
      </c>
      <c r="O111">
        <v>14</v>
      </c>
      <c r="R111">
        <f t="shared" si="15"/>
        <v>7.8571428571428568</v>
      </c>
      <c r="S111">
        <f t="shared" si="16"/>
        <v>7.8571428571428568</v>
      </c>
      <c r="U111" t="b">
        <v>1</v>
      </c>
      <c r="W111" t="str">
        <f t="shared" si="17"/>
        <v>EVEN</v>
      </c>
      <c r="Y111">
        <f t="shared" si="18"/>
        <v>223.5</v>
      </c>
      <c r="AB111" t="str">
        <f t="shared" si="19"/>
        <v>Good_user</v>
      </c>
      <c r="AE111" t="b">
        <f t="shared" si="20"/>
        <v>0</v>
      </c>
      <c r="AG111" t="b">
        <f t="shared" si="21"/>
        <v>0</v>
      </c>
      <c r="AI111" t="str">
        <f>IF(AND(Dataset!G111 &gt;5000,Dataset!H111&gt;7000),"ACTIVE_CONSUMER","INACTIVE_CONSUMER")</f>
        <v>INACTIVE_CONSUMER</v>
      </c>
      <c r="AN111" t="str">
        <f t="shared" si="22"/>
        <v>Not_eligible</v>
      </c>
      <c r="AQ111" t="str">
        <f>IF(AND(E111="M",F111="checking",Dataset!G111&gt;2000,Dataset!K111&gt;500),"good_client","bad_client")</f>
        <v>bad_client</v>
      </c>
      <c r="AT111" t="s">
        <v>482</v>
      </c>
      <c r="AU111" t="str">
        <f>IF(AND(Dataset!F111="Savings",Dataset!AT111="eligible"),"YES","NO")</f>
        <v>NO</v>
      </c>
      <c r="AW111" s="8"/>
      <c r="AX111" s="12" t="s">
        <v>486</v>
      </c>
      <c r="AY111" s="8" t="s">
        <v>489</v>
      </c>
      <c r="AZ111" s="8"/>
      <c r="BD111" t="str">
        <f t="shared" si="23"/>
        <v>yes</v>
      </c>
    </row>
    <row r="112" spans="1:56" x14ac:dyDescent="0.3">
      <c r="A112">
        <f t="shared" si="24"/>
        <v>111</v>
      </c>
      <c r="B112" s="3" t="s">
        <v>135</v>
      </c>
      <c r="C112" s="3" t="s">
        <v>61</v>
      </c>
      <c r="D112" s="2">
        <v>29</v>
      </c>
      <c r="E112" s="2" t="s">
        <v>21</v>
      </c>
      <c r="F112" s="2" t="s">
        <v>15</v>
      </c>
      <c r="G112" s="2">
        <v>3000</v>
      </c>
      <c r="H112" s="2">
        <v>48000</v>
      </c>
      <c r="I112" s="2" t="s">
        <v>16</v>
      </c>
      <c r="J112" s="2">
        <v>0</v>
      </c>
      <c r="K112" s="2">
        <v>670</v>
      </c>
      <c r="L112" s="2" t="s">
        <v>28</v>
      </c>
      <c r="M112" s="2" t="s">
        <v>80</v>
      </c>
      <c r="N112" s="2" t="s">
        <v>25</v>
      </c>
      <c r="O112">
        <v>7</v>
      </c>
      <c r="R112" t="e">
        <f t="shared" si="15"/>
        <v>#DIV/0!</v>
      </c>
      <c r="S112" t="str">
        <f t="shared" si="16"/>
        <v>DIVISION ERROR</v>
      </c>
      <c r="U112" t="b">
        <v>0</v>
      </c>
      <c r="W112" t="str">
        <f t="shared" si="17"/>
        <v>ODD</v>
      </c>
      <c r="Y112">
        <f t="shared" si="18"/>
        <v>334</v>
      </c>
      <c r="AB112" t="str">
        <f t="shared" si="19"/>
        <v>Bad_user</v>
      </c>
      <c r="AE112" t="b">
        <f t="shared" si="20"/>
        <v>1</v>
      </c>
      <c r="AG112" t="b">
        <f t="shared" si="21"/>
        <v>0</v>
      </c>
      <c r="AI112" t="str">
        <f>IF(AND(Dataset!G112 &gt;5000,Dataset!H112&gt;7000),"ACTIVE_CONSUMER","INACTIVE_CONSUMER")</f>
        <v>INACTIVE_CONSUMER</v>
      </c>
      <c r="AN112" t="str">
        <f t="shared" si="22"/>
        <v>Not_eligible</v>
      </c>
      <c r="AQ112" t="str">
        <f>IF(AND(E112="M",F112="checking",Dataset!G112&gt;2000,Dataset!K112&gt;500),"good_client","bad_client")</f>
        <v>bad_client</v>
      </c>
      <c r="AT112" t="s">
        <v>482</v>
      </c>
      <c r="AU112" t="str">
        <f>IF(AND(Dataset!F112="Savings",Dataset!AT112="eligible"),"YES","NO")</f>
        <v>NO</v>
      </c>
      <c r="AW112" s="8"/>
      <c r="AX112" s="12" t="s">
        <v>487</v>
      </c>
      <c r="AY112" s="8" t="s">
        <v>490</v>
      </c>
      <c r="AZ112" s="8"/>
      <c r="BD112" t="str">
        <f t="shared" si="23"/>
        <v>yes</v>
      </c>
    </row>
    <row r="113" spans="1:56" x14ac:dyDescent="0.3">
      <c r="A113">
        <f t="shared" si="24"/>
        <v>112</v>
      </c>
      <c r="B113" s="3" t="s">
        <v>136</v>
      </c>
      <c r="C113" s="3" t="s">
        <v>137</v>
      </c>
      <c r="D113" s="2">
        <v>34</v>
      </c>
      <c r="E113" s="2" t="s">
        <v>14</v>
      </c>
      <c r="F113" s="2" t="s">
        <v>22</v>
      </c>
      <c r="G113" s="2">
        <v>11000</v>
      </c>
      <c r="H113" s="2">
        <v>62000</v>
      </c>
      <c r="I113" s="2" t="s">
        <v>23</v>
      </c>
      <c r="J113" s="2">
        <v>12000</v>
      </c>
      <c r="K113" s="2">
        <v>720</v>
      </c>
      <c r="L113" s="2" t="s">
        <v>31</v>
      </c>
      <c r="M113" s="2" t="s">
        <v>80</v>
      </c>
      <c r="N113" s="2" t="s">
        <v>18</v>
      </c>
      <c r="O113">
        <v>6</v>
      </c>
      <c r="R113">
        <f t="shared" si="15"/>
        <v>5.166666666666667</v>
      </c>
      <c r="S113">
        <f t="shared" si="16"/>
        <v>5.166666666666667</v>
      </c>
      <c r="U113" t="b">
        <v>1</v>
      </c>
      <c r="W113" t="str">
        <f t="shared" si="17"/>
        <v>EVEN</v>
      </c>
      <c r="Y113">
        <f t="shared" si="18"/>
        <v>60</v>
      </c>
      <c r="AB113" t="str">
        <f t="shared" si="19"/>
        <v>Good_user</v>
      </c>
      <c r="AE113" t="b">
        <f t="shared" si="20"/>
        <v>0</v>
      </c>
      <c r="AG113" t="b">
        <f t="shared" si="21"/>
        <v>0</v>
      </c>
      <c r="AI113" t="str">
        <f>IF(AND(Dataset!G113 &gt;5000,Dataset!H113&gt;7000),"ACTIVE_CONSUMER","INACTIVE_CONSUMER")</f>
        <v>ACTIVE_CONSUMER</v>
      </c>
      <c r="AN113" t="str">
        <f t="shared" si="22"/>
        <v>Not_eligible</v>
      </c>
      <c r="AQ113" t="str">
        <f>IF(AND(E113="M",F113="checking",Dataset!G113&gt;2000,Dataset!K113&gt;500),"good_client","bad_client")</f>
        <v>bad_client</v>
      </c>
      <c r="AT113" t="s">
        <v>482</v>
      </c>
      <c r="AU113" t="str">
        <f>IF(AND(Dataset!F113="Savings",Dataset!AT113="eligible"),"YES","NO")</f>
        <v>NO</v>
      </c>
      <c r="AW113" s="8"/>
      <c r="AX113" s="12" t="s">
        <v>487</v>
      </c>
      <c r="AY113" s="8" t="s">
        <v>489</v>
      </c>
      <c r="AZ113" s="8"/>
      <c r="BD113" t="str">
        <f t="shared" si="23"/>
        <v>yes</v>
      </c>
    </row>
    <row r="114" spans="1:56" x14ac:dyDescent="0.3">
      <c r="A114">
        <f t="shared" si="24"/>
        <v>113</v>
      </c>
      <c r="B114" s="3" t="s">
        <v>138</v>
      </c>
      <c r="C114" s="3" t="s">
        <v>63</v>
      </c>
      <c r="D114" s="2">
        <v>37</v>
      </c>
      <c r="E114" s="2" t="s">
        <v>21</v>
      </c>
      <c r="F114" s="2" t="s">
        <v>15</v>
      </c>
      <c r="G114" s="2">
        <v>5500</v>
      </c>
      <c r="H114" s="2">
        <v>69000</v>
      </c>
      <c r="I114" s="2" t="s">
        <v>16</v>
      </c>
      <c r="J114" s="2">
        <v>0</v>
      </c>
      <c r="K114" s="2">
        <v>710</v>
      </c>
      <c r="L114" s="2" t="s">
        <v>17</v>
      </c>
      <c r="M114" s="2" t="s">
        <v>80</v>
      </c>
      <c r="N114" s="2" t="s">
        <v>25</v>
      </c>
      <c r="O114">
        <v>4</v>
      </c>
      <c r="R114" t="e">
        <f t="shared" si="15"/>
        <v>#DIV/0!</v>
      </c>
      <c r="S114" t="str">
        <f t="shared" si="16"/>
        <v>DIVISION ERROR</v>
      </c>
      <c r="U114" t="b">
        <v>0</v>
      </c>
      <c r="W114" t="str">
        <f t="shared" si="17"/>
        <v>ODD</v>
      </c>
      <c r="Y114">
        <f t="shared" si="18"/>
        <v>120.5</v>
      </c>
      <c r="AB114" t="str">
        <f t="shared" si="19"/>
        <v>Bad_user</v>
      </c>
      <c r="AE114" t="b">
        <f t="shared" si="20"/>
        <v>1</v>
      </c>
      <c r="AG114" t="b">
        <f t="shared" si="21"/>
        <v>0</v>
      </c>
      <c r="AI114" t="str">
        <f>IF(AND(Dataset!G114 &gt;5000,Dataset!H114&gt;7000),"ACTIVE_CONSUMER","INACTIVE_CONSUMER")</f>
        <v>ACTIVE_CONSUMER</v>
      </c>
      <c r="AN114" t="str">
        <f t="shared" si="22"/>
        <v>Not_eligible</v>
      </c>
      <c r="AQ114" t="str">
        <f>IF(AND(E114="M",F114="checking",Dataset!G114&gt;2000,Dataset!K114&gt;500),"good_client","bad_client")</f>
        <v>bad_client</v>
      </c>
      <c r="AT114" t="s">
        <v>482</v>
      </c>
      <c r="AU114" t="str">
        <f>IF(AND(Dataset!F114="Savings",Dataset!AT114="eligible"),"YES","NO")</f>
        <v>NO</v>
      </c>
      <c r="AW114" s="8"/>
      <c r="AX114" s="12" t="s">
        <v>487</v>
      </c>
      <c r="AY114" s="8" t="s">
        <v>490</v>
      </c>
      <c r="AZ114" s="8"/>
      <c r="BD114" t="str">
        <f t="shared" si="23"/>
        <v>yes</v>
      </c>
    </row>
    <row r="115" spans="1:56" x14ac:dyDescent="0.3">
      <c r="A115">
        <f t="shared" si="24"/>
        <v>114</v>
      </c>
      <c r="B115" s="3" t="s">
        <v>139</v>
      </c>
      <c r="C115" s="3" t="s">
        <v>65</v>
      </c>
      <c r="D115" s="2">
        <v>45</v>
      </c>
      <c r="E115" s="2" t="s">
        <v>14</v>
      </c>
      <c r="F115" s="2" t="s">
        <v>15</v>
      </c>
      <c r="G115" s="2">
        <v>7000</v>
      </c>
      <c r="H115" s="2">
        <v>74000</v>
      </c>
      <c r="I115" s="2" t="s">
        <v>23</v>
      </c>
      <c r="J115" s="2">
        <v>15000</v>
      </c>
      <c r="K115" s="2">
        <v>680</v>
      </c>
      <c r="L115" s="2" t="s">
        <v>24</v>
      </c>
      <c r="M115" s="2" t="s">
        <v>80</v>
      </c>
      <c r="N115" s="2" t="s">
        <v>18</v>
      </c>
      <c r="O115">
        <v>7</v>
      </c>
      <c r="R115">
        <f t="shared" si="15"/>
        <v>4.9333333333333336</v>
      </c>
      <c r="S115">
        <f t="shared" si="16"/>
        <v>4.9333333333333336</v>
      </c>
      <c r="U115" t="b">
        <v>1</v>
      </c>
      <c r="W115" t="str">
        <f t="shared" si="17"/>
        <v>ODD</v>
      </c>
      <c r="Y115">
        <f t="shared" si="18"/>
        <v>286</v>
      </c>
      <c r="AB115" t="str">
        <f t="shared" si="19"/>
        <v>Good_user</v>
      </c>
      <c r="AE115" t="b">
        <f t="shared" si="20"/>
        <v>0</v>
      </c>
      <c r="AG115" t="b">
        <f t="shared" si="21"/>
        <v>0</v>
      </c>
      <c r="AI115" t="str">
        <f>IF(AND(Dataset!G115 &gt;5000,Dataset!H115&gt;7000),"ACTIVE_CONSUMER","INACTIVE_CONSUMER")</f>
        <v>ACTIVE_CONSUMER</v>
      </c>
      <c r="AN115" t="str">
        <f t="shared" si="22"/>
        <v>Not_eligible</v>
      </c>
      <c r="AQ115" t="str">
        <f>IF(AND(E115="M",F115="checking",Dataset!G115&gt;2000,Dataset!K115&gt;500),"good_client","bad_client")</f>
        <v>good_client</v>
      </c>
      <c r="AT115" t="s">
        <v>482</v>
      </c>
      <c r="AU115" t="str">
        <f>IF(AND(Dataset!F115="Savings",Dataset!AT115="eligible"),"YES","NO")</f>
        <v>NO</v>
      </c>
      <c r="AW115" s="8"/>
      <c r="AX115" s="12" t="s">
        <v>487</v>
      </c>
      <c r="AY115" s="8" t="s">
        <v>489</v>
      </c>
      <c r="AZ115" s="8"/>
      <c r="BD115" t="str">
        <f t="shared" si="23"/>
        <v>yes</v>
      </c>
    </row>
    <row r="116" spans="1:56" x14ac:dyDescent="0.3">
      <c r="A116">
        <f t="shared" si="24"/>
        <v>115</v>
      </c>
      <c r="B116" s="3" t="s">
        <v>140</v>
      </c>
      <c r="C116" s="3" t="s">
        <v>69</v>
      </c>
      <c r="D116" s="2">
        <v>40</v>
      </c>
      <c r="E116" s="2" t="s">
        <v>21</v>
      </c>
      <c r="F116" s="2" t="s">
        <v>15</v>
      </c>
      <c r="G116" s="2">
        <v>2000</v>
      </c>
      <c r="H116" s="2">
        <v>50000</v>
      </c>
      <c r="I116" s="2" t="s">
        <v>16</v>
      </c>
      <c r="J116" s="2">
        <v>0</v>
      </c>
      <c r="K116" s="2">
        <v>720</v>
      </c>
      <c r="L116" s="2" t="s">
        <v>28</v>
      </c>
      <c r="M116" s="2" t="s">
        <v>80</v>
      </c>
      <c r="N116" s="2" t="s">
        <v>25</v>
      </c>
      <c r="O116">
        <v>13</v>
      </c>
      <c r="R116" t="e">
        <f t="shared" si="15"/>
        <v>#DIV/0!</v>
      </c>
      <c r="S116" t="str">
        <f t="shared" si="16"/>
        <v>DIVISION ERROR</v>
      </c>
      <c r="U116" t="b">
        <v>0</v>
      </c>
      <c r="W116" t="str">
        <f t="shared" si="17"/>
        <v>EVEN</v>
      </c>
      <c r="Y116">
        <f t="shared" si="18"/>
        <v>60</v>
      </c>
      <c r="AB116" t="str">
        <f t="shared" si="19"/>
        <v>Bad_user</v>
      </c>
      <c r="AE116" t="b">
        <f t="shared" si="20"/>
        <v>1</v>
      </c>
      <c r="AG116" t="b">
        <f t="shared" si="21"/>
        <v>0</v>
      </c>
      <c r="AI116" t="str">
        <f>IF(AND(Dataset!G116 &gt;5000,Dataset!H116&gt;7000),"ACTIVE_CONSUMER","INACTIVE_CONSUMER")</f>
        <v>INACTIVE_CONSUMER</v>
      </c>
      <c r="AN116" t="str">
        <f t="shared" si="22"/>
        <v>Not_eligible</v>
      </c>
      <c r="AQ116" t="str">
        <f>IF(AND(E116="M",F116="checking",Dataset!G116&gt;2000,Dataset!K116&gt;500),"good_client","bad_client")</f>
        <v>bad_client</v>
      </c>
      <c r="AT116" t="s">
        <v>482</v>
      </c>
      <c r="AU116" t="str">
        <f>IF(AND(Dataset!F116="Savings",Dataset!AT116="eligible"),"YES","NO")</f>
        <v>NO</v>
      </c>
      <c r="AW116" s="8"/>
      <c r="AX116" s="12" t="s">
        <v>487</v>
      </c>
      <c r="AY116" s="8" t="s">
        <v>490</v>
      </c>
      <c r="AZ116" s="8"/>
      <c r="BD116" t="str">
        <f t="shared" si="23"/>
        <v>yes</v>
      </c>
    </row>
    <row r="117" spans="1:56" x14ac:dyDescent="0.3">
      <c r="A117">
        <f t="shared" si="24"/>
        <v>116</v>
      </c>
      <c r="B117" s="3" t="s">
        <v>141</v>
      </c>
      <c r="C117" s="3" t="s">
        <v>67</v>
      </c>
      <c r="D117" s="2">
        <v>27</v>
      </c>
      <c r="E117" s="2" t="s">
        <v>14</v>
      </c>
      <c r="F117" s="2" t="s">
        <v>22</v>
      </c>
      <c r="G117" s="2">
        <v>6000</v>
      </c>
      <c r="H117" s="2">
        <v>55000</v>
      </c>
      <c r="I117" s="2" t="s">
        <v>23</v>
      </c>
      <c r="J117" s="2">
        <v>10000</v>
      </c>
      <c r="K117" s="2">
        <v>690</v>
      </c>
      <c r="L117" s="2" t="s">
        <v>31</v>
      </c>
      <c r="M117" s="2" t="s">
        <v>80</v>
      </c>
      <c r="N117" s="2" t="s">
        <v>18</v>
      </c>
      <c r="O117">
        <v>4</v>
      </c>
      <c r="R117">
        <f t="shared" si="15"/>
        <v>5.5</v>
      </c>
      <c r="S117">
        <f t="shared" si="16"/>
        <v>5.5</v>
      </c>
      <c r="U117" t="b">
        <v>1</v>
      </c>
      <c r="W117" t="str">
        <f t="shared" si="17"/>
        <v>ODD</v>
      </c>
      <c r="Y117">
        <f t="shared" si="18"/>
        <v>223.5</v>
      </c>
      <c r="AB117" t="str">
        <f t="shared" si="19"/>
        <v>Good_user</v>
      </c>
      <c r="AE117" t="b">
        <f t="shared" si="20"/>
        <v>0</v>
      </c>
      <c r="AG117" t="b">
        <f t="shared" si="21"/>
        <v>0</v>
      </c>
      <c r="AI117" t="str">
        <f>IF(AND(Dataset!G117 &gt;5000,Dataset!H117&gt;7000),"ACTIVE_CONSUMER","INACTIVE_CONSUMER")</f>
        <v>ACTIVE_CONSUMER</v>
      </c>
      <c r="AN117" t="str">
        <f t="shared" si="22"/>
        <v>Not_eligible</v>
      </c>
      <c r="AQ117" t="str">
        <f>IF(AND(E117="M",F117="checking",Dataset!G117&gt;2000,Dataset!K117&gt;500),"good_client","bad_client")</f>
        <v>bad_client</v>
      </c>
      <c r="AT117" t="s">
        <v>482</v>
      </c>
      <c r="AU117" t="str">
        <f>IF(AND(Dataset!F117="Savings",Dataset!AT117="eligible"),"YES","NO")</f>
        <v>NO</v>
      </c>
      <c r="AW117" s="8"/>
      <c r="AX117" s="12" t="s">
        <v>487</v>
      </c>
      <c r="AY117" s="8" t="s">
        <v>489</v>
      </c>
      <c r="AZ117" s="8"/>
      <c r="BD117" t="str">
        <f t="shared" si="23"/>
        <v>yes</v>
      </c>
    </row>
    <row r="118" spans="1:56" x14ac:dyDescent="0.3">
      <c r="A118">
        <f t="shared" si="24"/>
        <v>117</v>
      </c>
      <c r="B118" s="3" t="s">
        <v>142</v>
      </c>
      <c r="C118" s="3" t="s">
        <v>143</v>
      </c>
      <c r="D118" s="2">
        <v>31</v>
      </c>
      <c r="E118" s="2" t="s">
        <v>21</v>
      </c>
      <c r="F118" s="2" t="s">
        <v>15</v>
      </c>
      <c r="G118" s="2">
        <v>3500</v>
      </c>
      <c r="H118" s="2">
        <v>62000</v>
      </c>
      <c r="I118" s="2" t="s">
        <v>16</v>
      </c>
      <c r="J118" s="2">
        <v>0</v>
      </c>
      <c r="K118" s="2">
        <v>680</v>
      </c>
      <c r="L118" s="2" t="s">
        <v>17</v>
      </c>
      <c r="M118" s="2" t="s">
        <v>82</v>
      </c>
      <c r="N118" s="2" t="s">
        <v>25</v>
      </c>
      <c r="O118">
        <v>15</v>
      </c>
      <c r="R118" t="e">
        <f t="shared" si="15"/>
        <v>#DIV/0!</v>
      </c>
      <c r="S118" t="str">
        <f t="shared" si="16"/>
        <v>DIVISION ERROR</v>
      </c>
      <c r="U118" t="b">
        <v>0</v>
      </c>
      <c r="W118" t="str">
        <f t="shared" si="17"/>
        <v>ODD</v>
      </c>
      <c r="Y118">
        <f t="shared" si="18"/>
        <v>286</v>
      </c>
      <c r="AB118" t="str">
        <f t="shared" si="19"/>
        <v>Bad_user</v>
      </c>
      <c r="AE118" t="b">
        <f t="shared" si="20"/>
        <v>1</v>
      </c>
      <c r="AG118" t="b">
        <f t="shared" si="21"/>
        <v>0</v>
      </c>
      <c r="AI118" t="str">
        <f>IF(AND(Dataset!G118 &gt;5000,Dataset!H118&gt;7000),"ACTIVE_CONSUMER","INACTIVE_CONSUMER")</f>
        <v>INACTIVE_CONSUMER</v>
      </c>
      <c r="AN118" t="str">
        <f t="shared" si="22"/>
        <v>Not_eligible</v>
      </c>
      <c r="AQ118" t="str">
        <f>IF(AND(E118="M",F118="checking",Dataset!G118&gt;2000,Dataset!K118&gt;500),"good_client","bad_client")</f>
        <v>bad_client</v>
      </c>
      <c r="AT118" t="s">
        <v>482</v>
      </c>
      <c r="AU118" t="str">
        <f>IF(AND(Dataset!F118="Savings",Dataset!AT118="eligible"),"YES","NO")</f>
        <v>NO</v>
      </c>
      <c r="AW118" s="8"/>
      <c r="AX118" s="12" t="s">
        <v>486</v>
      </c>
      <c r="AY118" s="8" t="s">
        <v>490</v>
      </c>
      <c r="AZ118" s="8"/>
      <c r="BD118" t="str">
        <f t="shared" si="23"/>
        <v>yes</v>
      </c>
    </row>
    <row r="119" spans="1:56" x14ac:dyDescent="0.3">
      <c r="A119">
        <f t="shared" si="24"/>
        <v>118</v>
      </c>
      <c r="B119" s="3" t="s">
        <v>144</v>
      </c>
      <c r="C119" s="3" t="s">
        <v>71</v>
      </c>
      <c r="D119" s="2">
        <v>53</v>
      </c>
      <c r="E119" s="2" t="s">
        <v>14</v>
      </c>
      <c r="F119" s="2" t="s">
        <v>22</v>
      </c>
      <c r="G119" s="2">
        <v>4000</v>
      </c>
      <c r="H119" s="2">
        <v>48000</v>
      </c>
      <c r="I119" s="2" t="s">
        <v>23</v>
      </c>
      <c r="J119" s="2">
        <v>5000</v>
      </c>
      <c r="K119" s="2">
        <v>710</v>
      </c>
      <c r="L119" s="2" t="s">
        <v>24</v>
      </c>
      <c r="M119" s="2" t="s">
        <v>82</v>
      </c>
      <c r="N119" s="2" t="s">
        <v>18</v>
      </c>
      <c r="O119">
        <v>4</v>
      </c>
      <c r="R119">
        <f t="shared" si="15"/>
        <v>9.6</v>
      </c>
      <c r="S119">
        <f t="shared" si="16"/>
        <v>9.6</v>
      </c>
      <c r="U119" t="b">
        <v>1</v>
      </c>
      <c r="W119" t="str">
        <f t="shared" si="17"/>
        <v>ODD</v>
      </c>
      <c r="Y119">
        <f t="shared" si="18"/>
        <v>120.5</v>
      </c>
      <c r="AB119" t="str">
        <f t="shared" si="19"/>
        <v>Good_user</v>
      </c>
      <c r="AE119" t="b">
        <f t="shared" si="20"/>
        <v>0</v>
      </c>
      <c r="AG119" t="b">
        <f t="shared" si="21"/>
        <v>0</v>
      </c>
      <c r="AI119" t="str">
        <f>IF(AND(Dataset!G119 &gt;5000,Dataset!H119&gt;7000),"ACTIVE_CONSUMER","INACTIVE_CONSUMER")</f>
        <v>INACTIVE_CONSUMER</v>
      </c>
      <c r="AN119" t="str">
        <f t="shared" si="22"/>
        <v>Not_eligible</v>
      </c>
      <c r="AQ119" t="str">
        <f>IF(AND(E119="M",F119="checking",Dataset!G119&gt;2000,Dataset!K119&gt;500),"good_client","bad_client")</f>
        <v>bad_client</v>
      </c>
      <c r="AT119" t="s">
        <v>482</v>
      </c>
      <c r="AU119" t="str">
        <f>IF(AND(Dataset!F119="Savings",Dataset!AT119="eligible"),"YES","NO")</f>
        <v>NO</v>
      </c>
      <c r="AW119" s="8"/>
      <c r="AX119" s="12" t="s">
        <v>486</v>
      </c>
      <c r="AY119" s="8" t="s">
        <v>489</v>
      </c>
      <c r="AZ119" s="8"/>
      <c r="BD119" t="str">
        <f t="shared" si="23"/>
        <v>yes</v>
      </c>
    </row>
    <row r="120" spans="1:56" x14ac:dyDescent="0.3">
      <c r="A120">
        <f t="shared" si="24"/>
        <v>119</v>
      </c>
      <c r="B120" s="3" t="s">
        <v>145</v>
      </c>
      <c r="C120" s="3" t="s">
        <v>73</v>
      </c>
      <c r="D120" s="2">
        <v>28</v>
      </c>
      <c r="E120" s="2" t="s">
        <v>21</v>
      </c>
      <c r="F120" s="2" t="s">
        <v>15</v>
      </c>
      <c r="G120" s="2">
        <v>5500</v>
      </c>
      <c r="H120" s="2">
        <v>59000</v>
      </c>
      <c r="I120" s="2" t="s">
        <v>16</v>
      </c>
      <c r="J120" s="2">
        <v>0</v>
      </c>
      <c r="K120" s="2">
        <v>700</v>
      </c>
      <c r="L120" s="2" t="s">
        <v>28</v>
      </c>
      <c r="M120" s="2" t="s">
        <v>82</v>
      </c>
      <c r="N120" s="2" t="s">
        <v>25</v>
      </c>
      <c r="O120">
        <v>15</v>
      </c>
      <c r="R120" t="e">
        <f t="shared" si="15"/>
        <v>#DIV/0!</v>
      </c>
      <c r="S120" t="str">
        <f t="shared" si="16"/>
        <v>DIVISION ERROR</v>
      </c>
      <c r="U120" t="b">
        <v>0</v>
      </c>
      <c r="W120" t="str">
        <f t="shared" si="17"/>
        <v>EVEN</v>
      </c>
      <c r="Y120">
        <f t="shared" si="18"/>
        <v>170</v>
      </c>
      <c r="AB120" t="str">
        <f t="shared" si="19"/>
        <v>Bad_user</v>
      </c>
      <c r="AE120" t="b">
        <f t="shared" si="20"/>
        <v>1</v>
      </c>
      <c r="AG120" t="b">
        <f t="shared" si="21"/>
        <v>0</v>
      </c>
      <c r="AI120" t="str">
        <f>IF(AND(Dataset!G120 &gt;5000,Dataset!H120&gt;7000),"ACTIVE_CONSUMER","INACTIVE_CONSUMER")</f>
        <v>ACTIVE_CONSUMER</v>
      </c>
      <c r="AN120" t="str">
        <f t="shared" si="22"/>
        <v>Not_eligible</v>
      </c>
      <c r="AQ120" t="str">
        <f>IF(AND(E120="M",F120="checking",Dataset!G120&gt;2000,Dataset!K120&gt;500),"good_client","bad_client")</f>
        <v>bad_client</v>
      </c>
      <c r="AT120" t="s">
        <v>482</v>
      </c>
      <c r="AU120" t="str">
        <f>IF(AND(Dataset!F120="Savings",Dataset!AT120="eligible"),"YES","NO")</f>
        <v>NO</v>
      </c>
      <c r="AW120" s="8"/>
      <c r="AX120" s="12" t="s">
        <v>486</v>
      </c>
      <c r="AY120" s="8" t="s">
        <v>490</v>
      </c>
      <c r="AZ120" s="8"/>
      <c r="BD120" t="str">
        <f t="shared" si="23"/>
        <v>yes</v>
      </c>
    </row>
    <row r="121" spans="1:56" x14ac:dyDescent="0.3">
      <c r="A121">
        <f t="shared" si="24"/>
        <v>120</v>
      </c>
      <c r="B121" s="3" t="s">
        <v>26</v>
      </c>
      <c r="C121" s="3" t="s">
        <v>74</v>
      </c>
      <c r="D121" s="2">
        <v>46</v>
      </c>
      <c r="E121" s="2" t="s">
        <v>14</v>
      </c>
      <c r="F121" s="2" t="s">
        <v>22</v>
      </c>
      <c r="G121" s="2">
        <v>9000</v>
      </c>
      <c r="H121" s="2">
        <v>73000</v>
      </c>
      <c r="I121" s="2" t="s">
        <v>23</v>
      </c>
      <c r="J121" s="2">
        <v>13000</v>
      </c>
      <c r="K121" s="2">
        <v>720</v>
      </c>
      <c r="L121" s="2" t="s">
        <v>31</v>
      </c>
      <c r="M121" s="2" t="s">
        <v>82</v>
      </c>
      <c r="N121" s="2" t="s">
        <v>18</v>
      </c>
      <c r="O121">
        <v>14</v>
      </c>
      <c r="R121">
        <f t="shared" si="15"/>
        <v>5.615384615384615</v>
      </c>
      <c r="S121">
        <f t="shared" si="16"/>
        <v>5.615384615384615</v>
      </c>
      <c r="U121" t="b">
        <v>1</v>
      </c>
      <c r="W121" t="str">
        <f t="shared" si="17"/>
        <v>EVEN</v>
      </c>
      <c r="Y121">
        <f t="shared" si="18"/>
        <v>60</v>
      </c>
      <c r="AB121" t="str">
        <f t="shared" si="19"/>
        <v>Good_user</v>
      </c>
      <c r="AE121" t="b">
        <f t="shared" si="20"/>
        <v>0</v>
      </c>
      <c r="AG121" t="b">
        <f t="shared" si="21"/>
        <v>0</v>
      </c>
      <c r="AI121" t="str">
        <f>IF(AND(Dataset!G121 &gt;5000,Dataset!H121&gt;7000),"ACTIVE_CONSUMER","INACTIVE_CONSUMER")</f>
        <v>ACTIVE_CONSUMER</v>
      </c>
      <c r="AN121" t="str">
        <f t="shared" si="22"/>
        <v>Not_eligible</v>
      </c>
      <c r="AQ121" t="str">
        <f>IF(AND(E121="M",F121="checking",Dataset!G121&gt;2000,Dataset!K121&gt;500),"good_client","bad_client")</f>
        <v>bad_client</v>
      </c>
      <c r="AT121" t="s">
        <v>482</v>
      </c>
      <c r="AU121" t="str">
        <f>IF(AND(Dataset!F121="Savings",Dataset!AT121="eligible"),"YES","NO")</f>
        <v>NO</v>
      </c>
      <c r="AW121" s="8"/>
      <c r="AX121" s="12" t="s">
        <v>486</v>
      </c>
      <c r="AY121" s="8" t="s">
        <v>489</v>
      </c>
      <c r="AZ121" s="8"/>
      <c r="BD121" t="str">
        <f t="shared" si="23"/>
        <v>yes</v>
      </c>
    </row>
    <row r="122" spans="1:56" x14ac:dyDescent="0.3">
      <c r="A122">
        <f t="shared" si="24"/>
        <v>121</v>
      </c>
      <c r="B122" s="3" t="s">
        <v>146</v>
      </c>
      <c r="C122" s="3" t="s">
        <v>131</v>
      </c>
      <c r="D122" s="2">
        <v>39</v>
      </c>
      <c r="E122" s="2" t="s">
        <v>21</v>
      </c>
      <c r="F122" s="2" t="s">
        <v>15</v>
      </c>
      <c r="G122" s="2">
        <v>4000</v>
      </c>
      <c r="H122" s="2">
        <v>65000</v>
      </c>
      <c r="I122" s="2" t="s">
        <v>16</v>
      </c>
      <c r="J122" s="2">
        <v>0</v>
      </c>
      <c r="K122" s="2">
        <v>680</v>
      </c>
      <c r="L122" s="2" t="s">
        <v>17</v>
      </c>
      <c r="M122" s="2" t="s">
        <v>82</v>
      </c>
      <c r="N122" s="2" t="s">
        <v>25</v>
      </c>
      <c r="O122">
        <v>10</v>
      </c>
      <c r="R122" t="e">
        <f t="shared" si="15"/>
        <v>#DIV/0!</v>
      </c>
      <c r="S122" t="str">
        <f t="shared" si="16"/>
        <v>DIVISION ERROR</v>
      </c>
      <c r="U122" t="b">
        <v>0</v>
      </c>
      <c r="W122" t="str">
        <f t="shared" si="17"/>
        <v>ODD</v>
      </c>
      <c r="Y122">
        <f t="shared" si="18"/>
        <v>286</v>
      </c>
      <c r="AB122" t="str">
        <f t="shared" si="19"/>
        <v>Bad_user</v>
      </c>
      <c r="AE122" t="b">
        <f t="shared" si="20"/>
        <v>1</v>
      </c>
      <c r="AG122" t="b">
        <f t="shared" si="21"/>
        <v>0</v>
      </c>
      <c r="AI122" t="str">
        <f>IF(AND(Dataset!G122 &gt;5000,Dataset!H122&gt;7000),"ACTIVE_CONSUMER","INACTIVE_CONSUMER")</f>
        <v>INACTIVE_CONSUMER</v>
      </c>
      <c r="AN122" t="str">
        <f t="shared" si="22"/>
        <v>Not_eligible</v>
      </c>
      <c r="AQ122" t="str">
        <f>IF(AND(E122="M",F122="checking",Dataset!G122&gt;2000,Dataset!K122&gt;500),"good_client","bad_client")</f>
        <v>bad_client</v>
      </c>
      <c r="AT122" t="s">
        <v>482</v>
      </c>
      <c r="AU122" t="str">
        <f>IF(AND(Dataset!F122="Savings",Dataset!AT122="eligible"),"YES","NO")</f>
        <v>NO</v>
      </c>
      <c r="AW122" s="8"/>
      <c r="AX122" s="12" t="s">
        <v>486</v>
      </c>
      <c r="AY122" s="8" t="s">
        <v>490</v>
      </c>
      <c r="AZ122" s="8"/>
      <c r="BD122" t="str">
        <f t="shared" si="23"/>
        <v>yes</v>
      </c>
    </row>
    <row r="123" spans="1:56" x14ac:dyDescent="0.3">
      <c r="A123">
        <f t="shared" si="24"/>
        <v>122</v>
      </c>
      <c r="B123" s="3" t="s">
        <v>147</v>
      </c>
      <c r="C123" s="3" t="s">
        <v>76</v>
      </c>
      <c r="D123" s="2">
        <v>27</v>
      </c>
      <c r="E123" s="2" t="s">
        <v>14</v>
      </c>
      <c r="F123" s="2" t="s">
        <v>22</v>
      </c>
      <c r="G123" s="2">
        <v>8000</v>
      </c>
      <c r="H123" s="2">
        <v>60000</v>
      </c>
      <c r="I123" s="2" t="s">
        <v>23</v>
      </c>
      <c r="J123" s="2">
        <v>8000</v>
      </c>
      <c r="K123" s="2">
        <v>710</v>
      </c>
      <c r="L123" s="2" t="s">
        <v>24</v>
      </c>
      <c r="M123" s="2" t="s">
        <v>82</v>
      </c>
      <c r="N123" s="2" t="s">
        <v>18</v>
      </c>
      <c r="O123">
        <v>14</v>
      </c>
      <c r="R123">
        <f t="shared" si="15"/>
        <v>7.5</v>
      </c>
      <c r="S123">
        <f t="shared" si="16"/>
        <v>7.5</v>
      </c>
      <c r="U123" t="b">
        <v>1</v>
      </c>
      <c r="W123" t="str">
        <f t="shared" si="17"/>
        <v>ODD</v>
      </c>
      <c r="Y123">
        <f t="shared" si="18"/>
        <v>120.5</v>
      </c>
      <c r="AB123" t="str">
        <f t="shared" si="19"/>
        <v>Good_user</v>
      </c>
      <c r="AE123" t="b">
        <f t="shared" si="20"/>
        <v>0</v>
      </c>
      <c r="AG123" t="b">
        <f t="shared" si="21"/>
        <v>0</v>
      </c>
      <c r="AI123" t="str">
        <f>IF(AND(Dataset!G123 &gt;5000,Dataset!H123&gt;7000),"ACTIVE_CONSUMER","INACTIVE_CONSUMER")</f>
        <v>ACTIVE_CONSUMER</v>
      </c>
      <c r="AN123" t="str">
        <f t="shared" si="22"/>
        <v>Not_eligible</v>
      </c>
      <c r="AQ123" t="str">
        <f>IF(AND(E123="M",F123="checking",Dataset!G123&gt;2000,Dataset!K123&gt;500),"good_client","bad_client")</f>
        <v>bad_client</v>
      </c>
      <c r="AT123" t="s">
        <v>482</v>
      </c>
      <c r="AU123" t="str">
        <f>IF(AND(Dataset!F123="Savings",Dataset!AT123="eligible"),"YES","NO")</f>
        <v>NO</v>
      </c>
      <c r="AW123" s="8"/>
      <c r="AX123" s="12" t="s">
        <v>486</v>
      </c>
      <c r="AY123" s="8" t="s">
        <v>489</v>
      </c>
      <c r="AZ123" s="8"/>
      <c r="BD123" t="str">
        <f t="shared" si="23"/>
        <v>yes</v>
      </c>
    </row>
    <row r="124" spans="1:56" x14ac:dyDescent="0.3">
      <c r="A124">
        <f t="shared" si="24"/>
        <v>123</v>
      </c>
      <c r="B124" s="3" t="s">
        <v>148</v>
      </c>
      <c r="C124" s="3" t="s">
        <v>149</v>
      </c>
      <c r="D124" s="2">
        <v>34</v>
      </c>
      <c r="E124" s="2" t="s">
        <v>21</v>
      </c>
      <c r="F124" s="2" t="s">
        <v>15</v>
      </c>
      <c r="G124" s="2">
        <v>2500</v>
      </c>
      <c r="H124" s="2">
        <v>53000</v>
      </c>
      <c r="I124" s="2" t="s">
        <v>16</v>
      </c>
      <c r="J124" s="2">
        <v>0</v>
      </c>
      <c r="K124" s="2">
        <v>690</v>
      </c>
      <c r="L124" s="2" t="s">
        <v>28</v>
      </c>
      <c r="M124" s="2" t="s">
        <v>81</v>
      </c>
      <c r="N124" s="2" t="s">
        <v>25</v>
      </c>
      <c r="O124">
        <v>15</v>
      </c>
      <c r="R124" t="e">
        <f t="shared" si="15"/>
        <v>#DIV/0!</v>
      </c>
      <c r="S124" t="str">
        <f t="shared" si="16"/>
        <v>DIVISION ERROR</v>
      </c>
      <c r="U124" t="b">
        <v>0</v>
      </c>
      <c r="W124" t="str">
        <f t="shared" si="17"/>
        <v>EVEN</v>
      </c>
      <c r="Y124">
        <f t="shared" si="18"/>
        <v>223.5</v>
      </c>
      <c r="AB124" t="str">
        <f t="shared" si="19"/>
        <v>Bad_user</v>
      </c>
      <c r="AE124" t="b">
        <f t="shared" si="20"/>
        <v>1</v>
      </c>
      <c r="AG124" t="b">
        <f t="shared" si="21"/>
        <v>0</v>
      </c>
      <c r="AI124" t="str">
        <f>IF(AND(Dataset!G124 &gt;5000,Dataset!H124&gt;7000),"ACTIVE_CONSUMER","INACTIVE_CONSUMER")</f>
        <v>INACTIVE_CONSUMER</v>
      </c>
      <c r="AN124" t="str">
        <f t="shared" si="22"/>
        <v>Not_eligible</v>
      </c>
      <c r="AQ124" t="str">
        <f>IF(AND(E124="M",F124="checking",Dataset!G124&gt;2000,Dataset!K124&gt;500),"good_client","bad_client")</f>
        <v>bad_client</v>
      </c>
      <c r="AT124" t="s">
        <v>482</v>
      </c>
      <c r="AU124" t="str">
        <f>IF(AND(Dataset!F124="Savings",Dataset!AT124="eligible"),"YES","NO")</f>
        <v>NO</v>
      </c>
      <c r="AW124" s="8"/>
      <c r="AX124" s="12" t="s">
        <v>487</v>
      </c>
      <c r="AY124" s="8" t="s">
        <v>490</v>
      </c>
      <c r="AZ124" s="8"/>
      <c r="BD124" t="str">
        <f t="shared" si="23"/>
        <v>yes</v>
      </c>
    </row>
    <row r="125" spans="1:56" x14ac:dyDescent="0.3">
      <c r="A125">
        <f t="shared" si="24"/>
        <v>124</v>
      </c>
      <c r="B125" s="3" t="s">
        <v>150</v>
      </c>
      <c r="C125" s="3" t="s">
        <v>151</v>
      </c>
      <c r="D125" s="2">
        <v>32</v>
      </c>
      <c r="E125" s="2" t="s">
        <v>14</v>
      </c>
      <c r="F125" s="2" t="s">
        <v>22</v>
      </c>
      <c r="G125" s="2">
        <v>12000</v>
      </c>
      <c r="H125" s="2">
        <v>68000</v>
      </c>
      <c r="I125" s="2" t="s">
        <v>23</v>
      </c>
      <c r="J125" s="2">
        <v>15000</v>
      </c>
      <c r="K125" s="2">
        <v>720</v>
      </c>
      <c r="L125" s="2" t="s">
        <v>31</v>
      </c>
      <c r="M125" s="2" t="s">
        <v>81</v>
      </c>
      <c r="N125" s="2" t="s">
        <v>18</v>
      </c>
      <c r="O125">
        <v>13</v>
      </c>
      <c r="R125">
        <f t="shared" si="15"/>
        <v>4.5333333333333332</v>
      </c>
      <c r="S125">
        <f t="shared" si="16"/>
        <v>4.5333333333333332</v>
      </c>
      <c r="U125" t="b">
        <v>1</v>
      </c>
      <c r="W125" t="str">
        <f t="shared" si="17"/>
        <v>EVEN</v>
      </c>
      <c r="Y125">
        <f t="shared" si="18"/>
        <v>60</v>
      </c>
      <c r="AB125" t="str">
        <f t="shared" si="19"/>
        <v>Good_user</v>
      </c>
      <c r="AE125" t="b">
        <f t="shared" si="20"/>
        <v>0</v>
      </c>
      <c r="AG125" t="b">
        <f t="shared" si="21"/>
        <v>0</v>
      </c>
      <c r="AI125" t="str">
        <f>IF(AND(Dataset!G125 &gt;5000,Dataset!H125&gt;7000),"ACTIVE_CONSUMER","INACTIVE_CONSUMER")</f>
        <v>ACTIVE_CONSUMER</v>
      </c>
      <c r="AN125" t="str">
        <f t="shared" si="22"/>
        <v>Not_eligible</v>
      </c>
      <c r="AQ125" t="str">
        <f>IF(AND(E125="M",F125="checking",Dataset!G125&gt;2000,Dataset!K125&gt;500),"good_client","bad_client")</f>
        <v>bad_client</v>
      </c>
      <c r="AT125" t="s">
        <v>482</v>
      </c>
      <c r="AU125" t="str">
        <f>IF(AND(Dataset!F125="Savings",Dataset!AT125="eligible"),"YES","NO")</f>
        <v>NO</v>
      </c>
      <c r="AW125" s="8"/>
      <c r="AX125" s="12" t="s">
        <v>487</v>
      </c>
      <c r="AY125" s="8" t="s">
        <v>489</v>
      </c>
      <c r="AZ125" s="8"/>
      <c r="BD125" t="str">
        <f t="shared" si="23"/>
        <v>yes</v>
      </c>
    </row>
    <row r="126" spans="1:56" x14ac:dyDescent="0.3">
      <c r="A126">
        <f t="shared" si="24"/>
        <v>125</v>
      </c>
      <c r="B126" s="3" t="s">
        <v>152</v>
      </c>
      <c r="C126" s="3" t="s">
        <v>153</v>
      </c>
      <c r="D126" s="2">
        <v>49</v>
      </c>
      <c r="E126" s="2" t="s">
        <v>21</v>
      </c>
      <c r="F126" s="2" t="s">
        <v>15</v>
      </c>
      <c r="G126" s="2">
        <v>7000</v>
      </c>
      <c r="H126" s="2">
        <v>71000</v>
      </c>
      <c r="I126" s="2" t="s">
        <v>16</v>
      </c>
      <c r="J126" s="2">
        <v>0</v>
      </c>
      <c r="K126" s="2">
        <v>680</v>
      </c>
      <c r="L126" s="2" t="s">
        <v>17</v>
      </c>
      <c r="M126" s="2" t="s">
        <v>81</v>
      </c>
      <c r="N126" s="2" t="s">
        <v>25</v>
      </c>
      <c r="O126">
        <v>7</v>
      </c>
      <c r="R126" t="e">
        <f t="shared" si="15"/>
        <v>#DIV/0!</v>
      </c>
      <c r="S126" t="str">
        <f t="shared" si="16"/>
        <v>DIVISION ERROR</v>
      </c>
      <c r="U126" t="b">
        <v>0</v>
      </c>
      <c r="W126" t="str">
        <f t="shared" si="17"/>
        <v>ODD</v>
      </c>
      <c r="Y126">
        <f t="shared" si="18"/>
        <v>286</v>
      </c>
      <c r="AB126" t="str">
        <f t="shared" si="19"/>
        <v>Bad_user</v>
      </c>
      <c r="AE126" t="b">
        <f t="shared" si="20"/>
        <v>1</v>
      </c>
      <c r="AG126" t="b">
        <f t="shared" si="21"/>
        <v>0</v>
      </c>
      <c r="AI126" t="str">
        <f>IF(AND(Dataset!G126 &gt;5000,Dataset!H126&gt;7000),"ACTIVE_CONSUMER","INACTIVE_CONSUMER")</f>
        <v>ACTIVE_CONSUMER</v>
      </c>
      <c r="AN126" t="str">
        <f t="shared" si="22"/>
        <v>Not_eligible</v>
      </c>
      <c r="AQ126" t="str">
        <f>IF(AND(E126="M",F126="checking",Dataset!G126&gt;2000,Dataset!K126&gt;500),"good_client","bad_client")</f>
        <v>bad_client</v>
      </c>
      <c r="AT126" t="s">
        <v>482</v>
      </c>
      <c r="AU126" t="str">
        <f>IF(AND(Dataset!F126="Savings",Dataset!AT126="eligible"),"YES","NO")</f>
        <v>NO</v>
      </c>
      <c r="AW126" s="8"/>
      <c r="AX126" s="12" t="s">
        <v>487</v>
      </c>
      <c r="AY126" s="8" t="s">
        <v>490</v>
      </c>
      <c r="AZ126" s="8"/>
      <c r="BD126" t="str">
        <f t="shared" si="23"/>
        <v>yes</v>
      </c>
    </row>
    <row r="127" spans="1:56" x14ac:dyDescent="0.3">
      <c r="A127">
        <f t="shared" si="24"/>
        <v>126</v>
      </c>
      <c r="B127" s="3" t="s">
        <v>154</v>
      </c>
      <c r="C127" s="3" t="s">
        <v>155</v>
      </c>
      <c r="D127" s="2">
        <v>24</v>
      </c>
      <c r="E127" s="2" t="s">
        <v>14</v>
      </c>
      <c r="F127" s="2" t="s">
        <v>22</v>
      </c>
      <c r="G127" s="2">
        <v>5000</v>
      </c>
      <c r="H127" s="2">
        <v>56000</v>
      </c>
      <c r="I127" s="2" t="s">
        <v>23</v>
      </c>
      <c r="J127" s="2">
        <v>10000</v>
      </c>
      <c r="K127" s="2">
        <v>700</v>
      </c>
      <c r="L127" s="2" t="s">
        <v>24</v>
      </c>
      <c r="M127" s="2" t="s">
        <v>81</v>
      </c>
      <c r="N127" s="2" t="s">
        <v>18</v>
      </c>
      <c r="O127">
        <v>5</v>
      </c>
      <c r="R127">
        <f t="shared" si="15"/>
        <v>5.6</v>
      </c>
      <c r="S127">
        <f t="shared" si="16"/>
        <v>5.6</v>
      </c>
      <c r="U127" t="b">
        <v>1</v>
      </c>
      <c r="W127" t="str">
        <f t="shared" si="17"/>
        <v>EVEN</v>
      </c>
      <c r="Y127">
        <f t="shared" si="18"/>
        <v>170</v>
      </c>
      <c r="AB127" t="str">
        <f t="shared" si="19"/>
        <v>Good_user</v>
      </c>
      <c r="AE127" t="b">
        <f t="shared" si="20"/>
        <v>0</v>
      </c>
      <c r="AG127" t="b">
        <f t="shared" si="21"/>
        <v>0</v>
      </c>
      <c r="AI127" t="str">
        <f>IF(AND(Dataset!G127 &gt;5000,Dataset!H127&gt;7000),"ACTIVE_CONSUMER","INACTIVE_CONSUMER")</f>
        <v>INACTIVE_CONSUMER</v>
      </c>
      <c r="AN127" t="str">
        <f t="shared" si="22"/>
        <v>Not_eligible</v>
      </c>
      <c r="AQ127" t="str">
        <f>IF(AND(E127="M",F127="checking",Dataset!G127&gt;2000,Dataset!K127&gt;500),"good_client","bad_client")</f>
        <v>bad_client</v>
      </c>
      <c r="AT127" t="s">
        <v>482</v>
      </c>
      <c r="AU127" t="str">
        <f>IF(AND(Dataset!F127="Savings",Dataset!AT127="eligible"),"YES","NO")</f>
        <v>NO</v>
      </c>
      <c r="AW127" s="8"/>
      <c r="AX127" s="12" t="s">
        <v>487</v>
      </c>
      <c r="AY127" s="8" t="s">
        <v>489</v>
      </c>
      <c r="AZ127" s="8"/>
      <c r="BD127" t="str">
        <f t="shared" si="23"/>
        <v>yes</v>
      </c>
    </row>
    <row r="128" spans="1:56" x14ac:dyDescent="0.3">
      <c r="A128">
        <f t="shared" si="24"/>
        <v>127</v>
      </c>
      <c r="B128" s="3" t="s">
        <v>156</v>
      </c>
      <c r="C128" s="3" t="s">
        <v>157</v>
      </c>
      <c r="D128" s="2">
        <v>29</v>
      </c>
      <c r="E128" s="2" t="s">
        <v>21</v>
      </c>
      <c r="F128" s="2" t="s">
        <v>15</v>
      </c>
      <c r="G128" s="2">
        <v>1500</v>
      </c>
      <c r="H128" s="2">
        <v>45000</v>
      </c>
      <c r="I128" s="2" t="s">
        <v>16</v>
      </c>
      <c r="J128" s="2">
        <v>0</v>
      </c>
      <c r="K128" s="2">
        <v>670</v>
      </c>
      <c r="L128" s="2" t="s">
        <v>28</v>
      </c>
      <c r="M128" s="2" t="s">
        <v>81</v>
      </c>
      <c r="N128" s="2" t="s">
        <v>25</v>
      </c>
      <c r="O128">
        <v>3</v>
      </c>
      <c r="R128" t="e">
        <f t="shared" si="15"/>
        <v>#DIV/0!</v>
      </c>
      <c r="S128" t="str">
        <f t="shared" si="16"/>
        <v>DIVISION ERROR</v>
      </c>
      <c r="U128" t="b">
        <v>0</v>
      </c>
      <c r="W128" t="str">
        <f t="shared" si="17"/>
        <v>ODD</v>
      </c>
      <c r="Y128">
        <f t="shared" si="18"/>
        <v>334</v>
      </c>
      <c r="AB128" t="str">
        <f t="shared" si="19"/>
        <v>Bad_user</v>
      </c>
      <c r="AE128" t="b">
        <f t="shared" si="20"/>
        <v>1</v>
      </c>
      <c r="AG128" t="b">
        <f t="shared" si="21"/>
        <v>0</v>
      </c>
      <c r="AI128" t="str">
        <f>IF(AND(Dataset!G128 &gt;5000,Dataset!H128&gt;7000),"ACTIVE_CONSUMER","INACTIVE_CONSUMER")</f>
        <v>INACTIVE_CONSUMER</v>
      </c>
      <c r="AN128" t="str">
        <f t="shared" si="22"/>
        <v>Not_eligible</v>
      </c>
      <c r="AQ128" t="str">
        <f>IF(AND(E128="M",F128="checking",Dataset!G128&gt;2000,Dataset!K128&gt;500),"good_client","bad_client")</f>
        <v>bad_client</v>
      </c>
      <c r="AT128" t="s">
        <v>482</v>
      </c>
      <c r="AU128" t="str">
        <f>IF(AND(Dataset!F128="Savings",Dataset!AT128="eligible"),"YES","NO")</f>
        <v>NO</v>
      </c>
      <c r="AW128" s="8"/>
      <c r="AX128" s="12" t="s">
        <v>487</v>
      </c>
      <c r="AY128" s="8" t="s">
        <v>490</v>
      </c>
      <c r="AZ128" s="8"/>
      <c r="BD128" t="str">
        <f t="shared" si="23"/>
        <v>yes</v>
      </c>
    </row>
    <row r="129" spans="1:56" x14ac:dyDescent="0.3">
      <c r="A129">
        <f t="shared" si="24"/>
        <v>128</v>
      </c>
      <c r="B129" s="3" t="s">
        <v>158</v>
      </c>
      <c r="C129" s="3" t="s">
        <v>159</v>
      </c>
      <c r="D129" s="2">
        <v>43</v>
      </c>
      <c r="E129" s="2" t="s">
        <v>14</v>
      </c>
      <c r="F129" s="2" t="s">
        <v>22</v>
      </c>
      <c r="G129" s="2">
        <v>11000</v>
      </c>
      <c r="H129" s="2">
        <v>74000</v>
      </c>
      <c r="I129" s="2" t="s">
        <v>23</v>
      </c>
      <c r="J129" s="2">
        <v>12000</v>
      </c>
      <c r="K129" s="2">
        <v>720</v>
      </c>
      <c r="L129" s="2" t="s">
        <v>31</v>
      </c>
      <c r="M129" s="2" t="s">
        <v>81</v>
      </c>
      <c r="N129" s="2" t="s">
        <v>18</v>
      </c>
      <c r="O129">
        <v>8</v>
      </c>
      <c r="R129">
        <f t="shared" si="15"/>
        <v>6.166666666666667</v>
      </c>
      <c r="S129">
        <f t="shared" si="16"/>
        <v>6.166666666666667</v>
      </c>
      <c r="U129" t="b">
        <v>1</v>
      </c>
      <c r="W129" t="str">
        <f t="shared" si="17"/>
        <v>ODD</v>
      </c>
      <c r="Y129">
        <f t="shared" si="18"/>
        <v>60</v>
      </c>
      <c r="AB129" t="str">
        <f t="shared" si="19"/>
        <v>Good_user</v>
      </c>
      <c r="AE129" t="b">
        <f t="shared" si="20"/>
        <v>0</v>
      </c>
      <c r="AG129" t="b">
        <f t="shared" si="21"/>
        <v>0</v>
      </c>
      <c r="AI129" t="str">
        <f>IF(AND(Dataset!G129 &gt;5000,Dataset!H129&gt;7000),"ACTIVE_CONSUMER","INACTIVE_CONSUMER")</f>
        <v>ACTIVE_CONSUMER</v>
      </c>
      <c r="AN129" t="str">
        <f t="shared" si="22"/>
        <v>Not_eligible</v>
      </c>
      <c r="AQ129" t="str">
        <f>IF(AND(E129="M",F129="checking",Dataset!G129&gt;2000,Dataset!K129&gt;500),"good_client","bad_client")</f>
        <v>bad_client</v>
      </c>
      <c r="AT129" t="s">
        <v>482</v>
      </c>
      <c r="AU129" t="str">
        <f>IF(AND(Dataset!F129="Savings",Dataset!AT129="eligible"),"YES","NO")</f>
        <v>NO</v>
      </c>
      <c r="AW129" s="8"/>
      <c r="AX129" s="12" t="s">
        <v>487</v>
      </c>
      <c r="AY129" s="8" t="s">
        <v>489</v>
      </c>
      <c r="AZ129" s="8"/>
      <c r="BD129" t="str">
        <f t="shared" si="23"/>
        <v>yes</v>
      </c>
    </row>
    <row r="130" spans="1:56" x14ac:dyDescent="0.3">
      <c r="A130">
        <f t="shared" si="24"/>
        <v>129</v>
      </c>
      <c r="B130" s="3" t="s">
        <v>160</v>
      </c>
      <c r="C130" s="3" t="s">
        <v>161</v>
      </c>
      <c r="D130" s="2">
        <v>36</v>
      </c>
      <c r="E130" s="2" t="s">
        <v>21</v>
      </c>
      <c r="F130" s="2" t="s">
        <v>15</v>
      </c>
      <c r="G130" s="2">
        <v>8000</v>
      </c>
      <c r="H130" s="2">
        <v>63000</v>
      </c>
      <c r="I130" s="2" t="s">
        <v>16</v>
      </c>
      <c r="J130" s="2">
        <v>0</v>
      </c>
      <c r="K130" s="2">
        <v>710</v>
      </c>
      <c r="L130" s="2" t="s">
        <v>17</v>
      </c>
      <c r="M130" s="2" t="s">
        <v>80</v>
      </c>
      <c r="N130" s="2" t="s">
        <v>25</v>
      </c>
      <c r="O130">
        <v>4</v>
      </c>
      <c r="R130" t="e">
        <f t="shared" si="15"/>
        <v>#DIV/0!</v>
      </c>
      <c r="S130" t="str">
        <f t="shared" si="16"/>
        <v>DIVISION ERROR</v>
      </c>
      <c r="U130" t="b">
        <v>0</v>
      </c>
      <c r="W130" t="str">
        <f t="shared" si="17"/>
        <v>EVEN</v>
      </c>
      <c r="Y130">
        <f t="shared" si="18"/>
        <v>120.5</v>
      </c>
      <c r="AB130" t="str">
        <f t="shared" si="19"/>
        <v>Bad_user</v>
      </c>
      <c r="AE130" t="b">
        <f t="shared" si="20"/>
        <v>1</v>
      </c>
      <c r="AG130" t="b">
        <f t="shared" si="21"/>
        <v>0</v>
      </c>
      <c r="AI130" t="str">
        <f>IF(AND(Dataset!G130 &gt;5000,Dataset!H130&gt;7000),"ACTIVE_CONSUMER","INACTIVE_CONSUMER")</f>
        <v>ACTIVE_CONSUMER</v>
      </c>
      <c r="AN130" t="str">
        <f t="shared" si="22"/>
        <v>Not_eligible</v>
      </c>
      <c r="AQ130" t="str">
        <f>IF(AND(E130="M",F130="checking",Dataset!G130&gt;2000,Dataset!K130&gt;500),"good_client","bad_client")</f>
        <v>bad_client</v>
      </c>
      <c r="AT130" t="s">
        <v>482</v>
      </c>
      <c r="AU130" t="str">
        <f>IF(AND(Dataset!F130="Savings",Dataset!AT130="eligible"),"YES","NO")</f>
        <v>NO</v>
      </c>
      <c r="AW130" s="8"/>
      <c r="AX130" s="12" t="s">
        <v>487</v>
      </c>
      <c r="AY130" s="8" t="s">
        <v>490</v>
      </c>
      <c r="AZ130" s="8"/>
      <c r="BD130" t="str">
        <f t="shared" si="23"/>
        <v>yes</v>
      </c>
    </row>
    <row r="131" spans="1:56" x14ac:dyDescent="0.3">
      <c r="A131">
        <f t="shared" si="24"/>
        <v>130</v>
      </c>
      <c r="B131" s="3" t="s">
        <v>162</v>
      </c>
      <c r="C131" s="3" t="s">
        <v>163</v>
      </c>
      <c r="D131" s="2">
        <v>28</v>
      </c>
      <c r="E131" s="2" t="s">
        <v>14</v>
      </c>
      <c r="F131" s="2" t="s">
        <v>22</v>
      </c>
      <c r="G131" s="2">
        <v>2000</v>
      </c>
      <c r="H131" s="2">
        <v>47000</v>
      </c>
      <c r="I131" s="2" t="s">
        <v>23</v>
      </c>
      <c r="J131" s="2">
        <v>5000</v>
      </c>
      <c r="K131" s="2">
        <v>680</v>
      </c>
      <c r="L131" s="2" t="s">
        <v>24</v>
      </c>
      <c r="M131" s="2" t="s">
        <v>80</v>
      </c>
      <c r="N131" s="2" t="s">
        <v>18</v>
      </c>
      <c r="O131" t="s">
        <v>302</v>
      </c>
      <c r="R131">
        <f t="shared" ref="R131:R194" si="25">H131/J131</f>
        <v>9.4</v>
      </c>
      <c r="S131">
        <f t="shared" ref="S131:S194" si="26">IFERROR(R131,"DIVISION ERROR")</f>
        <v>9.4</v>
      </c>
      <c r="U131" t="b">
        <v>1</v>
      </c>
      <c r="W131" t="str">
        <f t="shared" ref="W131:W194" si="27">IF(ISODD(D131),"ODD","EVEN")</f>
        <v>EVEN</v>
      </c>
      <c r="Y131">
        <f t="shared" ref="Y131:Y194" si="28">_xlfn.RANK.AVG(K131,$K$2:$K$350,0)</f>
        <v>286</v>
      </c>
      <c r="AB131" t="str">
        <f t="shared" ref="AB131:AB194" si="29">IF(N131="Active","Good_user","Bad_user")</f>
        <v>Good_user</v>
      </c>
      <c r="AE131" t="b">
        <f t="shared" ref="AE131:AE194" si="30">ISERROR(R131)</f>
        <v>0</v>
      </c>
      <c r="AG131" t="b">
        <f t="shared" ref="AG131:AG194" si="31">ISTEXT(O131)</f>
        <v>1</v>
      </c>
      <c r="AI131" t="str">
        <f>IF(AND(Dataset!G131 &gt;5000,Dataset!H131&gt;7000),"ACTIVE_CONSUMER","INACTIVE_CONSUMER")</f>
        <v>INACTIVE_CONSUMER</v>
      </c>
      <c r="AN131" t="str">
        <f t="shared" ref="AN131:AN194" si="32">IF(AND(D131&gt;40,H131&lt;8000,K131&lt;300),"Eligible","Not_eligible")</f>
        <v>Not_eligible</v>
      </c>
      <c r="AQ131" t="str">
        <f>IF(AND(E131="M",F131="checking",Dataset!G131&gt;2000,Dataset!K131&gt;500),"good_client","bad_client")</f>
        <v>bad_client</v>
      </c>
      <c r="AT131" t="s">
        <v>482</v>
      </c>
      <c r="AU131" t="str">
        <f>IF(AND(Dataset!F131="Savings",Dataset!AT131="eligible"),"YES","NO")</f>
        <v>NO</v>
      </c>
      <c r="AW131" s="8"/>
      <c r="AX131" s="12" t="s">
        <v>487</v>
      </c>
      <c r="AY131" s="8" t="s">
        <v>489</v>
      </c>
      <c r="AZ131" s="8"/>
      <c r="BD131" t="str">
        <f t="shared" ref="BD131:BD194" si="33">IF(H131&gt;6000,"yes","no")</f>
        <v>yes</v>
      </c>
    </row>
    <row r="132" spans="1:56" x14ac:dyDescent="0.3">
      <c r="A132">
        <f t="shared" si="24"/>
        <v>131</v>
      </c>
      <c r="B132" s="3" t="s">
        <v>164</v>
      </c>
      <c r="C132" s="3" t="s">
        <v>165</v>
      </c>
      <c r="D132" s="2">
        <v>31</v>
      </c>
      <c r="E132" s="2" t="s">
        <v>21</v>
      </c>
      <c r="F132" s="2" t="s">
        <v>15</v>
      </c>
      <c r="G132" s="2">
        <v>4000</v>
      </c>
      <c r="H132" s="2">
        <v>55000</v>
      </c>
      <c r="I132" s="2" t="s">
        <v>16</v>
      </c>
      <c r="J132" s="2">
        <v>0</v>
      </c>
      <c r="K132" s="2">
        <v>690</v>
      </c>
      <c r="L132" s="2" t="s">
        <v>28</v>
      </c>
      <c r="M132" s="2" t="s">
        <v>81</v>
      </c>
      <c r="N132" s="2" t="s">
        <v>25</v>
      </c>
      <c r="O132">
        <v>7</v>
      </c>
      <c r="R132" t="e">
        <f t="shared" si="25"/>
        <v>#DIV/0!</v>
      </c>
      <c r="S132" t="str">
        <f t="shared" si="26"/>
        <v>DIVISION ERROR</v>
      </c>
      <c r="U132" t="b">
        <v>0</v>
      </c>
      <c r="W132" t="str">
        <f t="shared" si="27"/>
        <v>ODD</v>
      </c>
      <c r="Y132">
        <f t="shared" si="28"/>
        <v>223.5</v>
      </c>
      <c r="AB132" t="str">
        <f t="shared" si="29"/>
        <v>Bad_user</v>
      </c>
      <c r="AE132" t="b">
        <f t="shared" si="30"/>
        <v>1</v>
      </c>
      <c r="AG132" t="b">
        <f t="shared" si="31"/>
        <v>0</v>
      </c>
      <c r="AI132" t="str">
        <f>IF(AND(Dataset!G132 &gt;5000,Dataset!H132&gt;7000),"ACTIVE_CONSUMER","INACTIVE_CONSUMER")</f>
        <v>INACTIVE_CONSUMER</v>
      </c>
      <c r="AN132" t="str">
        <f t="shared" si="32"/>
        <v>Not_eligible</v>
      </c>
      <c r="AQ132" t="str">
        <f>IF(AND(E132="M",F132="checking",Dataset!G132&gt;2000,Dataset!K132&gt;500),"good_client","bad_client")</f>
        <v>bad_client</v>
      </c>
      <c r="AT132" t="s">
        <v>482</v>
      </c>
      <c r="AU132" t="str">
        <f>IF(AND(Dataset!F132="Savings",Dataset!AT132="eligible"),"YES","NO")</f>
        <v>NO</v>
      </c>
      <c r="AW132" s="8"/>
      <c r="AX132" s="12" t="s">
        <v>487</v>
      </c>
      <c r="AY132" s="8" t="s">
        <v>490</v>
      </c>
      <c r="AZ132" s="8"/>
      <c r="BD132" t="str">
        <f t="shared" si="33"/>
        <v>yes</v>
      </c>
    </row>
    <row r="133" spans="1:56" x14ac:dyDescent="0.3">
      <c r="A133">
        <f t="shared" si="24"/>
        <v>132</v>
      </c>
      <c r="B133" s="3" t="s">
        <v>166</v>
      </c>
      <c r="C133" s="3" t="s">
        <v>167</v>
      </c>
      <c r="D133" s="2">
        <v>44</v>
      </c>
      <c r="E133" s="2" t="s">
        <v>14</v>
      </c>
      <c r="F133" s="2" t="s">
        <v>22</v>
      </c>
      <c r="G133" s="2">
        <v>6000</v>
      </c>
      <c r="H133" s="2">
        <v>62000</v>
      </c>
      <c r="I133" s="2" t="s">
        <v>23</v>
      </c>
      <c r="J133" s="2">
        <v>10000</v>
      </c>
      <c r="K133" s="2">
        <v>700</v>
      </c>
      <c r="L133" s="2" t="s">
        <v>31</v>
      </c>
      <c r="M133" s="2" t="s">
        <v>81</v>
      </c>
      <c r="N133" s="2" t="s">
        <v>18</v>
      </c>
      <c r="O133">
        <v>12</v>
      </c>
      <c r="R133">
        <f t="shared" si="25"/>
        <v>6.2</v>
      </c>
      <c r="S133">
        <f t="shared" si="26"/>
        <v>6.2</v>
      </c>
      <c r="U133" t="b">
        <v>1</v>
      </c>
      <c r="W133" t="str">
        <f t="shared" si="27"/>
        <v>EVEN</v>
      </c>
      <c r="Y133">
        <f t="shared" si="28"/>
        <v>170</v>
      </c>
      <c r="AB133" t="str">
        <f t="shared" si="29"/>
        <v>Good_user</v>
      </c>
      <c r="AE133" t="b">
        <f t="shared" si="30"/>
        <v>0</v>
      </c>
      <c r="AG133" t="b">
        <f t="shared" si="31"/>
        <v>0</v>
      </c>
      <c r="AI133" t="str">
        <f>IF(AND(Dataset!G133 &gt;5000,Dataset!H133&gt;7000),"ACTIVE_CONSUMER","INACTIVE_CONSUMER")</f>
        <v>ACTIVE_CONSUMER</v>
      </c>
      <c r="AN133" t="str">
        <f t="shared" si="32"/>
        <v>Not_eligible</v>
      </c>
      <c r="AQ133" t="str">
        <f>IF(AND(E133="M",F133="checking",Dataset!G133&gt;2000,Dataset!K133&gt;500),"good_client","bad_client")</f>
        <v>bad_client</v>
      </c>
      <c r="AT133" t="s">
        <v>482</v>
      </c>
      <c r="AU133" t="str">
        <f>IF(AND(Dataset!F133="Savings",Dataset!AT133="eligible"),"YES","NO")</f>
        <v>NO</v>
      </c>
      <c r="AW133" s="8"/>
      <c r="AX133" s="12" t="s">
        <v>487</v>
      </c>
      <c r="AY133" s="8" t="s">
        <v>489</v>
      </c>
      <c r="AZ133" s="8"/>
      <c r="BD133" t="str">
        <f t="shared" si="33"/>
        <v>yes</v>
      </c>
    </row>
    <row r="134" spans="1:56" x14ac:dyDescent="0.3">
      <c r="A134">
        <f t="shared" si="24"/>
        <v>133</v>
      </c>
      <c r="B134" s="3" t="s">
        <v>168</v>
      </c>
      <c r="C134" s="3" t="s">
        <v>169</v>
      </c>
      <c r="D134" s="2">
        <v>39</v>
      </c>
      <c r="E134" s="2" t="s">
        <v>21</v>
      </c>
      <c r="F134" s="2" t="s">
        <v>15</v>
      </c>
      <c r="G134" s="2">
        <v>9000</v>
      </c>
      <c r="H134" s="2">
        <v>67000</v>
      </c>
      <c r="I134" s="2" t="s">
        <v>16</v>
      </c>
      <c r="J134" s="2">
        <v>0</v>
      </c>
      <c r="K134" s="2">
        <v>720</v>
      </c>
      <c r="L134" s="2" t="s">
        <v>17</v>
      </c>
      <c r="M134" s="2" t="s">
        <v>81</v>
      </c>
      <c r="N134" s="2" t="s">
        <v>25</v>
      </c>
      <c r="O134">
        <v>11</v>
      </c>
      <c r="R134" t="e">
        <f t="shared" si="25"/>
        <v>#DIV/0!</v>
      </c>
      <c r="S134" t="str">
        <f t="shared" si="26"/>
        <v>DIVISION ERROR</v>
      </c>
      <c r="U134" t="b">
        <v>0</v>
      </c>
      <c r="W134" t="str">
        <f t="shared" si="27"/>
        <v>ODD</v>
      </c>
      <c r="Y134">
        <f t="shared" si="28"/>
        <v>60</v>
      </c>
      <c r="AB134" t="str">
        <f t="shared" si="29"/>
        <v>Bad_user</v>
      </c>
      <c r="AE134" t="b">
        <f t="shared" si="30"/>
        <v>1</v>
      </c>
      <c r="AG134" t="b">
        <f t="shared" si="31"/>
        <v>0</v>
      </c>
      <c r="AI134" t="str">
        <f>IF(AND(Dataset!G134 &gt;5000,Dataset!H134&gt;7000),"ACTIVE_CONSUMER","INACTIVE_CONSUMER")</f>
        <v>ACTIVE_CONSUMER</v>
      </c>
      <c r="AN134" t="str">
        <f t="shared" si="32"/>
        <v>Not_eligible</v>
      </c>
      <c r="AQ134" t="str">
        <f>IF(AND(E134="M",F134="checking",Dataset!G134&gt;2000,Dataset!K134&gt;500),"good_client","bad_client")</f>
        <v>bad_client</v>
      </c>
      <c r="AT134" t="s">
        <v>482</v>
      </c>
      <c r="AU134" t="str">
        <f>IF(AND(Dataset!F134="Savings",Dataset!AT134="eligible"),"YES","NO")</f>
        <v>NO</v>
      </c>
      <c r="AW134" s="8"/>
      <c r="AX134" s="12" t="s">
        <v>487</v>
      </c>
      <c r="AY134" s="8" t="s">
        <v>490</v>
      </c>
      <c r="AZ134" s="8"/>
      <c r="BD134" t="str">
        <f t="shared" si="33"/>
        <v>yes</v>
      </c>
    </row>
    <row r="135" spans="1:56" x14ac:dyDescent="0.3">
      <c r="A135">
        <f t="shared" si="24"/>
        <v>134</v>
      </c>
      <c r="B135" s="3" t="s">
        <v>170</v>
      </c>
      <c r="C135" s="3" t="s">
        <v>171</v>
      </c>
      <c r="D135" s="2">
        <v>27</v>
      </c>
      <c r="E135" s="2" t="s">
        <v>14</v>
      </c>
      <c r="F135" s="2" t="s">
        <v>22</v>
      </c>
      <c r="G135" s="2">
        <v>2500</v>
      </c>
      <c r="H135" s="2">
        <v>49000</v>
      </c>
      <c r="I135" s="2" t="s">
        <v>23</v>
      </c>
      <c r="J135" s="2">
        <v>7000</v>
      </c>
      <c r="K135" s="2">
        <v>680</v>
      </c>
      <c r="L135" s="2" t="s">
        <v>24</v>
      </c>
      <c r="M135" s="2" t="s">
        <v>82</v>
      </c>
      <c r="N135" s="2" t="s">
        <v>18</v>
      </c>
      <c r="O135">
        <v>3</v>
      </c>
      <c r="R135">
        <f t="shared" si="25"/>
        <v>7</v>
      </c>
      <c r="S135">
        <f t="shared" si="26"/>
        <v>7</v>
      </c>
      <c r="U135" t="b">
        <v>1</v>
      </c>
      <c r="W135" t="str">
        <f t="shared" si="27"/>
        <v>ODD</v>
      </c>
      <c r="Y135">
        <f t="shared" si="28"/>
        <v>286</v>
      </c>
      <c r="AB135" t="str">
        <f t="shared" si="29"/>
        <v>Good_user</v>
      </c>
      <c r="AE135" t="b">
        <f t="shared" si="30"/>
        <v>0</v>
      </c>
      <c r="AG135" t="b">
        <f t="shared" si="31"/>
        <v>0</v>
      </c>
      <c r="AI135" t="str">
        <f>IF(AND(Dataset!G135 &gt;5000,Dataset!H135&gt;7000),"ACTIVE_CONSUMER","INACTIVE_CONSUMER")</f>
        <v>INACTIVE_CONSUMER</v>
      </c>
      <c r="AN135" t="str">
        <f t="shared" si="32"/>
        <v>Not_eligible</v>
      </c>
      <c r="AQ135" t="str">
        <f>IF(AND(E135="M",F135="checking",Dataset!G135&gt;2000,Dataset!K135&gt;500),"good_client","bad_client")</f>
        <v>bad_client</v>
      </c>
      <c r="AT135" t="s">
        <v>482</v>
      </c>
      <c r="AU135" t="str">
        <f>IF(AND(Dataset!F135="Savings",Dataset!AT135="eligible"),"YES","NO")</f>
        <v>NO</v>
      </c>
      <c r="AW135" s="8"/>
      <c r="AX135" s="12" t="s">
        <v>486</v>
      </c>
      <c r="AY135" s="8" t="s">
        <v>489</v>
      </c>
      <c r="AZ135" s="8"/>
      <c r="BD135" t="str">
        <f t="shared" si="33"/>
        <v>yes</v>
      </c>
    </row>
    <row r="136" spans="1:56" x14ac:dyDescent="0.3">
      <c r="A136">
        <f t="shared" si="24"/>
        <v>135</v>
      </c>
      <c r="B136" s="3" t="s">
        <v>172</v>
      </c>
      <c r="C136" s="3" t="s">
        <v>173</v>
      </c>
      <c r="D136" s="2">
        <v>40</v>
      </c>
      <c r="E136" s="2" t="s">
        <v>21</v>
      </c>
      <c r="F136" s="2" t="s">
        <v>15</v>
      </c>
      <c r="G136" s="2">
        <v>7000</v>
      </c>
      <c r="H136" s="2">
        <v>71000</v>
      </c>
      <c r="I136" s="2" t="s">
        <v>16</v>
      </c>
      <c r="J136" s="2">
        <v>0</v>
      </c>
      <c r="K136" s="2">
        <v>710</v>
      </c>
      <c r="L136" s="2" t="s">
        <v>28</v>
      </c>
      <c r="M136" s="2" t="s">
        <v>82</v>
      </c>
      <c r="N136" s="2" t="s">
        <v>25</v>
      </c>
      <c r="O136">
        <v>5</v>
      </c>
      <c r="R136" t="e">
        <f t="shared" si="25"/>
        <v>#DIV/0!</v>
      </c>
      <c r="S136" t="str">
        <f t="shared" si="26"/>
        <v>DIVISION ERROR</v>
      </c>
      <c r="U136" t="b">
        <v>0</v>
      </c>
      <c r="W136" t="str">
        <f t="shared" si="27"/>
        <v>EVEN</v>
      </c>
      <c r="Y136">
        <f t="shared" si="28"/>
        <v>120.5</v>
      </c>
      <c r="AB136" t="str">
        <f t="shared" si="29"/>
        <v>Bad_user</v>
      </c>
      <c r="AE136" t="b">
        <f t="shared" si="30"/>
        <v>1</v>
      </c>
      <c r="AG136" t="b">
        <f t="shared" si="31"/>
        <v>0</v>
      </c>
      <c r="AI136" t="str">
        <f>IF(AND(Dataset!G136 &gt;5000,Dataset!H136&gt;7000),"ACTIVE_CONSUMER","INACTIVE_CONSUMER")</f>
        <v>ACTIVE_CONSUMER</v>
      </c>
      <c r="AN136" t="str">
        <f t="shared" si="32"/>
        <v>Not_eligible</v>
      </c>
      <c r="AQ136" t="str">
        <f>IF(AND(E136="M",F136="checking",Dataset!G136&gt;2000,Dataset!K136&gt;500),"good_client","bad_client")</f>
        <v>bad_client</v>
      </c>
      <c r="AT136" t="s">
        <v>482</v>
      </c>
      <c r="AU136" t="str">
        <f>IF(AND(Dataset!F136="Savings",Dataset!AT136="eligible"),"YES","NO")</f>
        <v>NO</v>
      </c>
      <c r="AW136" s="8"/>
      <c r="AX136" s="12" t="s">
        <v>486</v>
      </c>
      <c r="AY136" s="8" t="s">
        <v>490</v>
      </c>
      <c r="AZ136" s="8"/>
      <c r="BD136" t="str">
        <f t="shared" si="33"/>
        <v>yes</v>
      </c>
    </row>
    <row r="137" spans="1:56" x14ac:dyDescent="0.3">
      <c r="A137">
        <f t="shared" si="24"/>
        <v>136</v>
      </c>
      <c r="B137" s="3" t="s">
        <v>174</v>
      </c>
      <c r="C137" s="3" t="s">
        <v>175</v>
      </c>
      <c r="D137" s="2">
        <v>34</v>
      </c>
      <c r="E137" s="2" t="s">
        <v>14</v>
      </c>
      <c r="F137" s="2" t="s">
        <v>22</v>
      </c>
      <c r="G137" s="2">
        <v>15000</v>
      </c>
      <c r="H137" s="2">
        <v>73000</v>
      </c>
      <c r="I137" s="2" t="s">
        <v>23</v>
      </c>
      <c r="J137" s="2">
        <v>13000</v>
      </c>
      <c r="K137" s="2">
        <v>720</v>
      </c>
      <c r="L137" s="2" t="s">
        <v>31</v>
      </c>
      <c r="M137" s="2" t="s">
        <v>82</v>
      </c>
      <c r="N137" s="2" t="s">
        <v>18</v>
      </c>
      <c r="O137" t="s">
        <v>302</v>
      </c>
      <c r="R137">
        <f t="shared" si="25"/>
        <v>5.615384615384615</v>
      </c>
      <c r="S137">
        <f t="shared" si="26"/>
        <v>5.615384615384615</v>
      </c>
      <c r="U137" t="b">
        <v>1</v>
      </c>
      <c r="W137" t="str">
        <f t="shared" si="27"/>
        <v>EVEN</v>
      </c>
      <c r="Y137">
        <f t="shared" si="28"/>
        <v>60</v>
      </c>
      <c r="AB137" t="str">
        <f t="shared" si="29"/>
        <v>Good_user</v>
      </c>
      <c r="AE137" t="b">
        <f t="shared" si="30"/>
        <v>0</v>
      </c>
      <c r="AG137" t="b">
        <f t="shared" si="31"/>
        <v>1</v>
      </c>
      <c r="AI137" t="str">
        <f>IF(AND(Dataset!G137 &gt;5000,Dataset!H137&gt;7000),"ACTIVE_CONSUMER","INACTIVE_CONSUMER")</f>
        <v>ACTIVE_CONSUMER</v>
      </c>
      <c r="AN137" t="str">
        <f t="shared" si="32"/>
        <v>Not_eligible</v>
      </c>
      <c r="AQ137" t="str">
        <f>IF(AND(E137="M",F137="checking",Dataset!G137&gt;2000,Dataset!K137&gt;500),"good_client","bad_client")</f>
        <v>bad_client</v>
      </c>
      <c r="AT137" t="s">
        <v>482</v>
      </c>
      <c r="AU137" t="str">
        <f>IF(AND(Dataset!F137="Savings",Dataset!AT137="eligible"),"YES","NO")</f>
        <v>NO</v>
      </c>
      <c r="AW137" s="8"/>
      <c r="AX137" s="12" t="s">
        <v>486</v>
      </c>
      <c r="AY137" s="8" t="s">
        <v>489</v>
      </c>
      <c r="AZ137" s="8"/>
      <c r="BD137" t="str">
        <f t="shared" si="33"/>
        <v>yes</v>
      </c>
    </row>
    <row r="138" spans="1:56" x14ac:dyDescent="0.3">
      <c r="A138">
        <f t="shared" si="24"/>
        <v>137</v>
      </c>
      <c r="B138" s="3" t="s">
        <v>176</v>
      </c>
      <c r="C138" s="3" t="s">
        <v>177</v>
      </c>
      <c r="D138" s="2">
        <v>29</v>
      </c>
      <c r="E138" s="2" t="s">
        <v>21</v>
      </c>
      <c r="F138" s="2" t="s">
        <v>15</v>
      </c>
      <c r="G138" s="2">
        <v>2500</v>
      </c>
      <c r="H138" s="2">
        <v>47000</v>
      </c>
      <c r="I138" s="2" t="s">
        <v>16</v>
      </c>
      <c r="J138" s="2">
        <v>0</v>
      </c>
      <c r="K138" s="2">
        <v>680</v>
      </c>
      <c r="L138" s="2" t="s">
        <v>17</v>
      </c>
      <c r="M138" s="2" t="s">
        <v>80</v>
      </c>
      <c r="N138" s="2" t="s">
        <v>25</v>
      </c>
      <c r="O138">
        <v>11</v>
      </c>
      <c r="R138" t="e">
        <f t="shared" si="25"/>
        <v>#DIV/0!</v>
      </c>
      <c r="S138" t="str">
        <f t="shared" si="26"/>
        <v>DIVISION ERROR</v>
      </c>
      <c r="U138" t="b">
        <v>0</v>
      </c>
      <c r="W138" t="str">
        <f t="shared" si="27"/>
        <v>ODD</v>
      </c>
      <c r="Y138">
        <f t="shared" si="28"/>
        <v>286</v>
      </c>
      <c r="AB138" t="str">
        <f t="shared" si="29"/>
        <v>Bad_user</v>
      </c>
      <c r="AE138" t="b">
        <f t="shared" si="30"/>
        <v>1</v>
      </c>
      <c r="AG138" t="b">
        <f t="shared" si="31"/>
        <v>0</v>
      </c>
      <c r="AI138" t="str">
        <f>IF(AND(Dataset!G138 &gt;5000,Dataset!H138&gt;7000),"ACTIVE_CONSUMER","INACTIVE_CONSUMER")</f>
        <v>INACTIVE_CONSUMER</v>
      </c>
      <c r="AN138" t="str">
        <f t="shared" si="32"/>
        <v>Not_eligible</v>
      </c>
      <c r="AQ138" t="str">
        <f>IF(AND(E138="M",F138="checking",Dataset!G138&gt;2000,Dataset!K138&gt;500),"good_client","bad_client")</f>
        <v>bad_client</v>
      </c>
      <c r="AT138" t="s">
        <v>482</v>
      </c>
      <c r="AU138" t="str">
        <f>IF(AND(Dataset!F138="Savings",Dataset!AT138="eligible"),"YES","NO")</f>
        <v>NO</v>
      </c>
      <c r="AW138" s="8"/>
      <c r="AX138" s="12" t="s">
        <v>487</v>
      </c>
      <c r="AY138" s="8" t="s">
        <v>490</v>
      </c>
      <c r="AZ138" s="8"/>
      <c r="BD138" t="str">
        <f t="shared" si="33"/>
        <v>yes</v>
      </c>
    </row>
    <row r="139" spans="1:56" x14ac:dyDescent="0.3">
      <c r="A139">
        <f t="shared" si="24"/>
        <v>138</v>
      </c>
      <c r="B139" s="3" t="s">
        <v>178</v>
      </c>
      <c r="C139" s="3" t="s">
        <v>179</v>
      </c>
      <c r="D139" s="2">
        <v>31</v>
      </c>
      <c r="E139" s="2" t="s">
        <v>14</v>
      </c>
      <c r="F139" s="2" t="s">
        <v>22</v>
      </c>
      <c r="G139" s="2">
        <v>5000</v>
      </c>
      <c r="H139" s="2">
        <v>53000</v>
      </c>
      <c r="I139" s="2" t="s">
        <v>23</v>
      </c>
      <c r="J139" s="2">
        <v>8000</v>
      </c>
      <c r="K139" s="2">
        <v>690</v>
      </c>
      <c r="L139" s="2" t="s">
        <v>24</v>
      </c>
      <c r="M139" s="2" t="s">
        <v>80</v>
      </c>
      <c r="N139" s="2" t="s">
        <v>18</v>
      </c>
      <c r="O139">
        <v>11</v>
      </c>
      <c r="R139">
        <f t="shared" si="25"/>
        <v>6.625</v>
      </c>
      <c r="S139">
        <f t="shared" si="26"/>
        <v>6.625</v>
      </c>
      <c r="U139" t="b">
        <v>1</v>
      </c>
      <c r="W139" t="str">
        <f t="shared" si="27"/>
        <v>ODD</v>
      </c>
      <c r="Y139">
        <f t="shared" si="28"/>
        <v>223.5</v>
      </c>
      <c r="AB139" t="str">
        <f t="shared" si="29"/>
        <v>Good_user</v>
      </c>
      <c r="AE139" t="b">
        <f t="shared" si="30"/>
        <v>0</v>
      </c>
      <c r="AG139" t="b">
        <f t="shared" si="31"/>
        <v>0</v>
      </c>
      <c r="AI139" t="str">
        <f>IF(AND(Dataset!G139 &gt;5000,Dataset!H139&gt;7000),"ACTIVE_CONSUMER","INACTIVE_CONSUMER")</f>
        <v>INACTIVE_CONSUMER</v>
      </c>
      <c r="AN139" t="str">
        <f t="shared" si="32"/>
        <v>Not_eligible</v>
      </c>
      <c r="AQ139" t="str">
        <f>IF(AND(E139="M",F139="checking",Dataset!G139&gt;2000,Dataset!K139&gt;500),"good_client","bad_client")</f>
        <v>bad_client</v>
      </c>
      <c r="AT139" t="s">
        <v>482</v>
      </c>
      <c r="AU139" t="str">
        <f>IF(AND(Dataset!F139="Savings",Dataset!AT139="eligible"),"YES","NO")</f>
        <v>NO</v>
      </c>
      <c r="AW139" s="8"/>
      <c r="AX139" s="12" t="s">
        <v>487</v>
      </c>
      <c r="AY139" s="8" t="s">
        <v>489</v>
      </c>
      <c r="AZ139" s="8"/>
      <c r="BD139" t="str">
        <f t="shared" si="33"/>
        <v>yes</v>
      </c>
    </row>
    <row r="140" spans="1:56" x14ac:dyDescent="0.3">
      <c r="A140">
        <f t="shared" si="24"/>
        <v>139</v>
      </c>
      <c r="B140" s="3" t="s">
        <v>180</v>
      </c>
      <c r="C140" s="3" t="s">
        <v>181</v>
      </c>
      <c r="D140" s="2">
        <v>42</v>
      </c>
      <c r="E140" s="2" t="s">
        <v>21</v>
      </c>
      <c r="F140" s="2" t="s">
        <v>15</v>
      </c>
      <c r="G140" s="2">
        <v>6000</v>
      </c>
      <c r="H140" s="2">
        <v>69000</v>
      </c>
      <c r="I140" s="2" t="s">
        <v>16</v>
      </c>
      <c r="J140" s="2">
        <v>0</v>
      </c>
      <c r="K140" s="2">
        <v>720</v>
      </c>
      <c r="L140" s="2" t="s">
        <v>28</v>
      </c>
      <c r="M140" s="2" t="s">
        <v>80</v>
      </c>
      <c r="N140" s="2" t="s">
        <v>25</v>
      </c>
      <c r="O140">
        <v>6</v>
      </c>
      <c r="R140" t="e">
        <f t="shared" si="25"/>
        <v>#DIV/0!</v>
      </c>
      <c r="S140" t="str">
        <f t="shared" si="26"/>
        <v>DIVISION ERROR</v>
      </c>
      <c r="U140" t="b">
        <v>0</v>
      </c>
      <c r="W140" t="str">
        <f t="shared" si="27"/>
        <v>EVEN</v>
      </c>
      <c r="Y140">
        <f t="shared" si="28"/>
        <v>60</v>
      </c>
      <c r="AB140" t="str">
        <f t="shared" si="29"/>
        <v>Bad_user</v>
      </c>
      <c r="AE140" t="b">
        <f t="shared" si="30"/>
        <v>1</v>
      </c>
      <c r="AG140" t="b">
        <f t="shared" si="31"/>
        <v>0</v>
      </c>
      <c r="AI140" t="str">
        <f>IF(AND(Dataset!G140 &gt;5000,Dataset!H140&gt;7000),"ACTIVE_CONSUMER","INACTIVE_CONSUMER")</f>
        <v>ACTIVE_CONSUMER</v>
      </c>
      <c r="AN140" t="str">
        <f t="shared" si="32"/>
        <v>Not_eligible</v>
      </c>
      <c r="AQ140" t="str">
        <f>IF(AND(E140="M",F140="checking",Dataset!G140&gt;2000,Dataset!K140&gt;500),"good_client","bad_client")</f>
        <v>bad_client</v>
      </c>
      <c r="AT140" t="s">
        <v>482</v>
      </c>
      <c r="AU140" t="str">
        <f>IF(AND(Dataset!F140="Savings",Dataset!AT140="eligible"),"YES","NO")</f>
        <v>NO</v>
      </c>
      <c r="AW140" s="8"/>
      <c r="AX140" s="12" t="s">
        <v>487</v>
      </c>
      <c r="AY140" s="8" t="s">
        <v>490</v>
      </c>
      <c r="AZ140" s="8"/>
      <c r="BD140" t="str">
        <f t="shared" si="33"/>
        <v>yes</v>
      </c>
    </row>
    <row r="141" spans="1:56" x14ac:dyDescent="0.3">
      <c r="A141">
        <f t="shared" si="24"/>
        <v>140</v>
      </c>
      <c r="B141" s="3" t="s">
        <v>182</v>
      </c>
      <c r="C141" s="3" t="s">
        <v>183</v>
      </c>
      <c r="D141" s="2">
        <v>36</v>
      </c>
      <c r="E141" s="2" t="s">
        <v>14</v>
      </c>
      <c r="F141" s="2" t="s">
        <v>22</v>
      </c>
      <c r="G141" s="2">
        <v>2000</v>
      </c>
      <c r="H141" s="2">
        <v>45000</v>
      </c>
      <c r="I141" s="2" t="s">
        <v>23</v>
      </c>
      <c r="J141" s="2">
        <v>5000</v>
      </c>
      <c r="K141" s="2">
        <v>700</v>
      </c>
      <c r="L141" s="2" t="s">
        <v>31</v>
      </c>
      <c r="M141" s="2" t="s">
        <v>80</v>
      </c>
      <c r="N141" s="2" t="s">
        <v>18</v>
      </c>
      <c r="O141">
        <v>6</v>
      </c>
      <c r="R141">
        <f t="shared" si="25"/>
        <v>9</v>
      </c>
      <c r="S141">
        <f t="shared" si="26"/>
        <v>9</v>
      </c>
      <c r="U141" t="b">
        <v>1</v>
      </c>
      <c r="W141" t="str">
        <f t="shared" si="27"/>
        <v>EVEN</v>
      </c>
      <c r="Y141">
        <f t="shared" si="28"/>
        <v>170</v>
      </c>
      <c r="AB141" t="str">
        <f t="shared" si="29"/>
        <v>Good_user</v>
      </c>
      <c r="AE141" t="b">
        <f t="shared" si="30"/>
        <v>0</v>
      </c>
      <c r="AG141" t="b">
        <f t="shared" si="31"/>
        <v>0</v>
      </c>
      <c r="AI141" t="str">
        <f>IF(AND(Dataset!G141 &gt;5000,Dataset!H141&gt;7000),"ACTIVE_CONSUMER","INACTIVE_CONSUMER")</f>
        <v>INACTIVE_CONSUMER</v>
      </c>
      <c r="AN141" t="str">
        <f t="shared" si="32"/>
        <v>Not_eligible</v>
      </c>
      <c r="AQ141" t="str">
        <f>IF(AND(E141="M",F141="checking",Dataset!G141&gt;2000,Dataset!K141&gt;500),"good_client","bad_client")</f>
        <v>bad_client</v>
      </c>
      <c r="AT141" t="s">
        <v>482</v>
      </c>
      <c r="AU141" t="str">
        <f>IF(AND(Dataset!F141="Savings",Dataset!AT141="eligible"),"YES","NO")</f>
        <v>NO</v>
      </c>
      <c r="AW141" s="8"/>
      <c r="AX141" s="12" t="s">
        <v>487</v>
      </c>
      <c r="AY141" s="8" t="s">
        <v>489</v>
      </c>
      <c r="AZ141" s="8"/>
      <c r="BD141" t="str">
        <f t="shared" si="33"/>
        <v>yes</v>
      </c>
    </row>
    <row r="142" spans="1:56" x14ac:dyDescent="0.3">
      <c r="A142">
        <f t="shared" si="24"/>
        <v>141</v>
      </c>
      <c r="B142" s="3" t="s">
        <v>184</v>
      </c>
      <c r="C142" s="3" t="s">
        <v>185</v>
      </c>
      <c r="D142" s="2">
        <v>48</v>
      </c>
      <c r="E142" s="2" t="s">
        <v>21</v>
      </c>
      <c r="F142" s="2" t="s">
        <v>15</v>
      </c>
      <c r="G142" s="2">
        <v>8000</v>
      </c>
      <c r="H142" s="2">
        <v>74000</v>
      </c>
      <c r="I142" s="2" t="s">
        <v>16</v>
      </c>
      <c r="J142" s="2">
        <v>0</v>
      </c>
      <c r="K142" s="2">
        <v>680</v>
      </c>
      <c r="L142" s="2" t="s">
        <v>17</v>
      </c>
      <c r="M142" s="2" t="s">
        <v>81</v>
      </c>
      <c r="N142" s="2" t="s">
        <v>25</v>
      </c>
      <c r="O142">
        <v>5</v>
      </c>
      <c r="R142" t="e">
        <f t="shared" si="25"/>
        <v>#DIV/0!</v>
      </c>
      <c r="S142" t="str">
        <f t="shared" si="26"/>
        <v>DIVISION ERROR</v>
      </c>
      <c r="U142" t="b">
        <v>0</v>
      </c>
      <c r="W142" t="str">
        <f t="shared" si="27"/>
        <v>EVEN</v>
      </c>
      <c r="Y142">
        <f t="shared" si="28"/>
        <v>286</v>
      </c>
      <c r="AB142" t="str">
        <f t="shared" si="29"/>
        <v>Bad_user</v>
      </c>
      <c r="AE142" t="b">
        <f t="shared" si="30"/>
        <v>1</v>
      </c>
      <c r="AG142" t="b">
        <f t="shared" si="31"/>
        <v>0</v>
      </c>
      <c r="AI142" t="str">
        <f>IF(AND(Dataset!G142 &gt;5000,Dataset!H142&gt;7000),"ACTIVE_CONSUMER","INACTIVE_CONSUMER")</f>
        <v>ACTIVE_CONSUMER</v>
      </c>
      <c r="AN142" t="str">
        <f t="shared" si="32"/>
        <v>Not_eligible</v>
      </c>
      <c r="AQ142" t="str">
        <f>IF(AND(E142="M",F142="checking",Dataset!G142&gt;2000,Dataset!K142&gt;500),"good_client","bad_client")</f>
        <v>bad_client</v>
      </c>
      <c r="AT142" t="s">
        <v>482</v>
      </c>
      <c r="AU142" t="str">
        <f>IF(AND(Dataset!F142="Savings",Dataset!AT142="eligible"),"YES","NO")</f>
        <v>NO</v>
      </c>
      <c r="AW142" s="8"/>
      <c r="AX142" s="12" t="s">
        <v>487</v>
      </c>
      <c r="AY142" s="8" t="s">
        <v>490</v>
      </c>
      <c r="AZ142" s="8"/>
      <c r="BD142" t="str">
        <f t="shared" si="33"/>
        <v>yes</v>
      </c>
    </row>
    <row r="143" spans="1:56" x14ac:dyDescent="0.3">
      <c r="A143">
        <f t="shared" si="24"/>
        <v>142</v>
      </c>
      <c r="B143" s="3" t="s">
        <v>186</v>
      </c>
      <c r="C143" s="3" t="s">
        <v>187</v>
      </c>
      <c r="D143" s="2">
        <v>33</v>
      </c>
      <c r="E143" s="2" t="s">
        <v>14</v>
      </c>
      <c r="F143" s="2" t="s">
        <v>22</v>
      </c>
      <c r="G143" s="2">
        <v>4000</v>
      </c>
      <c r="H143" s="2">
        <v>60000</v>
      </c>
      <c r="I143" s="2" t="s">
        <v>23</v>
      </c>
      <c r="J143" s="2">
        <v>8000</v>
      </c>
      <c r="K143" s="2">
        <v>720</v>
      </c>
      <c r="L143" s="2" t="s">
        <v>24</v>
      </c>
      <c r="M143" s="2" t="s">
        <v>81</v>
      </c>
      <c r="N143" s="2" t="s">
        <v>18</v>
      </c>
      <c r="O143">
        <v>4</v>
      </c>
      <c r="R143">
        <f t="shared" si="25"/>
        <v>7.5</v>
      </c>
      <c r="S143">
        <f t="shared" si="26"/>
        <v>7.5</v>
      </c>
      <c r="U143" t="b">
        <v>1</v>
      </c>
      <c r="W143" t="str">
        <f t="shared" si="27"/>
        <v>ODD</v>
      </c>
      <c r="Y143">
        <f t="shared" si="28"/>
        <v>60</v>
      </c>
      <c r="AB143" t="str">
        <f t="shared" si="29"/>
        <v>Good_user</v>
      </c>
      <c r="AE143" t="b">
        <f t="shared" si="30"/>
        <v>0</v>
      </c>
      <c r="AG143" t="b">
        <f t="shared" si="31"/>
        <v>0</v>
      </c>
      <c r="AI143" t="str">
        <f>IF(AND(Dataset!G143 &gt;5000,Dataset!H143&gt;7000),"ACTIVE_CONSUMER","INACTIVE_CONSUMER")</f>
        <v>INACTIVE_CONSUMER</v>
      </c>
      <c r="AN143" t="str">
        <f t="shared" si="32"/>
        <v>Not_eligible</v>
      </c>
      <c r="AQ143" t="str">
        <f>IF(AND(E143="M",F143="checking",Dataset!G143&gt;2000,Dataset!K143&gt;500),"good_client","bad_client")</f>
        <v>bad_client</v>
      </c>
      <c r="AT143" t="s">
        <v>482</v>
      </c>
      <c r="AU143" t="str">
        <f>IF(AND(Dataset!F143="Savings",Dataset!AT143="eligible"),"YES","NO")</f>
        <v>NO</v>
      </c>
      <c r="AW143" s="8"/>
      <c r="AX143" s="12" t="s">
        <v>487</v>
      </c>
      <c r="AY143" s="8" t="s">
        <v>489</v>
      </c>
      <c r="AZ143" s="8"/>
      <c r="BD143" t="str">
        <f t="shared" si="33"/>
        <v>yes</v>
      </c>
    </row>
    <row r="144" spans="1:56" x14ac:dyDescent="0.3">
      <c r="A144">
        <f t="shared" si="24"/>
        <v>143</v>
      </c>
      <c r="B144" s="3" t="s">
        <v>50</v>
      </c>
      <c r="C144" s="3" t="s">
        <v>188</v>
      </c>
      <c r="D144" s="2">
        <v>29</v>
      </c>
      <c r="E144" s="2" t="s">
        <v>21</v>
      </c>
      <c r="F144" s="2" t="s">
        <v>15</v>
      </c>
      <c r="G144" s="2">
        <v>3500</v>
      </c>
      <c r="H144" s="2">
        <v>55000</v>
      </c>
      <c r="I144" s="2" t="s">
        <v>16</v>
      </c>
      <c r="J144" s="2">
        <v>0</v>
      </c>
      <c r="K144" s="2">
        <v>690</v>
      </c>
      <c r="L144" s="2" t="s">
        <v>28</v>
      </c>
      <c r="M144" s="2" t="s">
        <v>81</v>
      </c>
      <c r="N144" s="2" t="s">
        <v>25</v>
      </c>
      <c r="O144">
        <v>6</v>
      </c>
      <c r="R144" t="e">
        <f t="shared" si="25"/>
        <v>#DIV/0!</v>
      </c>
      <c r="S144" t="str">
        <f t="shared" si="26"/>
        <v>DIVISION ERROR</v>
      </c>
      <c r="U144" t="b">
        <v>0</v>
      </c>
      <c r="W144" t="str">
        <f t="shared" si="27"/>
        <v>ODD</v>
      </c>
      <c r="Y144">
        <f t="shared" si="28"/>
        <v>223.5</v>
      </c>
      <c r="AB144" t="str">
        <f t="shared" si="29"/>
        <v>Bad_user</v>
      </c>
      <c r="AE144" t="b">
        <f t="shared" si="30"/>
        <v>1</v>
      </c>
      <c r="AG144" t="b">
        <f t="shared" si="31"/>
        <v>0</v>
      </c>
      <c r="AI144" t="str">
        <f>IF(AND(Dataset!G144 &gt;5000,Dataset!H144&gt;7000),"ACTIVE_CONSUMER","INACTIVE_CONSUMER")</f>
        <v>INACTIVE_CONSUMER</v>
      </c>
      <c r="AN144" t="str">
        <f t="shared" si="32"/>
        <v>Not_eligible</v>
      </c>
      <c r="AQ144" t="str">
        <f>IF(AND(E144="M",F144="checking",Dataset!G144&gt;2000,Dataset!K144&gt;500),"good_client","bad_client")</f>
        <v>bad_client</v>
      </c>
      <c r="AT144" t="s">
        <v>482</v>
      </c>
      <c r="AU144" t="str">
        <f>IF(AND(Dataset!F144="Savings",Dataset!AT144="eligible"),"YES","NO")</f>
        <v>NO</v>
      </c>
      <c r="AW144" s="8"/>
      <c r="AX144" s="12" t="s">
        <v>487</v>
      </c>
      <c r="AY144" s="8" t="s">
        <v>490</v>
      </c>
      <c r="AZ144" s="8"/>
      <c r="BD144" t="str">
        <f t="shared" si="33"/>
        <v>yes</v>
      </c>
    </row>
    <row r="145" spans="1:56" x14ac:dyDescent="0.3">
      <c r="A145">
        <f t="shared" si="24"/>
        <v>144</v>
      </c>
      <c r="B145" s="3" t="s">
        <v>189</v>
      </c>
      <c r="C145" s="3" t="s">
        <v>190</v>
      </c>
      <c r="D145" s="2">
        <v>37</v>
      </c>
      <c r="E145" s="2" t="s">
        <v>14</v>
      </c>
      <c r="F145" s="2" t="s">
        <v>15</v>
      </c>
      <c r="G145" s="2">
        <v>10000</v>
      </c>
      <c r="H145" s="2">
        <v>67000</v>
      </c>
      <c r="I145" s="2" t="s">
        <v>23</v>
      </c>
      <c r="J145" s="2">
        <v>12000</v>
      </c>
      <c r="K145" s="2">
        <v>710</v>
      </c>
      <c r="L145" s="2" t="s">
        <v>31</v>
      </c>
      <c r="M145" s="2" t="s">
        <v>81</v>
      </c>
      <c r="N145" s="2" t="s">
        <v>18</v>
      </c>
      <c r="O145">
        <v>5</v>
      </c>
      <c r="R145">
        <f t="shared" si="25"/>
        <v>5.583333333333333</v>
      </c>
      <c r="S145">
        <f t="shared" si="26"/>
        <v>5.583333333333333</v>
      </c>
      <c r="U145" t="b">
        <v>1</v>
      </c>
      <c r="W145" t="str">
        <f t="shared" si="27"/>
        <v>ODD</v>
      </c>
      <c r="Y145">
        <f t="shared" si="28"/>
        <v>120.5</v>
      </c>
      <c r="AB145" t="str">
        <f t="shared" si="29"/>
        <v>Good_user</v>
      </c>
      <c r="AE145" t="b">
        <f t="shared" si="30"/>
        <v>0</v>
      </c>
      <c r="AG145" t="b">
        <f t="shared" si="31"/>
        <v>0</v>
      </c>
      <c r="AI145" t="str">
        <f>IF(AND(Dataset!G145 &gt;5000,Dataset!H145&gt;7000),"ACTIVE_CONSUMER","INACTIVE_CONSUMER")</f>
        <v>ACTIVE_CONSUMER</v>
      </c>
      <c r="AN145" t="str">
        <f t="shared" si="32"/>
        <v>Not_eligible</v>
      </c>
      <c r="AQ145" t="str">
        <f>IF(AND(E145="M",F145="checking",Dataset!G145&gt;2000,Dataset!K145&gt;500),"good_client","bad_client")</f>
        <v>good_client</v>
      </c>
      <c r="AT145" t="s">
        <v>482</v>
      </c>
      <c r="AU145" t="str">
        <f>IF(AND(Dataset!F145="Savings",Dataset!AT145="eligible"),"YES","NO")</f>
        <v>NO</v>
      </c>
      <c r="AW145" s="8"/>
      <c r="AX145" s="12" t="s">
        <v>487</v>
      </c>
      <c r="AY145" s="8" t="s">
        <v>489</v>
      </c>
      <c r="AZ145" s="8"/>
      <c r="BD145" t="str">
        <f t="shared" si="33"/>
        <v>yes</v>
      </c>
    </row>
    <row r="146" spans="1:56" x14ac:dyDescent="0.3">
      <c r="A146">
        <f t="shared" si="24"/>
        <v>145</v>
      </c>
      <c r="B146" s="3" t="s">
        <v>191</v>
      </c>
      <c r="C146" s="3" t="s">
        <v>192</v>
      </c>
      <c r="D146" s="2">
        <v>34</v>
      </c>
      <c r="E146" s="2" t="s">
        <v>21</v>
      </c>
      <c r="F146" s="2" t="s">
        <v>15</v>
      </c>
      <c r="G146" s="2">
        <v>3000</v>
      </c>
      <c r="H146" s="2">
        <v>48000</v>
      </c>
      <c r="I146" s="2" t="s">
        <v>16</v>
      </c>
      <c r="J146" s="2">
        <v>0</v>
      </c>
      <c r="K146" s="2">
        <v>680</v>
      </c>
      <c r="L146" s="2" t="s">
        <v>17</v>
      </c>
      <c r="M146" s="2" t="s">
        <v>82</v>
      </c>
      <c r="N146" s="2" t="s">
        <v>25</v>
      </c>
      <c r="O146">
        <v>14</v>
      </c>
      <c r="R146" t="e">
        <f t="shared" si="25"/>
        <v>#DIV/0!</v>
      </c>
      <c r="S146" t="str">
        <f t="shared" si="26"/>
        <v>DIVISION ERROR</v>
      </c>
      <c r="U146" t="b">
        <v>0</v>
      </c>
      <c r="W146" t="str">
        <f t="shared" si="27"/>
        <v>EVEN</v>
      </c>
      <c r="Y146">
        <f t="shared" si="28"/>
        <v>286</v>
      </c>
      <c r="AB146" t="str">
        <f t="shared" si="29"/>
        <v>Bad_user</v>
      </c>
      <c r="AE146" t="b">
        <f t="shared" si="30"/>
        <v>1</v>
      </c>
      <c r="AG146" t="b">
        <f t="shared" si="31"/>
        <v>0</v>
      </c>
      <c r="AI146" t="str">
        <f>IF(AND(Dataset!G146 &gt;5000,Dataset!H146&gt;7000),"ACTIVE_CONSUMER","INACTIVE_CONSUMER")</f>
        <v>INACTIVE_CONSUMER</v>
      </c>
      <c r="AN146" t="str">
        <f t="shared" si="32"/>
        <v>Not_eligible</v>
      </c>
      <c r="AQ146" t="str">
        <f>IF(AND(E146="M",F146="checking",Dataset!G146&gt;2000,Dataset!K146&gt;500),"good_client","bad_client")</f>
        <v>bad_client</v>
      </c>
      <c r="AT146" t="s">
        <v>482</v>
      </c>
      <c r="AU146" t="str">
        <f>IF(AND(Dataset!F146="Savings",Dataset!AT146="eligible"),"YES","NO")</f>
        <v>NO</v>
      </c>
      <c r="AW146" s="8"/>
      <c r="AX146" s="12" t="s">
        <v>486</v>
      </c>
      <c r="AY146" s="8" t="s">
        <v>490</v>
      </c>
      <c r="AZ146" s="8"/>
      <c r="BD146" t="str">
        <f t="shared" si="33"/>
        <v>yes</v>
      </c>
    </row>
    <row r="147" spans="1:56" x14ac:dyDescent="0.3">
      <c r="A147">
        <f t="shared" si="24"/>
        <v>146</v>
      </c>
      <c r="B147" s="3" t="s">
        <v>193</v>
      </c>
      <c r="C147" s="3" t="s">
        <v>194</v>
      </c>
      <c r="D147" s="2">
        <v>45</v>
      </c>
      <c r="E147" s="2" t="s">
        <v>14</v>
      </c>
      <c r="F147" s="2" t="s">
        <v>15</v>
      </c>
      <c r="G147" s="2">
        <v>6000</v>
      </c>
      <c r="H147" s="2">
        <v>70000</v>
      </c>
      <c r="I147" s="2" t="s">
        <v>23</v>
      </c>
      <c r="J147" s="2">
        <v>15000</v>
      </c>
      <c r="K147" s="2">
        <v>690</v>
      </c>
      <c r="L147" s="2" t="s">
        <v>24</v>
      </c>
      <c r="M147" s="2" t="s">
        <v>82</v>
      </c>
      <c r="N147" s="2" t="s">
        <v>18</v>
      </c>
      <c r="O147">
        <v>12</v>
      </c>
      <c r="R147">
        <f t="shared" si="25"/>
        <v>4.666666666666667</v>
      </c>
      <c r="S147">
        <f t="shared" si="26"/>
        <v>4.666666666666667</v>
      </c>
      <c r="U147" t="b">
        <v>1</v>
      </c>
      <c r="W147" t="str">
        <f t="shared" si="27"/>
        <v>ODD</v>
      </c>
      <c r="Y147">
        <f t="shared" si="28"/>
        <v>223.5</v>
      </c>
      <c r="AB147" t="str">
        <f t="shared" si="29"/>
        <v>Good_user</v>
      </c>
      <c r="AE147" t="b">
        <f t="shared" si="30"/>
        <v>0</v>
      </c>
      <c r="AG147" t="b">
        <f t="shared" si="31"/>
        <v>0</v>
      </c>
      <c r="AI147" t="str">
        <f>IF(AND(Dataset!G147 &gt;5000,Dataset!H147&gt;7000),"ACTIVE_CONSUMER","INACTIVE_CONSUMER")</f>
        <v>ACTIVE_CONSUMER</v>
      </c>
      <c r="AN147" t="str">
        <f t="shared" si="32"/>
        <v>Not_eligible</v>
      </c>
      <c r="AQ147" t="str">
        <f>IF(AND(E147="M",F147="checking",Dataset!G147&gt;2000,Dataset!K147&gt;500),"good_client","bad_client")</f>
        <v>good_client</v>
      </c>
      <c r="AT147" t="s">
        <v>482</v>
      </c>
      <c r="AU147" t="str">
        <f>IF(AND(Dataset!F147="Savings",Dataset!AT147="eligible"),"YES","NO")</f>
        <v>NO</v>
      </c>
      <c r="AW147" s="8"/>
      <c r="AX147" s="12" t="s">
        <v>486</v>
      </c>
      <c r="AY147" s="8" t="s">
        <v>489</v>
      </c>
      <c r="AZ147" s="8"/>
      <c r="BD147" t="str">
        <f t="shared" si="33"/>
        <v>yes</v>
      </c>
    </row>
    <row r="148" spans="1:56" x14ac:dyDescent="0.3">
      <c r="A148">
        <f t="shared" si="24"/>
        <v>147</v>
      </c>
      <c r="B148" s="3" t="s">
        <v>195</v>
      </c>
      <c r="C148" s="3" t="s">
        <v>196</v>
      </c>
      <c r="D148" s="2">
        <v>28</v>
      </c>
      <c r="E148" s="2" t="s">
        <v>21</v>
      </c>
      <c r="F148" s="2" t="s">
        <v>15</v>
      </c>
      <c r="G148" s="2">
        <v>5500</v>
      </c>
      <c r="H148" s="2">
        <v>62000</v>
      </c>
      <c r="I148" s="2" t="s">
        <v>16</v>
      </c>
      <c r="J148" s="2">
        <v>0</v>
      </c>
      <c r="K148" s="2">
        <v>700</v>
      </c>
      <c r="L148" s="2" t="s">
        <v>28</v>
      </c>
      <c r="M148" s="2" t="s">
        <v>82</v>
      </c>
      <c r="N148" s="2" t="s">
        <v>25</v>
      </c>
      <c r="O148">
        <v>11</v>
      </c>
      <c r="R148" t="e">
        <f t="shared" si="25"/>
        <v>#DIV/0!</v>
      </c>
      <c r="S148" t="str">
        <f t="shared" si="26"/>
        <v>DIVISION ERROR</v>
      </c>
      <c r="U148" t="b">
        <v>0</v>
      </c>
      <c r="W148" t="str">
        <f t="shared" si="27"/>
        <v>EVEN</v>
      </c>
      <c r="Y148">
        <f t="shared" si="28"/>
        <v>170</v>
      </c>
      <c r="AB148" t="str">
        <f t="shared" si="29"/>
        <v>Bad_user</v>
      </c>
      <c r="AE148" t="b">
        <f t="shared" si="30"/>
        <v>1</v>
      </c>
      <c r="AG148" t="b">
        <f t="shared" si="31"/>
        <v>0</v>
      </c>
      <c r="AI148" t="str">
        <f>IF(AND(Dataset!G148 &gt;5000,Dataset!H148&gt;7000),"ACTIVE_CONSUMER","INACTIVE_CONSUMER")</f>
        <v>ACTIVE_CONSUMER</v>
      </c>
      <c r="AN148" t="str">
        <f t="shared" si="32"/>
        <v>Not_eligible</v>
      </c>
      <c r="AQ148" t="str">
        <f>IF(AND(E148="M",F148="checking",Dataset!G148&gt;2000,Dataset!K148&gt;500),"good_client","bad_client")</f>
        <v>bad_client</v>
      </c>
      <c r="AT148" t="s">
        <v>482</v>
      </c>
      <c r="AU148" t="str">
        <f>IF(AND(Dataset!F148="Savings",Dataset!AT148="eligible"),"YES","NO")</f>
        <v>NO</v>
      </c>
      <c r="AW148" s="8"/>
      <c r="AX148" s="12" t="s">
        <v>486</v>
      </c>
      <c r="AY148" s="8" t="s">
        <v>490</v>
      </c>
      <c r="AZ148" s="8"/>
      <c r="BD148" t="str">
        <f t="shared" si="33"/>
        <v>yes</v>
      </c>
    </row>
    <row r="149" spans="1:56" x14ac:dyDescent="0.3">
      <c r="A149">
        <f t="shared" si="24"/>
        <v>148</v>
      </c>
      <c r="B149" s="3" t="s">
        <v>197</v>
      </c>
      <c r="C149" s="3" t="s">
        <v>198</v>
      </c>
      <c r="D149" s="2">
        <v>42</v>
      </c>
      <c r="E149" s="2" t="s">
        <v>14</v>
      </c>
      <c r="F149" s="2" t="s">
        <v>22</v>
      </c>
      <c r="G149" s="2">
        <v>8000</v>
      </c>
      <c r="H149" s="2">
        <v>73000</v>
      </c>
      <c r="I149" s="2" t="s">
        <v>23</v>
      </c>
      <c r="J149" s="2">
        <v>10000</v>
      </c>
      <c r="K149" s="2">
        <v>720</v>
      </c>
      <c r="L149" s="2" t="s">
        <v>31</v>
      </c>
      <c r="M149" s="2" t="s">
        <v>82</v>
      </c>
      <c r="N149" s="2" t="s">
        <v>18</v>
      </c>
      <c r="O149">
        <v>8</v>
      </c>
      <c r="R149">
        <f t="shared" si="25"/>
        <v>7.3</v>
      </c>
      <c r="S149">
        <f t="shared" si="26"/>
        <v>7.3</v>
      </c>
      <c r="U149" t="b">
        <v>1</v>
      </c>
      <c r="W149" t="str">
        <f t="shared" si="27"/>
        <v>EVEN</v>
      </c>
      <c r="Y149">
        <f t="shared" si="28"/>
        <v>60</v>
      </c>
      <c r="AB149" t="str">
        <f t="shared" si="29"/>
        <v>Good_user</v>
      </c>
      <c r="AE149" t="b">
        <f t="shared" si="30"/>
        <v>0</v>
      </c>
      <c r="AG149" t="b">
        <f t="shared" si="31"/>
        <v>0</v>
      </c>
      <c r="AI149" t="str">
        <f>IF(AND(Dataset!G149 &gt;5000,Dataset!H149&gt;7000),"ACTIVE_CONSUMER","INACTIVE_CONSUMER")</f>
        <v>ACTIVE_CONSUMER</v>
      </c>
      <c r="AN149" t="str">
        <f t="shared" si="32"/>
        <v>Not_eligible</v>
      </c>
      <c r="AQ149" t="str">
        <f>IF(AND(E149="M",F149="checking",Dataset!G149&gt;2000,Dataset!K149&gt;500),"good_client","bad_client")</f>
        <v>bad_client</v>
      </c>
      <c r="AT149" t="s">
        <v>482</v>
      </c>
      <c r="AU149" t="str">
        <f>IF(AND(Dataset!F149="Savings",Dataset!AT149="eligible"),"YES","NO")</f>
        <v>NO</v>
      </c>
      <c r="AW149" s="8"/>
      <c r="AX149" s="12" t="s">
        <v>486</v>
      </c>
      <c r="AY149" s="8" t="s">
        <v>489</v>
      </c>
      <c r="AZ149" s="8"/>
      <c r="BD149" t="str">
        <f t="shared" si="33"/>
        <v>yes</v>
      </c>
    </row>
    <row r="150" spans="1:56" x14ac:dyDescent="0.3">
      <c r="A150">
        <f t="shared" si="24"/>
        <v>149</v>
      </c>
      <c r="B150" s="3" t="s">
        <v>199</v>
      </c>
      <c r="C150" s="3" t="s">
        <v>38</v>
      </c>
      <c r="D150" s="2">
        <v>31</v>
      </c>
      <c r="E150" s="2" t="s">
        <v>21</v>
      </c>
      <c r="F150" s="2" t="s">
        <v>15</v>
      </c>
      <c r="G150" s="2">
        <v>1500</v>
      </c>
      <c r="H150" s="2">
        <v>51000</v>
      </c>
      <c r="I150" s="2" t="s">
        <v>16</v>
      </c>
      <c r="J150" s="2">
        <v>0</v>
      </c>
      <c r="K150" s="2">
        <v>680</v>
      </c>
      <c r="L150" s="2" t="s">
        <v>17</v>
      </c>
      <c r="M150" s="2" t="s">
        <v>80</v>
      </c>
      <c r="N150" s="2" t="s">
        <v>25</v>
      </c>
      <c r="O150">
        <v>4</v>
      </c>
      <c r="R150" t="e">
        <f t="shared" si="25"/>
        <v>#DIV/0!</v>
      </c>
      <c r="S150" t="str">
        <f t="shared" si="26"/>
        <v>DIVISION ERROR</v>
      </c>
      <c r="U150" t="b">
        <v>0</v>
      </c>
      <c r="W150" t="str">
        <f t="shared" si="27"/>
        <v>ODD</v>
      </c>
      <c r="Y150">
        <f t="shared" si="28"/>
        <v>286</v>
      </c>
      <c r="AB150" t="str">
        <f t="shared" si="29"/>
        <v>Bad_user</v>
      </c>
      <c r="AE150" t="b">
        <f t="shared" si="30"/>
        <v>1</v>
      </c>
      <c r="AG150" t="b">
        <f t="shared" si="31"/>
        <v>0</v>
      </c>
      <c r="AI150" t="str">
        <f>IF(AND(Dataset!G150 &gt;5000,Dataset!H150&gt;7000),"ACTIVE_CONSUMER","INACTIVE_CONSUMER")</f>
        <v>INACTIVE_CONSUMER</v>
      </c>
      <c r="AN150" t="str">
        <f t="shared" si="32"/>
        <v>Not_eligible</v>
      </c>
      <c r="AQ150" t="str">
        <f>IF(AND(E150="M",F150="checking",Dataset!G150&gt;2000,Dataset!K150&gt;500),"good_client","bad_client")</f>
        <v>bad_client</v>
      </c>
      <c r="AT150" t="s">
        <v>482</v>
      </c>
      <c r="AU150" t="str">
        <f>IF(AND(Dataset!F150="Savings",Dataset!AT150="eligible"),"YES","NO")</f>
        <v>NO</v>
      </c>
      <c r="AW150" s="8"/>
      <c r="AX150" s="12" t="s">
        <v>487</v>
      </c>
      <c r="AY150" s="8" t="s">
        <v>490</v>
      </c>
      <c r="AZ150" s="8"/>
      <c r="BD150" t="str">
        <f t="shared" si="33"/>
        <v>yes</v>
      </c>
    </row>
    <row r="151" spans="1:56" x14ac:dyDescent="0.3">
      <c r="A151">
        <f t="shared" si="24"/>
        <v>150</v>
      </c>
      <c r="B151" s="3" t="s">
        <v>200</v>
      </c>
      <c r="C151" s="3" t="s">
        <v>201</v>
      </c>
      <c r="D151" s="2">
        <v>29</v>
      </c>
      <c r="E151" s="2" t="s">
        <v>14</v>
      </c>
      <c r="F151" s="2" t="s">
        <v>22</v>
      </c>
      <c r="G151" s="2">
        <v>5000</v>
      </c>
      <c r="H151" s="2">
        <v>53000</v>
      </c>
      <c r="I151" s="2" t="s">
        <v>23</v>
      </c>
      <c r="J151" s="2">
        <v>7000</v>
      </c>
      <c r="K151" s="2">
        <v>690</v>
      </c>
      <c r="L151" s="2" t="s">
        <v>24</v>
      </c>
      <c r="M151" s="2" t="s">
        <v>80</v>
      </c>
      <c r="N151" s="2" t="s">
        <v>18</v>
      </c>
      <c r="O151" t="s">
        <v>302</v>
      </c>
      <c r="R151">
        <f t="shared" si="25"/>
        <v>7.5714285714285712</v>
      </c>
      <c r="S151">
        <f t="shared" si="26"/>
        <v>7.5714285714285712</v>
      </c>
      <c r="U151" t="b">
        <v>1</v>
      </c>
      <c r="W151" t="str">
        <f t="shared" si="27"/>
        <v>ODD</v>
      </c>
      <c r="Y151">
        <f t="shared" si="28"/>
        <v>223.5</v>
      </c>
      <c r="AB151" t="str">
        <f t="shared" si="29"/>
        <v>Good_user</v>
      </c>
      <c r="AE151" t="b">
        <f t="shared" si="30"/>
        <v>0</v>
      </c>
      <c r="AG151" t="b">
        <f t="shared" si="31"/>
        <v>1</v>
      </c>
      <c r="AI151" t="str">
        <f>IF(AND(Dataset!G151 &gt;5000,Dataset!H151&gt;7000),"ACTIVE_CONSUMER","INACTIVE_CONSUMER")</f>
        <v>INACTIVE_CONSUMER</v>
      </c>
      <c r="AN151" t="str">
        <f t="shared" si="32"/>
        <v>Not_eligible</v>
      </c>
      <c r="AQ151" t="str">
        <f>IF(AND(E151="M",F151="checking",Dataset!G151&gt;2000,Dataset!K151&gt;500),"good_client","bad_client")</f>
        <v>bad_client</v>
      </c>
      <c r="AT151" t="s">
        <v>482</v>
      </c>
      <c r="AU151" t="str">
        <f>IF(AND(Dataset!F151="Savings",Dataset!AT151="eligible"),"YES","NO")</f>
        <v>NO</v>
      </c>
      <c r="AW151" s="8"/>
      <c r="AX151" s="12" t="s">
        <v>487</v>
      </c>
      <c r="AY151" s="8" t="s">
        <v>489</v>
      </c>
      <c r="AZ151" s="8"/>
      <c r="BD151" t="str">
        <f t="shared" si="33"/>
        <v>yes</v>
      </c>
    </row>
    <row r="152" spans="1:56" x14ac:dyDescent="0.3">
      <c r="A152">
        <f t="shared" ref="A152:A215" si="34">ROW()-1</f>
        <v>151</v>
      </c>
      <c r="B152" s="3" t="s">
        <v>202</v>
      </c>
      <c r="C152" s="3" t="s">
        <v>203</v>
      </c>
      <c r="D152" s="2">
        <v>36</v>
      </c>
      <c r="E152" s="2" t="s">
        <v>21</v>
      </c>
      <c r="F152" s="2" t="s">
        <v>15</v>
      </c>
      <c r="G152" s="2">
        <v>6000</v>
      </c>
      <c r="H152" s="2">
        <v>67000</v>
      </c>
      <c r="I152" s="2" t="s">
        <v>16</v>
      </c>
      <c r="J152" s="2">
        <v>0</v>
      </c>
      <c r="K152" s="2">
        <v>710</v>
      </c>
      <c r="L152" s="2" t="s">
        <v>28</v>
      </c>
      <c r="M152" s="2" t="s">
        <v>80</v>
      </c>
      <c r="N152" s="2" t="s">
        <v>25</v>
      </c>
      <c r="O152">
        <v>7</v>
      </c>
      <c r="R152" t="e">
        <f t="shared" si="25"/>
        <v>#DIV/0!</v>
      </c>
      <c r="S152" t="str">
        <f t="shared" si="26"/>
        <v>DIVISION ERROR</v>
      </c>
      <c r="U152" t="b">
        <v>0</v>
      </c>
      <c r="W152" t="str">
        <f t="shared" si="27"/>
        <v>EVEN</v>
      </c>
      <c r="Y152">
        <f t="shared" si="28"/>
        <v>120.5</v>
      </c>
      <c r="AB152" t="str">
        <f t="shared" si="29"/>
        <v>Bad_user</v>
      </c>
      <c r="AE152" t="b">
        <f t="shared" si="30"/>
        <v>1</v>
      </c>
      <c r="AG152" t="b">
        <f t="shared" si="31"/>
        <v>0</v>
      </c>
      <c r="AI152" t="str">
        <f>IF(AND(Dataset!G152 &gt;5000,Dataset!H152&gt;7000),"ACTIVE_CONSUMER","INACTIVE_CONSUMER")</f>
        <v>ACTIVE_CONSUMER</v>
      </c>
      <c r="AN152" t="str">
        <f t="shared" si="32"/>
        <v>Not_eligible</v>
      </c>
      <c r="AQ152" t="str">
        <f>IF(AND(E152="M",F152="checking",Dataset!G152&gt;2000,Dataset!K152&gt;500),"good_client","bad_client")</f>
        <v>bad_client</v>
      </c>
      <c r="AT152" t="s">
        <v>482</v>
      </c>
      <c r="AU152" t="str">
        <f>IF(AND(Dataset!F152="Savings",Dataset!AT152="eligible"),"YES","NO")</f>
        <v>NO</v>
      </c>
      <c r="AW152" s="8"/>
      <c r="AX152" s="12" t="s">
        <v>487</v>
      </c>
      <c r="AY152" s="8" t="s">
        <v>490</v>
      </c>
      <c r="AZ152" s="8"/>
      <c r="BD152" t="str">
        <f t="shared" si="33"/>
        <v>yes</v>
      </c>
    </row>
    <row r="153" spans="1:56" x14ac:dyDescent="0.3">
      <c r="A153">
        <f t="shared" si="34"/>
        <v>152</v>
      </c>
      <c r="B153" s="3" t="s">
        <v>123</v>
      </c>
      <c r="C153" s="3" t="s">
        <v>204</v>
      </c>
      <c r="D153" s="2">
        <v>43</v>
      </c>
      <c r="E153" s="2" t="s">
        <v>14</v>
      </c>
      <c r="F153" s="2" t="s">
        <v>15</v>
      </c>
      <c r="G153" s="2">
        <v>4000</v>
      </c>
      <c r="H153" s="2">
        <v>46000</v>
      </c>
      <c r="I153" s="2" t="s">
        <v>23</v>
      </c>
      <c r="J153" s="2">
        <v>6000</v>
      </c>
      <c r="K153" s="2">
        <v>720</v>
      </c>
      <c r="L153" s="2" t="s">
        <v>31</v>
      </c>
      <c r="M153" s="2" t="s">
        <v>81</v>
      </c>
      <c r="N153" s="2" t="s">
        <v>18</v>
      </c>
      <c r="O153">
        <v>4</v>
      </c>
      <c r="R153">
        <f t="shared" si="25"/>
        <v>7.666666666666667</v>
      </c>
      <c r="S153">
        <f t="shared" si="26"/>
        <v>7.666666666666667</v>
      </c>
      <c r="U153" t="b">
        <v>1</v>
      </c>
      <c r="W153" t="str">
        <f t="shared" si="27"/>
        <v>ODD</v>
      </c>
      <c r="Y153">
        <f t="shared" si="28"/>
        <v>60</v>
      </c>
      <c r="AB153" t="str">
        <f t="shared" si="29"/>
        <v>Good_user</v>
      </c>
      <c r="AE153" t="b">
        <f t="shared" si="30"/>
        <v>0</v>
      </c>
      <c r="AG153" t="b">
        <f t="shared" si="31"/>
        <v>0</v>
      </c>
      <c r="AI153" t="str">
        <f>IF(AND(Dataset!G153 &gt;5000,Dataset!H153&gt;7000),"ACTIVE_CONSUMER","INACTIVE_CONSUMER")</f>
        <v>INACTIVE_CONSUMER</v>
      </c>
      <c r="AN153" t="str">
        <f t="shared" si="32"/>
        <v>Not_eligible</v>
      </c>
      <c r="AQ153" t="str">
        <f>IF(AND(E153="M",F153="checking",Dataset!G153&gt;2000,Dataset!K153&gt;500),"good_client","bad_client")</f>
        <v>good_client</v>
      </c>
      <c r="AT153" t="s">
        <v>482</v>
      </c>
      <c r="AU153" t="str">
        <f>IF(AND(Dataset!F153="Savings",Dataset!AT153="eligible"),"YES","NO")</f>
        <v>NO</v>
      </c>
      <c r="AW153" s="8"/>
      <c r="AX153" s="12" t="s">
        <v>487</v>
      </c>
      <c r="AY153" s="8" t="s">
        <v>489</v>
      </c>
      <c r="AZ153" s="8"/>
      <c r="BD153" t="str">
        <f t="shared" si="33"/>
        <v>yes</v>
      </c>
    </row>
    <row r="154" spans="1:56" x14ac:dyDescent="0.3">
      <c r="A154">
        <f t="shared" si="34"/>
        <v>153</v>
      </c>
      <c r="B154" s="3" t="s">
        <v>205</v>
      </c>
      <c r="C154" s="3" t="s">
        <v>206</v>
      </c>
      <c r="D154" s="2">
        <v>27</v>
      </c>
      <c r="E154" s="2" t="s">
        <v>21</v>
      </c>
      <c r="F154" s="2" t="s">
        <v>15</v>
      </c>
      <c r="G154" s="2">
        <v>2500</v>
      </c>
      <c r="H154" s="2">
        <v>47000</v>
      </c>
      <c r="I154" s="2" t="s">
        <v>16</v>
      </c>
      <c r="J154" s="2">
        <v>0</v>
      </c>
      <c r="K154" s="2">
        <v>670</v>
      </c>
      <c r="L154" s="2" t="s">
        <v>17</v>
      </c>
      <c r="M154" s="2" t="s">
        <v>81</v>
      </c>
      <c r="N154" s="2" t="s">
        <v>25</v>
      </c>
      <c r="O154">
        <v>14</v>
      </c>
      <c r="R154" t="e">
        <f t="shared" si="25"/>
        <v>#DIV/0!</v>
      </c>
      <c r="S154" t="str">
        <f t="shared" si="26"/>
        <v>DIVISION ERROR</v>
      </c>
      <c r="U154" t="b">
        <v>0</v>
      </c>
      <c r="W154" t="str">
        <f t="shared" si="27"/>
        <v>ODD</v>
      </c>
      <c r="Y154">
        <f t="shared" si="28"/>
        <v>334</v>
      </c>
      <c r="AB154" t="str">
        <f t="shared" si="29"/>
        <v>Bad_user</v>
      </c>
      <c r="AE154" t="b">
        <f t="shared" si="30"/>
        <v>1</v>
      </c>
      <c r="AG154" t="b">
        <f t="shared" si="31"/>
        <v>0</v>
      </c>
      <c r="AI154" t="str">
        <f>IF(AND(Dataset!G154 &gt;5000,Dataset!H154&gt;7000),"ACTIVE_CONSUMER","INACTIVE_CONSUMER")</f>
        <v>INACTIVE_CONSUMER</v>
      </c>
      <c r="AN154" t="str">
        <f t="shared" si="32"/>
        <v>Not_eligible</v>
      </c>
      <c r="AQ154" t="str">
        <f>IF(AND(E154="M",F154="checking",Dataset!G154&gt;2000,Dataset!K154&gt;500),"good_client","bad_client")</f>
        <v>bad_client</v>
      </c>
      <c r="AT154" t="s">
        <v>482</v>
      </c>
      <c r="AU154" t="str">
        <f>IF(AND(Dataset!F154="Savings",Dataset!AT154="eligible"),"YES","NO")</f>
        <v>NO</v>
      </c>
      <c r="AW154" s="8"/>
      <c r="AX154" s="12" t="s">
        <v>487</v>
      </c>
      <c r="AY154" s="8" t="s">
        <v>490</v>
      </c>
      <c r="AZ154" s="8"/>
      <c r="BD154" t="str">
        <f t="shared" si="33"/>
        <v>yes</v>
      </c>
    </row>
    <row r="155" spans="1:56" x14ac:dyDescent="0.3">
      <c r="A155">
        <f t="shared" si="34"/>
        <v>154</v>
      </c>
      <c r="B155" s="3" t="s">
        <v>207</v>
      </c>
      <c r="C155" s="3" t="s">
        <v>208</v>
      </c>
      <c r="D155" s="2">
        <v>39</v>
      </c>
      <c r="E155" s="2" t="s">
        <v>14</v>
      </c>
      <c r="F155" s="2" t="s">
        <v>22</v>
      </c>
      <c r="G155" s="2">
        <v>9000</v>
      </c>
      <c r="H155" s="2">
        <v>70000</v>
      </c>
      <c r="I155" s="2" t="s">
        <v>23</v>
      </c>
      <c r="J155" s="2">
        <v>12000</v>
      </c>
      <c r="K155" s="2">
        <v>700</v>
      </c>
      <c r="L155" s="2" t="s">
        <v>24</v>
      </c>
      <c r="M155" s="2" t="s">
        <v>81</v>
      </c>
      <c r="N155" s="2" t="s">
        <v>18</v>
      </c>
      <c r="O155">
        <v>5</v>
      </c>
      <c r="R155">
        <f t="shared" si="25"/>
        <v>5.833333333333333</v>
      </c>
      <c r="S155">
        <f t="shared" si="26"/>
        <v>5.833333333333333</v>
      </c>
      <c r="U155" t="b">
        <v>1</v>
      </c>
      <c r="W155" t="str">
        <f t="shared" si="27"/>
        <v>ODD</v>
      </c>
      <c r="Y155">
        <f t="shared" si="28"/>
        <v>170</v>
      </c>
      <c r="AB155" t="str">
        <f t="shared" si="29"/>
        <v>Good_user</v>
      </c>
      <c r="AE155" t="b">
        <f t="shared" si="30"/>
        <v>0</v>
      </c>
      <c r="AG155" t="b">
        <f t="shared" si="31"/>
        <v>0</v>
      </c>
      <c r="AI155" t="str">
        <f>IF(AND(Dataset!G155 &gt;5000,Dataset!H155&gt;7000),"ACTIVE_CONSUMER","INACTIVE_CONSUMER")</f>
        <v>ACTIVE_CONSUMER</v>
      </c>
      <c r="AN155" t="str">
        <f t="shared" si="32"/>
        <v>Not_eligible</v>
      </c>
      <c r="AQ155" t="str">
        <f>IF(AND(E155="M",F155="checking",Dataset!G155&gt;2000,Dataset!K155&gt;500),"good_client","bad_client")</f>
        <v>bad_client</v>
      </c>
      <c r="AT155" t="s">
        <v>482</v>
      </c>
      <c r="AU155" t="str">
        <f>IF(AND(Dataset!F155="Savings",Dataset!AT155="eligible"),"YES","NO")</f>
        <v>NO</v>
      </c>
      <c r="AW155" s="8"/>
      <c r="AX155" s="12" t="s">
        <v>487</v>
      </c>
      <c r="AY155" s="8" t="s">
        <v>489</v>
      </c>
      <c r="AZ155" s="8"/>
      <c r="BD155" t="str">
        <f t="shared" si="33"/>
        <v>yes</v>
      </c>
    </row>
    <row r="156" spans="1:56" x14ac:dyDescent="0.3">
      <c r="A156">
        <f t="shared" si="34"/>
        <v>155</v>
      </c>
      <c r="B156" s="3" t="s">
        <v>209</v>
      </c>
      <c r="C156" s="3" t="s">
        <v>210</v>
      </c>
      <c r="D156" s="2">
        <v>31</v>
      </c>
      <c r="E156" s="2" t="s">
        <v>21</v>
      </c>
      <c r="F156" s="2" t="s">
        <v>15</v>
      </c>
      <c r="G156" s="2">
        <v>5000</v>
      </c>
      <c r="H156" s="2">
        <v>56000</v>
      </c>
      <c r="I156" s="2" t="s">
        <v>16</v>
      </c>
      <c r="J156" s="2">
        <v>0</v>
      </c>
      <c r="K156" s="2">
        <v>680</v>
      </c>
      <c r="L156" s="2" t="s">
        <v>28</v>
      </c>
      <c r="M156" s="2" t="s">
        <v>82</v>
      </c>
      <c r="N156" s="2" t="s">
        <v>25</v>
      </c>
      <c r="O156">
        <v>10</v>
      </c>
      <c r="R156" t="e">
        <f t="shared" si="25"/>
        <v>#DIV/0!</v>
      </c>
      <c r="S156" t="str">
        <f t="shared" si="26"/>
        <v>DIVISION ERROR</v>
      </c>
      <c r="U156" t="b">
        <v>0</v>
      </c>
      <c r="W156" t="str">
        <f t="shared" si="27"/>
        <v>ODD</v>
      </c>
      <c r="Y156">
        <f t="shared" si="28"/>
        <v>286</v>
      </c>
      <c r="AB156" t="str">
        <f t="shared" si="29"/>
        <v>Bad_user</v>
      </c>
      <c r="AE156" t="b">
        <f t="shared" si="30"/>
        <v>1</v>
      </c>
      <c r="AG156" t="b">
        <f t="shared" si="31"/>
        <v>0</v>
      </c>
      <c r="AI156" t="str">
        <f>IF(AND(Dataset!G156 &gt;5000,Dataset!H156&gt;7000),"ACTIVE_CONSUMER","INACTIVE_CONSUMER")</f>
        <v>INACTIVE_CONSUMER</v>
      </c>
      <c r="AN156" t="str">
        <f t="shared" si="32"/>
        <v>Not_eligible</v>
      </c>
      <c r="AQ156" t="str">
        <f>IF(AND(E156="M",F156="checking",Dataset!G156&gt;2000,Dataset!K156&gt;500),"good_client","bad_client")</f>
        <v>bad_client</v>
      </c>
      <c r="AT156" t="s">
        <v>482</v>
      </c>
      <c r="AU156" t="str">
        <f>IF(AND(Dataset!F156="Savings",Dataset!AT156="eligible"),"YES","NO")</f>
        <v>NO</v>
      </c>
      <c r="AW156" s="8"/>
      <c r="AX156" s="12" t="s">
        <v>486</v>
      </c>
      <c r="AY156" s="8" t="s">
        <v>490</v>
      </c>
      <c r="AZ156" s="8"/>
      <c r="BD156" t="str">
        <f t="shared" si="33"/>
        <v>yes</v>
      </c>
    </row>
    <row r="157" spans="1:56" x14ac:dyDescent="0.3">
      <c r="A157">
        <f t="shared" si="34"/>
        <v>156</v>
      </c>
      <c r="B157" s="3" t="s">
        <v>211</v>
      </c>
      <c r="C157" s="3" t="s">
        <v>212</v>
      </c>
      <c r="D157" s="2">
        <v>28</v>
      </c>
      <c r="E157" s="2" t="s">
        <v>14</v>
      </c>
      <c r="F157" s="2" t="s">
        <v>22</v>
      </c>
      <c r="G157" s="2">
        <v>2000</v>
      </c>
      <c r="H157" s="2">
        <v>47000</v>
      </c>
      <c r="I157" s="2" t="s">
        <v>23</v>
      </c>
      <c r="J157" s="2">
        <v>5000</v>
      </c>
      <c r="K157" s="2">
        <v>690</v>
      </c>
      <c r="L157" s="2" t="s">
        <v>31</v>
      </c>
      <c r="M157" s="2" t="s">
        <v>82</v>
      </c>
      <c r="N157" s="2" t="s">
        <v>18</v>
      </c>
      <c r="O157">
        <v>10</v>
      </c>
      <c r="R157">
        <f t="shared" si="25"/>
        <v>9.4</v>
      </c>
      <c r="S157">
        <f t="shared" si="26"/>
        <v>9.4</v>
      </c>
      <c r="U157" t="b">
        <v>1</v>
      </c>
      <c r="W157" t="str">
        <f t="shared" si="27"/>
        <v>EVEN</v>
      </c>
      <c r="Y157">
        <f t="shared" si="28"/>
        <v>223.5</v>
      </c>
      <c r="AB157" t="str">
        <f t="shared" si="29"/>
        <v>Good_user</v>
      </c>
      <c r="AE157" t="b">
        <f t="shared" si="30"/>
        <v>0</v>
      </c>
      <c r="AG157" t="b">
        <f t="shared" si="31"/>
        <v>0</v>
      </c>
      <c r="AI157" t="str">
        <f>IF(AND(Dataset!G157 &gt;5000,Dataset!H157&gt;7000),"ACTIVE_CONSUMER","INACTIVE_CONSUMER")</f>
        <v>INACTIVE_CONSUMER</v>
      </c>
      <c r="AN157" t="str">
        <f t="shared" si="32"/>
        <v>Not_eligible</v>
      </c>
      <c r="AQ157" t="str">
        <f>IF(AND(E157="M",F157="checking",Dataset!G157&gt;2000,Dataset!K157&gt;500),"good_client","bad_client")</f>
        <v>bad_client</v>
      </c>
      <c r="AT157" t="s">
        <v>482</v>
      </c>
      <c r="AU157" t="str">
        <f>IF(AND(Dataset!F157="Savings",Dataset!AT157="eligible"),"YES","NO")</f>
        <v>NO</v>
      </c>
      <c r="AW157" s="8"/>
      <c r="AX157" s="12" t="s">
        <v>486</v>
      </c>
      <c r="AY157" s="8" t="s">
        <v>489</v>
      </c>
      <c r="AZ157" s="8"/>
      <c r="BD157" t="str">
        <f t="shared" si="33"/>
        <v>yes</v>
      </c>
    </row>
    <row r="158" spans="1:56" x14ac:dyDescent="0.3">
      <c r="A158">
        <f t="shared" si="34"/>
        <v>157</v>
      </c>
      <c r="B158" s="3" t="s">
        <v>70</v>
      </c>
      <c r="C158" s="3" t="s">
        <v>213</v>
      </c>
      <c r="D158" s="2">
        <v>40</v>
      </c>
      <c r="E158" s="2" t="s">
        <v>21</v>
      </c>
      <c r="F158" s="2" t="s">
        <v>15</v>
      </c>
      <c r="G158" s="2">
        <v>7000</v>
      </c>
      <c r="H158" s="2">
        <v>68000</v>
      </c>
      <c r="I158" s="2" t="s">
        <v>16</v>
      </c>
      <c r="J158" s="2">
        <v>0</v>
      </c>
      <c r="K158" s="2">
        <v>710</v>
      </c>
      <c r="L158" s="2" t="s">
        <v>17</v>
      </c>
      <c r="M158" s="2" t="s">
        <v>82</v>
      </c>
      <c r="N158" s="2" t="s">
        <v>25</v>
      </c>
      <c r="O158">
        <v>7</v>
      </c>
      <c r="R158" t="e">
        <f t="shared" si="25"/>
        <v>#DIV/0!</v>
      </c>
      <c r="S158" t="str">
        <f t="shared" si="26"/>
        <v>DIVISION ERROR</v>
      </c>
      <c r="U158" t="b">
        <v>0</v>
      </c>
      <c r="W158" t="str">
        <f t="shared" si="27"/>
        <v>EVEN</v>
      </c>
      <c r="Y158">
        <f t="shared" si="28"/>
        <v>120.5</v>
      </c>
      <c r="AB158" t="str">
        <f t="shared" si="29"/>
        <v>Bad_user</v>
      </c>
      <c r="AE158" t="b">
        <f t="shared" si="30"/>
        <v>1</v>
      </c>
      <c r="AG158" t="b">
        <f t="shared" si="31"/>
        <v>0</v>
      </c>
      <c r="AI158" t="str">
        <f>IF(AND(Dataset!G158 &gt;5000,Dataset!H158&gt;7000),"ACTIVE_CONSUMER","INACTIVE_CONSUMER")</f>
        <v>ACTIVE_CONSUMER</v>
      </c>
      <c r="AN158" t="str">
        <f t="shared" si="32"/>
        <v>Not_eligible</v>
      </c>
      <c r="AQ158" t="str">
        <f>IF(AND(E158="M",F158="checking",Dataset!G158&gt;2000,Dataset!K158&gt;500),"good_client","bad_client")</f>
        <v>bad_client</v>
      </c>
      <c r="AT158" t="s">
        <v>482</v>
      </c>
      <c r="AU158" t="str">
        <f>IF(AND(Dataset!F158="Savings",Dataset!AT158="eligible"),"YES","NO")</f>
        <v>NO</v>
      </c>
      <c r="AW158" s="8"/>
      <c r="AX158" s="12" t="s">
        <v>486</v>
      </c>
      <c r="AY158" s="8" t="s">
        <v>490</v>
      </c>
      <c r="AZ158" s="8"/>
      <c r="BD158" t="str">
        <f t="shared" si="33"/>
        <v>yes</v>
      </c>
    </row>
    <row r="159" spans="1:56" x14ac:dyDescent="0.3">
      <c r="A159">
        <f t="shared" si="34"/>
        <v>158</v>
      </c>
      <c r="B159" s="3" t="s">
        <v>36</v>
      </c>
      <c r="C159" s="3" t="s">
        <v>214</v>
      </c>
      <c r="D159" s="2">
        <v>36</v>
      </c>
      <c r="E159" s="2" t="s">
        <v>14</v>
      </c>
      <c r="F159" s="2" t="s">
        <v>22</v>
      </c>
      <c r="G159" s="2">
        <v>3000</v>
      </c>
      <c r="H159" s="2">
        <v>49000</v>
      </c>
      <c r="I159" s="2" t="s">
        <v>23</v>
      </c>
      <c r="J159" s="2">
        <v>6000</v>
      </c>
      <c r="K159" s="2">
        <v>700</v>
      </c>
      <c r="L159" s="2" t="s">
        <v>24</v>
      </c>
      <c r="M159" s="2" t="s">
        <v>80</v>
      </c>
      <c r="N159" s="2" t="s">
        <v>18</v>
      </c>
      <c r="O159">
        <v>5</v>
      </c>
      <c r="R159">
        <f t="shared" si="25"/>
        <v>8.1666666666666661</v>
      </c>
      <c r="S159">
        <f t="shared" si="26"/>
        <v>8.1666666666666661</v>
      </c>
      <c r="U159" t="b">
        <v>1</v>
      </c>
      <c r="W159" t="str">
        <f t="shared" si="27"/>
        <v>EVEN</v>
      </c>
      <c r="Y159">
        <f t="shared" si="28"/>
        <v>170</v>
      </c>
      <c r="AB159" t="str">
        <f t="shared" si="29"/>
        <v>Good_user</v>
      </c>
      <c r="AE159" t="b">
        <f t="shared" si="30"/>
        <v>0</v>
      </c>
      <c r="AG159" t="b">
        <f t="shared" si="31"/>
        <v>0</v>
      </c>
      <c r="AI159" t="str">
        <f>IF(AND(Dataset!G159 &gt;5000,Dataset!H159&gt;7000),"ACTIVE_CONSUMER","INACTIVE_CONSUMER")</f>
        <v>INACTIVE_CONSUMER</v>
      </c>
      <c r="AN159" t="str">
        <f t="shared" si="32"/>
        <v>Not_eligible</v>
      </c>
      <c r="AQ159" t="str">
        <f>IF(AND(E159="M",F159="checking",Dataset!G159&gt;2000,Dataset!K159&gt;500),"good_client","bad_client")</f>
        <v>bad_client</v>
      </c>
      <c r="AT159" t="s">
        <v>482</v>
      </c>
      <c r="AU159" t="str">
        <f>IF(AND(Dataset!F159="Savings",Dataset!AT159="eligible"),"YES","NO")</f>
        <v>NO</v>
      </c>
      <c r="AW159" s="8"/>
      <c r="AX159" s="12" t="s">
        <v>487</v>
      </c>
      <c r="AY159" s="8" t="s">
        <v>489</v>
      </c>
      <c r="AZ159" s="8"/>
      <c r="BD159" t="str">
        <f t="shared" si="33"/>
        <v>yes</v>
      </c>
    </row>
    <row r="160" spans="1:56" x14ac:dyDescent="0.3">
      <c r="A160">
        <f t="shared" si="34"/>
        <v>159</v>
      </c>
      <c r="B160" s="3" t="s">
        <v>215</v>
      </c>
      <c r="C160" s="3" t="s">
        <v>216</v>
      </c>
      <c r="D160" s="2">
        <v>29</v>
      </c>
      <c r="E160" s="2" t="s">
        <v>21</v>
      </c>
      <c r="F160" s="2" t="s">
        <v>15</v>
      </c>
      <c r="G160" s="2">
        <v>2000</v>
      </c>
      <c r="H160" s="2">
        <v>45000</v>
      </c>
      <c r="I160" s="2" t="s">
        <v>16</v>
      </c>
      <c r="J160" s="2">
        <v>0</v>
      </c>
      <c r="K160" s="2">
        <v>670</v>
      </c>
      <c r="L160" s="2" t="s">
        <v>28</v>
      </c>
      <c r="M160" s="2" t="s">
        <v>80</v>
      </c>
      <c r="N160" s="2" t="s">
        <v>25</v>
      </c>
      <c r="O160">
        <v>15</v>
      </c>
      <c r="R160" t="e">
        <f t="shared" si="25"/>
        <v>#DIV/0!</v>
      </c>
      <c r="S160" t="str">
        <f t="shared" si="26"/>
        <v>DIVISION ERROR</v>
      </c>
      <c r="U160" t="b">
        <v>0</v>
      </c>
      <c r="W160" t="str">
        <f t="shared" si="27"/>
        <v>ODD</v>
      </c>
      <c r="Y160">
        <f t="shared" si="28"/>
        <v>334</v>
      </c>
      <c r="AB160" t="str">
        <f t="shared" si="29"/>
        <v>Bad_user</v>
      </c>
      <c r="AE160" t="b">
        <f t="shared" si="30"/>
        <v>1</v>
      </c>
      <c r="AG160" t="b">
        <f t="shared" si="31"/>
        <v>0</v>
      </c>
      <c r="AI160" t="str">
        <f>IF(AND(Dataset!G160 &gt;5000,Dataset!H160&gt;7000),"ACTIVE_CONSUMER","INACTIVE_CONSUMER")</f>
        <v>INACTIVE_CONSUMER</v>
      </c>
      <c r="AN160" t="str">
        <f t="shared" si="32"/>
        <v>Not_eligible</v>
      </c>
      <c r="AQ160" t="str">
        <f>IF(AND(E160="M",F160="checking",Dataset!G160&gt;2000,Dataset!K160&gt;500),"good_client","bad_client")</f>
        <v>bad_client</v>
      </c>
      <c r="AT160" t="s">
        <v>482</v>
      </c>
      <c r="AU160" t="str">
        <f>IF(AND(Dataset!F160="Savings",Dataset!AT160="eligible"),"YES","NO")</f>
        <v>NO</v>
      </c>
      <c r="AW160" s="8"/>
      <c r="AX160" s="12" t="s">
        <v>487</v>
      </c>
      <c r="AY160" s="8" t="s">
        <v>490</v>
      </c>
      <c r="AZ160" s="8"/>
      <c r="BD160" t="str">
        <f t="shared" si="33"/>
        <v>yes</v>
      </c>
    </row>
    <row r="161" spans="1:56" x14ac:dyDescent="0.3">
      <c r="A161">
        <f t="shared" si="34"/>
        <v>160</v>
      </c>
      <c r="B161" s="3" t="s">
        <v>217</v>
      </c>
      <c r="C161" s="3" t="s">
        <v>218</v>
      </c>
      <c r="D161" s="2">
        <v>38</v>
      </c>
      <c r="E161" s="2" t="s">
        <v>14</v>
      </c>
      <c r="F161" s="2" t="s">
        <v>22</v>
      </c>
      <c r="G161" s="2">
        <v>6000</v>
      </c>
      <c r="H161" s="2">
        <v>71000</v>
      </c>
      <c r="I161" s="2" t="s">
        <v>23</v>
      </c>
      <c r="J161" s="2">
        <v>12000</v>
      </c>
      <c r="K161" s="2">
        <v>720</v>
      </c>
      <c r="L161" s="2" t="s">
        <v>31</v>
      </c>
      <c r="M161" s="2" t="s">
        <v>80</v>
      </c>
      <c r="N161" s="2" t="s">
        <v>18</v>
      </c>
      <c r="O161">
        <v>4</v>
      </c>
      <c r="R161">
        <f t="shared" si="25"/>
        <v>5.916666666666667</v>
      </c>
      <c r="S161">
        <f t="shared" si="26"/>
        <v>5.916666666666667</v>
      </c>
      <c r="U161" t="b">
        <v>1</v>
      </c>
      <c r="W161" t="str">
        <f t="shared" si="27"/>
        <v>EVEN</v>
      </c>
      <c r="Y161">
        <f t="shared" si="28"/>
        <v>60</v>
      </c>
      <c r="AB161" t="str">
        <f t="shared" si="29"/>
        <v>Good_user</v>
      </c>
      <c r="AE161" t="b">
        <f t="shared" si="30"/>
        <v>0</v>
      </c>
      <c r="AG161" t="b">
        <f t="shared" si="31"/>
        <v>0</v>
      </c>
      <c r="AI161" t="str">
        <f>IF(AND(Dataset!G161 &gt;5000,Dataset!H161&gt;7000),"ACTIVE_CONSUMER","INACTIVE_CONSUMER")</f>
        <v>ACTIVE_CONSUMER</v>
      </c>
      <c r="AN161" t="str">
        <f t="shared" si="32"/>
        <v>Not_eligible</v>
      </c>
      <c r="AQ161" t="str">
        <f>IF(AND(E161="M",F161="checking",Dataset!G161&gt;2000,Dataset!K161&gt;500),"good_client","bad_client")</f>
        <v>bad_client</v>
      </c>
      <c r="AT161" t="s">
        <v>482</v>
      </c>
      <c r="AU161" t="str">
        <f>IF(AND(Dataset!F161="Savings",Dataset!AT161="eligible"),"YES","NO")</f>
        <v>NO</v>
      </c>
      <c r="AW161" s="8"/>
      <c r="AX161" s="12" t="s">
        <v>487</v>
      </c>
      <c r="AY161" s="8" t="s">
        <v>489</v>
      </c>
      <c r="AZ161" s="8"/>
      <c r="BD161" t="str">
        <f t="shared" si="33"/>
        <v>yes</v>
      </c>
    </row>
    <row r="162" spans="1:56" x14ac:dyDescent="0.3">
      <c r="A162">
        <f t="shared" si="34"/>
        <v>161</v>
      </c>
      <c r="B162" s="3" t="s">
        <v>219</v>
      </c>
      <c r="C162" s="3" t="s">
        <v>220</v>
      </c>
      <c r="D162" s="2">
        <v>34</v>
      </c>
      <c r="E162" s="2" t="s">
        <v>14</v>
      </c>
      <c r="F162" s="2" t="s">
        <v>15</v>
      </c>
      <c r="G162" s="2">
        <v>2500</v>
      </c>
      <c r="H162" s="2">
        <v>55000</v>
      </c>
      <c r="I162" s="2" t="s">
        <v>16</v>
      </c>
      <c r="J162" s="2">
        <v>0</v>
      </c>
      <c r="K162" s="2">
        <v>720</v>
      </c>
      <c r="L162" s="2" t="s">
        <v>17</v>
      </c>
      <c r="M162" s="2" t="s">
        <v>80</v>
      </c>
      <c r="N162" s="2" t="s">
        <v>18</v>
      </c>
      <c r="O162">
        <v>15</v>
      </c>
      <c r="R162" t="e">
        <f t="shared" si="25"/>
        <v>#DIV/0!</v>
      </c>
      <c r="S162" t="str">
        <f t="shared" si="26"/>
        <v>DIVISION ERROR</v>
      </c>
      <c r="U162" t="b">
        <v>0</v>
      </c>
      <c r="W162" t="str">
        <f t="shared" si="27"/>
        <v>EVEN</v>
      </c>
      <c r="Y162">
        <f t="shared" si="28"/>
        <v>60</v>
      </c>
      <c r="AB162" t="str">
        <f t="shared" si="29"/>
        <v>Good_user</v>
      </c>
      <c r="AE162" t="b">
        <f t="shared" si="30"/>
        <v>1</v>
      </c>
      <c r="AG162" t="b">
        <f t="shared" si="31"/>
        <v>0</v>
      </c>
      <c r="AI162" t="str">
        <f>IF(AND(Dataset!G162 &gt;5000,Dataset!H162&gt;7000),"ACTIVE_CONSUMER","INACTIVE_CONSUMER")</f>
        <v>INACTIVE_CONSUMER</v>
      </c>
      <c r="AN162" t="str">
        <f t="shared" si="32"/>
        <v>Not_eligible</v>
      </c>
      <c r="AQ162" t="str">
        <f>IF(AND(E162="M",F162="checking",Dataset!G162&gt;2000,Dataset!K162&gt;500),"good_client","bad_client")</f>
        <v>good_client</v>
      </c>
      <c r="AT162" t="s">
        <v>482</v>
      </c>
      <c r="AU162" t="str">
        <f>IF(AND(Dataset!F162="Savings",Dataset!AT162="eligible"),"YES","NO")</f>
        <v>NO</v>
      </c>
      <c r="AW162" s="8"/>
      <c r="AX162" s="12" t="s">
        <v>487</v>
      </c>
      <c r="AY162" s="8" t="s">
        <v>489</v>
      </c>
      <c r="AZ162" s="8"/>
      <c r="BD162" t="str">
        <f t="shared" si="33"/>
        <v>yes</v>
      </c>
    </row>
    <row r="163" spans="1:56" x14ac:dyDescent="0.3">
      <c r="A163">
        <f t="shared" si="34"/>
        <v>162</v>
      </c>
      <c r="B163" s="3" t="s">
        <v>221</v>
      </c>
      <c r="C163" s="3" t="s">
        <v>222</v>
      </c>
      <c r="D163" s="2">
        <v>29</v>
      </c>
      <c r="E163" s="2" t="s">
        <v>21</v>
      </c>
      <c r="F163" s="2" t="s">
        <v>22</v>
      </c>
      <c r="G163" s="2">
        <v>8000</v>
      </c>
      <c r="H163" s="2">
        <v>62000</v>
      </c>
      <c r="I163" s="2" t="s">
        <v>23</v>
      </c>
      <c r="J163" s="2">
        <v>15000</v>
      </c>
      <c r="K163" s="2">
        <v>680</v>
      </c>
      <c r="L163" s="2" t="s">
        <v>24</v>
      </c>
      <c r="M163" s="2" t="s">
        <v>81</v>
      </c>
      <c r="N163" s="2" t="s">
        <v>25</v>
      </c>
      <c r="O163" t="s">
        <v>302</v>
      </c>
      <c r="R163">
        <f t="shared" si="25"/>
        <v>4.1333333333333337</v>
      </c>
      <c r="S163">
        <f t="shared" si="26"/>
        <v>4.1333333333333337</v>
      </c>
      <c r="U163" t="b">
        <v>1</v>
      </c>
      <c r="W163" t="str">
        <f t="shared" si="27"/>
        <v>ODD</v>
      </c>
      <c r="Y163">
        <f t="shared" si="28"/>
        <v>286</v>
      </c>
      <c r="AB163" t="str">
        <f t="shared" si="29"/>
        <v>Bad_user</v>
      </c>
      <c r="AE163" t="b">
        <f t="shared" si="30"/>
        <v>0</v>
      </c>
      <c r="AG163" t="b">
        <f t="shared" si="31"/>
        <v>1</v>
      </c>
      <c r="AI163" t="str">
        <f>IF(AND(Dataset!G163 &gt;5000,Dataset!H163&gt;7000),"ACTIVE_CONSUMER","INACTIVE_CONSUMER")</f>
        <v>ACTIVE_CONSUMER</v>
      </c>
      <c r="AN163" t="str">
        <f t="shared" si="32"/>
        <v>Not_eligible</v>
      </c>
      <c r="AQ163" t="str">
        <f>IF(AND(E163="M",F163="checking",Dataset!G163&gt;2000,Dataset!K163&gt;500),"good_client","bad_client")</f>
        <v>bad_client</v>
      </c>
      <c r="AT163" t="s">
        <v>482</v>
      </c>
      <c r="AU163" t="str">
        <f>IF(AND(Dataset!F163="Savings",Dataset!AT163="eligible"),"YES","NO")</f>
        <v>NO</v>
      </c>
      <c r="AW163" s="8"/>
      <c r="AX163" s="12" t="s">
        <v>487</v>
      </c>
      <c r="AY163" s="8" t="s">
        <v>490</v>
      </c>
      <c r="AZ163" s="8"/>
      <c r="BD163" t="str">
        <f t="shared" si="33"/>
        <v>yes</v>
      </c>
    </row>
    <row r="164" spans="1:56" x14ac:dyDescent="0.3">
      <c r="A164">
        <f t="shared" si="34"/>
        <v>163</v>
      </c>
      <c r="B164" s="3" t="s">
        <v>63</v>
      </c>
      <c r="C164" s="3" t="s">
        <v>223</v>
      </c>
      <c r="D164" s="2">
        <v>45</v>
      </c>
      <c r="E164" s="2" t="s">
        <v>21</v>
      </c>
      <c r="F164" s="2" t="s">
        <v>15</v>
      </c>
      <c r="G164" s="2">
        <v>12000</v>
      </c>
      <c r="H164" s="2">
        <v>75000</v>
      </c>
      <c r="I164" s="2" t="s">
        <v>16</v>
      </c>
      <c r="J164" s="2">
        <v>0</v>
      </c>
      <c r="K164" s="2">
        <v>750</v>
      </c>
      <c r="L164" s="2" t="s">
        <v>28</v>
      </c>
      <c r="M164" s="2" t="s">
        <v>82</v>
      </c>
      <c r="N164" s="2" t="s">
        <v>18</v>
      </c>
      <c r="O164">
        <v>14</v>
      </c>
      <c r="R164" t="e">
        <f t="shared" si="25"/>
        <v>#DIV/0!</v>
      </c>
      <c r="S164" t="str">
        <f t="shared" si="26"/>
        <v>DIVISION ERROR</v>
      </c>
      <c r="U164" t="b">
        <v>0</v>
      </c>
      <c r="W164" t="str">
        <f t="shared" si="27"/>
        <v>ODD</v>
      </c>
      <c r="Y164">
        <f t="shared" si="28"/>
        <v>3</v>
      </c>
      <c r="AB164" t="str">
        <f t="shared" si="29"/>
        <v>Good_user</v>
      </c>
      <c r="AE164" t="b">
        <f t="shared" si="30"/>
        <v>1</v>
      </c>
      <c r="AG164" t="b">
        <f t="shared" si="31"/>
        <v>0</v>
      </c>
      <c r="AI164" t="str">
        <f>IF(AND(Dataset!G164 &gt;5000,Dataset!H164&gt;7000),"ACTIVE_CONSUMER","INACTIVE_CONSUMER")</f>
        <v>ACTIVE_CONSUMER</v>
      </c>
      <c r="AN164" t="str">
        <f t="shared" si="32"/>
        <v>Not_eligible</v>
      </c>
      <c r="AQ164" t="str">
        <f>IF(AND(E164="M",F164="checking",Dataset!G164&gt;2000,Dataset!K164&gt;500),"good_client","bad_client")</f>
        <v>bad_client</v>
      </c>
      <c r="AT164" t="s">
        <v>482</v>
      </c>
      <c r="AU164" t="str">
        <f>IF(AND(Dataset!F164="Savings",Dataset!AT164="eligible"),"YES","NO")</f>
        <v>NO</v>
      </c>
      <c r="AW164" s="8"/>
      <c r="AX164" s="12" t="s">
        <v>486</v>
      </c>
      <c r="AY164" s="8" t="s">
        <v>489</v>
      </c>
      <c r="AZ164" s="8"/>
      <c r="BD164" t="str">
        <f t="shared" si="33"/>
        <v>yes</v>
      </c>
    </row>
    <row r="165" spans="1:56" x14ac:dyDescent="0.3">
      <c r="A165">
        <f t="shared" si="34"/>
        <v>164</v>
      </c>
      <c r="B165" s="3" t="s">
        <v>224</v>
      </c>
      <c r="C165" s="3" t="s">
        <v>225</v>
      </c>
      <c r="D165" s="2">
        <v>52</v>
      </c>
      <c r="E165" s="2" t="s">
        <v>14</v>
      </c>
      <c r="F165" s="2" t="s">
        <v>22</v>
      </c>
      <c r="G165" s="2">
        <v>3000</v>
      </c>
      <c r="H165" s="2">
        <v>48000</v>
      </c>
      <c r="I165" s="2" t="s">
        <v>23</v>
      </c>
      <c r="J165" s="2">
        <v>5000</v>
      </c>
      <c r="K165" s="2">
        <v>690</v>
      </c>
      <c r="L165" s="2" t="s">
        <v>31</v>
      </c>
      <c r="M165" s="2" t="s">
        <v>80</v>
      </c>
      <c r="N165" s="2" t="s">
        <v>18</v>
      </c>
      <c r="O165">
        <v>8</v>
      </c>
      <c r="R165">
        <f t="shared" si="25"/>
        <v>9.6</v>
      </c>
      <c r="S165">
        <f t="shared" si="26"/>
        <v>9.6</v>
      </c>
      <c r="U165" t="b">
        <v>1</v>
      </c>
      <c r="W165" t="str">
        <f t="shared" si="27"/>
        <v>EVEN</v>
      </c>
      <c r="Y165">
        <f t="shared" si="28"/>
        <v>223.5</v>
      </c>
      <c r="AB165" t="str">
        <f t="shared" si="29"/>
        <v>Good_user</v>
      </c>
      <c r="AE165" t="b">
        <f t="shared" si="30"/>
        <v>0</v>
      </c>
      <c r="AG165" t="b">
        <f t="shared" si="31"/>
        <v>0</v>
      </c>
      <c r="AI165" t="str">
        <f>IF(AND(Dataset!G165 &gt;5000,Dataset!H165&gt;7000),"ACTIVE_CONSUMER","INACTIVE_CONSUMER")</f>
        <v>INACTIVE_CONSUMER</v>
      </c>
      <c r="AN165" t="str">
        <f t="shared" si="32"/>
        <v>Not_eligible</v>
      </c>
      <c r="AQ165" t="str">
        <f>IF(AND(E165="M",F165="checking",Dataset!G165&gt;2000,Dataset!K165&gt;500),"good_client","bad_client")</f>
        <v>bad_client</v>
      </c>
      <c r="AT165" t="s">
        <v>482</v>
      </c>
      <c r="AU165" t="str">
        <f>IF(AND(Dataset!F165="Savings",Dataset!AT165="eligible"),"YES","NO")</f>
        <v>NO</v>
      </c>
      <c r="AW165" s="8"/>
      <c r="AX165" s="12" t="s">
        <v>487</v>
      </c>
      <c r="AY165" s="8" t="s">
        <v>489</v>
      </c>
      <c r="AZ165" s="8"/>
      <c r="BD165" t="str">
        <f t="shared" si="33"/>
        <v>yes</v>
      </c>
    </row>
    <row r="166" spans="1:56" x14ac:dyDescent="0.3">
      <c r="A166">
        <f t="shared" si="34"/>
        <v>165</v>
      </c>
      <c r="B166" s="3" t="s">
        <v>226</v>
      </c>
      <c r="C166" s="3" t="s">
        <v>227</v>
      </c>
      <c r="D166" s="2">
        <v>37</v>
      </c>
      <c r="E166" s="2" t="s">
        <v>21</v>
      </c>
      <c r="F166" s="2" t="s">
        <v>15</v>
      </c>
      <c r="G166" s="2">
        <v>5000</v>
      </c>
      <c r="H166" s="2">
        <v>58000</v>
      </c>
      <c r="I166" s="2" t="s">
        <v>16</v>
      </c>
      <c r="J166" s="2">
        <v>0</v>
      </c>
      <c r="K166" s="2">
        <v>710</v>
      </c>
      <c r="L166" s="2" t="s">
        <v>17</v>
      </c>
      <c r="M166" s="2" t="s">
        <v>80</v>
      </c>
      <c r="N166" s="2" t="s">
        <v>25</v>
      </c>
      <c r="O166">
        <v>15</v>
      </c>
      <c r="R166" t="e">
        <f t="shared" si="25"/>
        <v>#DIV/0!</v>
      </c>
      <c r="S166" t="str">
        <f t="shared" si="26"/>
        <v>DIVISION ERROR</v>
      </c>
      <c r="U166" t="b">
        <v>0</v>
      </c>
      <c r="W166" t="str">
        <f t="shared" si="27"/>
        <v>ODD</v>
      </c>
      <c r="Y166">
        <f t="shared" si="28"/>
        <v>120.5</v>
      </c>
      <c r="AB166" t="str">
        <f t="shared" si="29"/>
        <v>Bad_user</v>
      </c>
      <c r="AE166" t="b">
        <f t="shared" si="30"/>
        <v>1</v>
      </c>
      <c r="AG166" t="b">
        <f t="shared" si="31"/>
        <v>0</v>
      </c>
      <c r="AI166" t="str">
        <f>IF(AND(Dataset!G166 &gt;5000,Dataset!H166&gt;7000),"ACTIVE_CONSUMER","INACTIVE_CONSUMER")</f>
        <v>INACTIVE_CONSUMER</v>
      </c>
      <c r="AN166" t="str">
        <f t="shared" si="32"/>
        <v>Not_eligible</v>
      </c>
      <c r="AQ166" t="str">
        <f>IF(AND(E166="M",F166="checking",Dataset!G166&gt;2000,Dataset!K166&gt;500),"good_client","bad_client")</f>
        <v>bad_client</v>
      </c>
      <c r="AT166" t="s">
        <v>482</v>
      </c>
      <c r="AU166" t="str">
        <f>IF(AND(Dataset!F166="Savings",Dataset!AT166="eligible"),"YES","NO")</f>
        <v>NO</v>
      </c>
      <c r="AW166" s="8"/>
      <c r="AX166" s="12" t="s">
        <v>487</v>
      </c>
      <c r="AY166" s="8" t="s">
        <v>490</v>
      </c>
      <c r="AZ166" s="8"/>
      <c r="BD166" t="str">
        <f t="shared" si="33"/>
        <v>yes</v>
      </c>
    </row>
    <row r="167" spans="1:56" x14ac:dyDescent="0.3">
      <c r="A167">
        <f t="shared" si="34"/>
        <v>166</v>
      </c>
      <c r="B167" s="3" t="s">
        <v>228</v>
      </c>
      <c r="C167" s="3" t="s">
        <v>229</v>
      </c>
      <c r="D167" s="2">
        <v>30</v>
      </c>
      <c r="E167" s="2" t="s">
        <v>14</v>
      </c>
      <c r="F167" s="2" t="s">
        <v>22</v>
      </c>
      <c r="G167" s="2">
        <v>6000</v>
      </c>
      <c r="H167" s="2">
        <v>70000</v>
      </c>
      <c r="I167" s="2" t="s">
        <v>23</v>
      </c>
      <c r="J167" s="2">
        <v>20000</v>
      </c>
      <c r="K167" s="2">
        <v>700</v>
      </c>
      <c r="L167" s="2" t="s">
        <v>24</v>
      </c>
      <c r="M167" s="2" t="s">
        <v>80</v>
      </c>
      <c r="N167" s="2" t="s">
        <v>18</v>
      </c>
      <c r="O167">
        <v>9</v>
      </c>
      <c r="R167">
        <f t="shared" si="25"/>
        <v>3.5</v>
      </c>
      <c r="S167">
        <f t="shared" si="26"/>
        <v>3.5</v>
      </c>
      <c r="U167" t="b">
        <v>1</v>
      </c>
      <c r="W167" t="str">
        <f t="shared" si="27"/>
        <v>EVEN</v>
      </c>
      <c r="Y167">
        <f t="shared" si="28"/>
        <v>170</v>
      </c>
      <c r="AB167" t="str">
        <f t="shared" si="29"/>
        <v>Good_user</v>
      </c>
      <c r="AE167" t="b">
        <f t="shared" si="30"/>
        <v>0</v>
      </c>
      <c r="AG167" t="b">
        <f t="shared" si="31"/>
        <v>0</v>
      </c>
      <c r="AI167" t="str">
        <f>IF(AND(Dataset!G167 &gt;5000,Dataset!H167&gt;7000),"ACTIVE_CONSUMER","INACTIVE_CONSUMER")</f>
        <v>ACTIVE_CONSUMER</v>
      </c>
      <c r="AN167" t="str">
        <f t="shared" si="32"/>
        <v>Not_eligible</v>
      </c>
      <c r="AQ167" t="str">
        <f>IF(AND(E167="M",F167="checking",Dataset!G167&gt;2000,Dataset!K167&gt;500),"good_client","bad_client")</f>
        <v>bad_client</v>
      </c>
      <c r="AT167" t="s">
        <v>482</v>
      </c>
      <c r="AU167" t="str">
        <f>IF(AND(Dataset!F167="Savings",Dataset!AT167="eligible"),"YES","NO")</f>
        <v>NO</v>
      </c>
      <c r="AW167" s="8"/>
      <c r="AX167" s="12" t="s">
        <v>487</v>
      </c>
      <c r="AY167" s="8" t="s">
        <v>489</v>
      </c>
      <c r="AZ167" s="8"/>
      <c r="BD167" t="str">
        <f t="shared" si="33"/>
        <v>yes</v>
      </c>
    </row>
    <row r="168" spans="1:56" x14ac:dyDescent="0.3">
      <c r="A168">
        <f t="shared" si="34"/>
        <v>167</v>
      </c>
      <c r="B168" s="3" t="s">
        <v>230</v>
      </c>
      <c r="C168" s="3" t="s">
        <v>231</v>
      </c>
      <c r="D168" s="2">
        <v>40</v>
      </c>
      <c r="E168" s="2" t="s">
        <v>21</v>
      </c>
      <c r="F168" s="2" t="s">
        <v>15</v>
      </c>
      <c r="G168" s="2">
        <v>15000</v>
      </c>
      <c r="H168" s="2">
        <v>82000</v>
      </c>
      <c r="I168" s="2" t="s">
        <v>16</v>
      </c>
      <c r="J168" s="2">
        <v>0</v>
      </c>
      <c r="K168" s="2">
        <v>730</v>
      </c>
      <c r="L168" s="2" t="s">
        <v>28</v>
      </c>
      <c r="M168" s="2" t="s">
        <v>80</v>
      </c>
      <c r="N168" s="2" t="s">
        <v>25</v>
      </c>
      <c r="O168">
        <v>4</v>
      </c>
      <c r="R168" t="e">
        <f t="shared" si="25"/>
        <v>#DIV/0!</v>
      </c>
      <c r="S168" t="str">
        <f t="shared" si="26"/>
        <v>DIVISION ERROR</v>
      </c>
      <c r="U168" t="b">
        <v>0</v>
      </c>
      <c r="W168" t="str">
        <f t="shared" si="27"/>
        <v>EVEN</v>
      </c>
      <c r="Y168">
        <f t="shared" si="28"/>
        <v>23</v>
      </c>
      <c r="AB168" t="str">
        <f t="shared" si="29"/>
        <v>Bad_user</v>
      </c>
      <c r="AE168" t="b">
        <f t="shared" si="30"/>
        <v>1</v>
      </c>
      <c r="AG168" t="b">
        <f t="shared" si="31"/>
        <v>0</v>
      </c>
      <c r="AI168" t="str">
        <f>IF(AND(Dataset!G168 &gt;5000,Dataset!H168&gt;7000),"ACTIVE_CONSUMER","INACTIVE_CONSUMER")</f>
        <v>ACTIVE_CONSUMER</v>
      </c>
      <c r="AN168" t="str">
        <f t="shared" si="32"/>
        <v>Not_eligible</v>
      </c>
      <c r="AQ168" t="str">
        <f>IF(AND(E168="M",F168="checking",Dataset!G168&gt;2000,Dataset!K168&gt;500),"good_client","bad_client")</f>
        <v>bad_client</v>
      </c>
      <c r="AT168" t="s">
        <v>482</v>
      </c>
      <c r="AU168" t="str">
        <f>IF(AND(Dataset!F168="Savings",Dataset!AT168="eligible"),"YES","NO")</f>
        <v>NO</v>
      </c>
      <c r="AW168" s="8"/>
      <c r="AX168" s="12" t="s">
        <v>487</v>
      </c>
      <c r="AY168" s="8" t="s">
        <v>490</v>
      </c>
      <c r="AZ168" s="8"/>
      <c r="BD168" t="str">
        <f t="shared" si="33"/>
        <v>yes</v>
      </c>
    </row>
    <row r="169" spans="1:56" x14ac:dyDescent="0.3">
      <c r="A169">
        <f t="shared" si="34"/>
        <v>168</v>
      </c>
      <c r="B169" s="3" t="s">
        <v>232</v>
      </c>
      <c r="C169" s="3" t="s">
        <v>233</v>
      </c>
      <c r="D169" s="2">
        <v>25</v>
      </c>
      <c r="E169" s="2" t="s">
        <v>14</v>
      </c>
      <c r="F169" s="2" t="s">
        <v>22</v>
      </c>
      <c r="G169" s="2">
        <v>2000</v>
      </c>
      <c r="H169" s="2">
        <v>43000</v>
      </c>
      <c r="I169" s="2" t="s">
        <v>16</v>
      </c>
      <c r="J169" s="2">
        <v>0</v>
      </c>
      <c r="K169" s="2">
        <v>670</v>
      </c>
      <c r="L169" s="2" t="s">
        <v>31</v>
      </c>
      <c r="M169" s="2" t="s">
        <v>81</v>
      </c>
      <c r="N169" s="2" t="s">
        <v>18</v>
      </c>
      <c r="O169">
        <v>13</v>
      </c>
      <c r="R169" t="e">
        <f t="shared" si="25"/>
        <v>#DIV/0!</v>
      </c>
      <c r="S169" t="str">
        <f t="shared" si="26"/>
        <v>DIVISION ERROR</v>
      </c>
      <c r="U169" t="b">
        <v>0</v>
      </c>
      <c r="W169" t="str">
        <f t="shared" si="27"/>
        <v>ODD</v>
      </c>
      <c r="Y169">
        <f t="shared" si="28"/>
        <v>334</v>
      </c>
      <c r="AB169" t="str">
        <f t="shared" si="29"/>
        <v>Good_user</v>
      </c>
      <c r="AE169" t="b">
        <f t="shared" si="30"/>
        <v>1</v>
      </c>
      <c r="AG169" t="b">
        <f t="shared" si="31"/>
        <v>0</v>
      </c>
      <c r="AI169" t="str">
        <f>IF(AND(Dataset!G169 &gt;5000,Dataset!H169&gt;7000),"ACTIVE_CONSUMER","INACTIVE_CONSUMER")</f>
        <v>INACTIVE_CONSUMER</v>
      </c>
      <c r="AN169" t="str">
        <f t="shared" si="32"/>
        <v>Not_eligible</v>
      </c>
      <c r="AQ169" t="str">
        <f>IF(AND(E169="M",F169="checking",Dataset!G169&gt;2000,Dataset!K169&gt;500),"good_client","bad_client")</f>
        <v>bad_client</v>
      </c>
      <c r="AT169" t="s">
        <v>482</v>
      </c>
      <c r="AU169" t="str">
        <f>IF(AND(Dataset!F169="Savings",Dataset!AT169="eligible"),"YES","NO")</f>
        <v>NO</v>
      </c>
      <c r="AW169" s="8"/>
      <c r="AX169" s="12" t="s">
        <v>487</v>
      </c>
      <c r="AY169" s="8" t="s">
        <v>489</v>
      </c>
      <c r="AZ169" s="8"/>
      <c r="BD169" t="str">
        <f t="shared" si="33"/>
        <v>yes</v>
      </c>
    </row>
    <row r="170" spans="1:56" x14ac:dyDescent="0.3">
      <c r="A170">
        <f t="shared" si="34"/>
        <v>169</v>
      </c>
      <c r="B170" s="3" t="s">
        <v>234</v>
      </c>
      <c r="C170" s="3" t="s">
        <v>235</v>
      </c>
      <c r="D170" s="2">
        <v>31</v>
      </c>
      <c r="E170" s="2" t="s">
        <v>21</v>
      </c>
      <c r="F170" s="2" t="s">
        <v>15</v>
      </c>
      <c r="G170" s="2">
        <v>7000</v>
      </c>
      <c r="H170" s="2">
        <v>55000</v>
      </c>
      <c r="I170" s="2" t="s">
        <v>23</v>
      </c>
      <c r="J170" s="2">
        <v>10000</v>
      </c>
      <c r="K170" s="2">
        <v>720</v>
      </c>
      <c r="L170" s="2" t="s">
        <v>17</v>
      </c>
      <c r="M170" s="2" t="s">
        <v>81</v>
      </c>
      <c r="N170" s="2" t="s">
        <v>18</v>
      </c>
      <c r="O170">
        <v>5</v>
      </c>
      <c r="R170">
        <f t="shared" si="25"/>
        <v>5.5</v>
      </c>
      <c r="S170">
        <f t="shared" si="26"/>
        <v>5.5</v>
      </c>
      <c r="U170" t="b">
        <v>1</v>
      </c>
      <c r="W170" t="str">
        <f t="shared" si="27"/>
        <v>ODD</v>
      </c>
      <c r="Y170">
        <f t="shared" si="28"/>
        <v>60</v>
      </c>
      <c r="AB170" t="str">
        <f t="shared" si="29"/>
        <v>Good_user</v>
      </c>
      <c r="AE170" t="b">
        <f t="shared" si="30"/>
        <v>0</v>
      </c>
      <c r="AG170" t="b">
        <f t="shared" si="31"/>
        <v>0</v>
      </c>
      <c r="AI170" t="str">
        <f>IF(AND(Dataset!G170 &gt;5000,Dataset!H170&gt;7000),"ACTIVE_CONSUMER","INACTIVE_CONSUMER")</f>
        <v>ACTIVE_CONSUMER</v>
      </c>
      <c r="AN170" t="str">
        <f t="shared" si="32"/>
        <v>Not_eligible</v>
      </c>
      <c r="AQ170" t="str">
        <f>IF(AND(E170="M",F170="checking",Dataset!G170&gt;2000,Dataset!K170&gt;500),"good_client","bad_client")</f>
        <v>bad_client</v>
      </c>
      <c r="AT170" t="s">
        <v>482</v>
      </c>
      <c r="AU170" t="str">
        <f>IF(AND(Dataset!F170="Savings",Dataset!AT170="eligible"),"YES","NO")</f>
        <v>NO</v>
      </c>
      <c r="AW170" s="8"/>
      <c r="AX170" s="12" t="s">
        <v>487</v>
      </c>
      <c r="AY170" s="8" t="s">
        <v>489</v>
      </c>
      <c r="AZ170" s="8"/>
      <c r="BD170" t="str">
        <f t="shared" si="33"/>
        <v>yes</v>
      </c>
    </row>
    <row r="171" spans="1:56" x14ac:dyDescent="0.3">
      <c r="A171">
        <f t="shared" si="34"/>
        <v>170</v>
      </c>
      <c r="B171" s="3" t="s">
        <v>236</v>
      </c>
      <c r="C171" s="3" t="s">
        <v>237</v>
      </c>
      <c r="D171" s="2">
        <v>44</v>
      </c>
      <c r="E171" s="2" t="s">
        <v>14</v>
      </c>
      <c r="F171" s="2" t="s">
        <v>22</v>
      </c>
      <c r="G171" s="2">
        <v>11000</v>
      </c>
      <c r="H171" s="2">
        <v>65000</v>
      </c>
      <c r="I171" s="2" t="s">
        <v>16</v>
      </c>
      <c r="J171" s="2">
        <v>0</v>
      </c>
      <c r="K171" s="2">
        <v>740</v>
      </c>
      <c r="L171" s="2" t="s">
        <v>24</v>
      </c>
      <c r="M171" s="2" t="s">
        <v>82</v>
      </c>
      <c r="N171" s="2" t="s">
        <v>25</v>
      </c>
      <c r="O171">
        <v>11</v>
      </c>
      <c r="R171" t="e">
        <f t="shared" si="25"/>
        <v>#DIV/0!</v>
      </c>
      <c r="S171" t="str">
        <f t="shared" si="26"/>
        <v>DIVISION ERROR</v>
      </c>
      <c r="U171" t="b">
        <v>0</v>
      </c>
      <c r="W171" t="str">
        <f t="shared" si="27"/>
        <v>EVEN</v>
      </c>
      <c r="Y171">
        <f t="shared" si="28"/>
        <v>13</v>
      </c>
      <c r="AB171" t="str">
        <f t="shared" si="29"/>
        <v>Bad_user</v>
      </c>
      <c r="AE171" t="b">
        <f t="shared" si="30"/>
        <v>1</v>
      </c>
      <c r="AG171" t="b">
        <f t="shared" si="31"/>
        <v>0</v>
      </c>
      <c r="AI171" t="str">
        <f>IF(AND(Dataset!G171 &gt;5000,Dataset!H171&gt;7000),"ACTIVE_CONSUMER","INACTIVE_CONSUMER")</f>
        <v>ACTIVE_CONSUMER</v>
      </c>
      <c r="AN171" t="str">
        <f t="shared" si="32"/>
        <v>Not_eligible</v>
      </c>
      <c r="AQ171" t="str">
        <f>IF(AND(E171="M",F171="checking",Dataset!G171&gt;2000,Dataset!K171&gt;500),"good_client","bad_client")</f>
        <v>bad_client</v>
      </c>
      <c r="AT171" t="s">
        <v>482</v>
      </c>
      <c r="AU171" t="str">
        <f>IF(AND(Dataset!F171="Savings",Dataset!AT171="eligible"),"YES","NO")</f>
        <v>NO</v>
      </c>
      <c r="AW171" s="8"/>
      <c r="AX171" s="12" t="s">
        <v>486</v>
      </c>
      <c r="AY171" s="8" t="s">
        <v>490</v>
      </c>
      <c r="AZ171" s="8"/>
      <c r="BD171" t="str">
        <f t="shared" si="33"/>
        <v>yes</v>
      </c>
    </row>
    <row r="172" spans="1:56" x14ac:dyDescent="0.3">
      <c r="A172">
        <f t="shared" si="34"/>
        <v>171</v>
      </c>
      <c r="B172" s="3" t="s">
        <v>238</v>
      </c>
      <c r="C172" s="3" t="s">
        <v>239</v>
      </c>
      <c r="D172" s="2">
        <v>28</v>
      </c>
      <c r="E172" s="2" t="s">
        <v>21</v>
      </c>
      <c r="F172" s="2" t="s">
        <v>15</v>
      </c>
      <c r="G172" s="2">
        <v>4500</v>
      </c>
      <c r="H172" s="2">
        <v>47000</v>
      </c>
      <c r="I172" s="2" t="s">
        <v>16</v>
      </c>
      <c r="J172" s="2">
        <v>0</v>
      </c>
      <c r="K172" s="2">
        <v>690</v>
      </c>
      <c r="L172" s="2" t="s">
        <v>28</v>
      </c>
      <c r="M172" s="2" t="s">
        <v>80</v>
      </c>
      <c r="N172" s="2" t="s">
        <v>18</v>
      </c>
      <c r="O172">
        <v>4</v>
      </c>
      <c r="R172" t="e">
        <f t="shared" si="25"/>
        <v>#DIV/0!</v>
      </c>
      <c r="S172" t="str">
        <f t="shared" si="26"/>
        <v>DIVISION ERROR</v>
      </c>
      <c r="U172" t="b">
        <v>0</v>
      </c>
      <c r="W172" t="str">
        <f t="shared" si="27"/>
        <v>EVEN</v>
      </c>
      <c r="Y172">
        <f t="shared" si="28"/>
        <v>223.5</v>
      </c>
      <c r="AB172" t="str">
        <f t="shared" si="29"/>
        <v>Good_user</v>
      </c>
      <c r="AE172" t="b">
        <f t="shared" si="30"/>
        <v>1</v>
      </c>
      <c r="AG172" t="b">
        <f t="shared" si="31"/>
        <v>0</v>
      </c>
      <c r="AI172" t="str">
        <f>IF(AND(Dataset!G172 &gt;5000,Dataset!H172&gt;7000),"ACTIVE_CONSUMER","INACTIVE_CONSUMER")</f>
        <v>INACTIVE_CONSUMER</v>
      </c>
      <c r="AN172" t="str">
        <f t="shared" si="32"/>
        <v>Not_eligible</v>
      </c>
      <c r="AQ172" t="str">
        <f>IF(AND(E172="M",F172="checking",Dataset!G172&gt;2000,Dataset!K172&gt;500),"good_client","bad_client")</f>
        <v>bad_client</v>
      </c>
      <c r="AT172" t="s">
        <v>482</v>
      </c>
      <c r="AU172" t="str">
        <f>IF(AND(Dataset!F172="Savings",Dataset!AT172="eligible"),"YES","NO")</f>
        <v>NO</v>
      </c>
      <c r="AW172" s="8"/>
      <c r="AX172" s="12" t="s">
        <v>487</v>
      </c>
      <c r="AY172" s="8" t="s">
        <v>489</v>
      </c>
      <c r="AZ172" s="8"/>
      <c r="BD172" t="str">
        <f t="shared" si="33"/>
        <v>yes</v>
      </c>
    </row>
    <row r="173" spans="1:56" x14ac:dyDescent="0.3">
      <c r="A173">
        <f t="shared" si="34"/>
        <v>172</v>
      </c>
      <c r="B173" s="3" t="s">
        <v>240</v>
      </c>
      <c r="C173" s="3" t="s">
        <v>241</v>
      </c>
      <c r="D173" s="2">
        <v>39</v>
      </c>
      <c r="E173" s="2" t="s">
        <v>14</v>
      </c>
      <c r="F173" s="2" t="s">
        <v>22</v>
      </c>
      <c r="G173" s="2">
        <v>10000</v>
      </c>
      <c r="H173" s="2">
        <v>72000</v>
      </c>
      <c r="I173" s="2" t="s">
        <v>23</v>
      </c>
      <c r="J173" s="2">
        <v>12000</v>
      </c>
      <c r="K173" s="2">
        <v>700</v>
      </c>
      <c r="L173" s="2" t="s">
        <v>31</v>
      </c>
      <c r="M173" s="2" t="s">
        <v>82</v>
      </c>
      <c r="N173" s="2" t="s">
        <v>18</v>
      </c>
      <c r="O173">
        <v>14</v>
      </c>
      <c r="R173">
        <f t="shared" si="25"/>
        <v>6</v>
      </c>
      <c r="S173">
        <f t="shared" si="26"/>
        <v>6</v>
      </c>
      <c r="U173" t="b">
        <v>1</v>
      </c>
      <c r="W173" t="str">
        <f t="shared" si="27"/>
        <v>ODD</v>
      </c>
      <c r="Y173">
        <f t="shared" si="28"/>
        <v>170</v>
      </c>
      <c r="AB173" t="str">
        <f t="shared" si="29"/>
        <v>Good_user</v>
      </c>
      <c r="AE173" t="b">
        <f t="shared" si="30"/>
        <v>0</v>
      </c>
      <c r="AG173" t="b">
        <f t="shared" si="31"/>
        <v>0</v>
      </c>
      <c r="AI173" t="str">
        <f>IF(AND(Dataset!G173 &gt;5000,Dataset!H173&gt;7000),"ACTIVE_CONSUMER","INACTIVE_CONSUMER")</f>
        <v>ACTIVE_CONSUMER</v>
      </c>
      <c r="AN173" t="str">
        <f t="shared" si="32"/>
        <v>Not_eligible</v>
      </c>
      <c r="AQ173" t="str">
        <f>IF(AND(E173="M",F173="checking",Dataset!G173&gt;2000,Dataset!K173&gt;500),"good_client","bad_client")</f>
        <v>bad_client</v>
      </c>
      <c r="AT173" t="s">
        <v>482</v>
      </c>
      <c r="AU173" t="str">
        <f>IF(AND(Dataset!F173="Savings",Dataset!AT173="eligible"),"YES","NO")</f>
        <v>NO</v>
      </c>
      <c r="AW173" s="8"/>
      <c r="AX173" s="12" t="s">
        <v>486</v>
      </c>
      <c r="AY173" s="8" t="s">
        <v>489</v>
      </c>
      <c r="AZ173" s="8"/>
      <c r="BD173" t="str">
        <f t="shared" si="33"/>
        <v>yes</v>
      </c>
    </row>
    <row r="174" spans="1:56" x14ac:dyDescent="0.3">
      <c r="A174">
        <f t="shared" si="34"/>
        <v>173</v>
      </c>
      <c r="B174" s="3" t="s">
        <v>62</v>
      </c>
      <c r="C174" s="3" t="s">
        <v>62</v>
      </c>
      <c r="D174" s="2">
        <v>26</v>
      </c>
      <c r="E174" s="2" t="s">
        <v>21</v>
      </c>
      <c r="F174" s="2" t="s">
        <v>15</v>
      </c>
      <c r="G174" s="2">
        <v>3500</v>
      </c>
      <c r="H174" s="2">
        <v>53000</v>
      </c>
      <c r="I174" s="2" t="s">
        <v>16</v>
      </c>
      <c r="J174" s="2">
        <v>0</v>
      </c>
      <c r="K174" s="2">
        <v>680</v>
      </c>
      <c r="L174" s="2" t="s">
        <v>17</v>
      </c>
      <c r="M174" s="2" t="s">
        <v>81</v>
      </c>
      <c r="N174" s="2" t="s">
        <v>25</v>
      </c>
      <c r="O174">
        <v>7</v>
      </c>
      <c r="R174" t="e">
        <f t="shared" si="25"/>
        <v>#DIV/0!</v>
      </c>
      <c r="S174" t="str">
        <f t="shared" si="26"/>
        <v>DIVISION ERROR</v>
      </c>
      <c r="U174" t="b">
        <v>0</v>
      </c>
      <c r="W174" t="str">
        <f t="shared" si="27"/>
        <v>EVEN</v>
      </c>
      <c r="Y174">
        <f t="shared" si="28"/>
        <v>286</v>
      </c>
      <c r="AB174" t="str">
        <f t="shared" si="29"/>
        <v>Bad_user</v>
      </c>
      <c r="AE174" t="b">
        <f t="shared" si="30"/>
        <v>1</v>
      </c>
      <c r="AG174" t="b">
        <f t="shared" si="31"/>
        <v>0</v>
      </c>
      <c r="AI174" t="str">
        <f>IF(AND(Dataset!G174 &gt;5000,Dataset!H174&gt;7000),"ACTIVE_CONSUMER","INACTIVE_CONSUMER")</f>
        <v>INACTIVE_CONSUMER</v>
      </c>
      <c r="AN174" t="str">
        <f t="shared" si="32"/>
        <v>Not_eligible</v>
      </c>
      <c r="AQ174" t="str">
        <f>IF(AND(E174="M",F174="checking",Dataset!G174&gt;2000,Dataset!K174&gt;500),"good_client","bad_client")</f>
        <v>bad_client</v>
      </c>
      <c r="AT174" t="s">
        <v>482</v>
      </c>
      <c r="AU174" t="str">
        <f>IF(AND(Dataset!F174="Savings",Dataset!AT174="eligible"),"YES","NO")</f>
        <v>NO</v>
      </c>
      <c r="AW174" s="8"/>
      <c r="AX174" s="12" t="s">
        <v>487</v>
      </c>
      <c r="AY174" s="8" t="s">
        <v>490</v>
      </c>
      <c r="AZ174" s="8"/>
      <c r="BD174" t="str">
        <f t="shared" si="33"/>
        <v>yes</v>
      </c>
    </row>
    <row r="175" spans="1:56" x14ac:dyDescent="0.3">
      <c r="A175">
        <f t="shared" si="34"/>
        <v>174</v>
      </c>
      <c r="B175" s="3" t="s">
        <v>242</v>
      </c>
      <c r="C175" s="3" t="s">
        <v>243</v>
      </c>
      <c r="D175" s="2">
        <v>33</v>
      </c>
      <c r="E175" s="2" t="s">
        <v>14</v>
      </c>
      <c r="F175" s="2" t="s">
        <v>22</v>
      </c>
      <c r="G175" s="2">
        <v>8000</v>
      </c>
      <c r="H175" s="2">
        <v>60000</v>
      </c>
      <c r="I175" s="2" t="s">
        <v>23</v>
      </c>
      <c r="J175" s="2">
        <v>8000</v>
      </c>
      <c r="K175" s="2">
        <v>710</v>
      </c>
      <c r="L175" s="2" t="s">
        <v>24</v>
      </c>
      <c r="M175" s="2" t="s">
        <v>80</v>
      </c>
      <c r="N175" s="2" t="s">
        <v>18</v>
      </c>
      <c r="O175">
        <v>6</v>
      </c>
      <c r="R175">
        <f t="shared" si="25"/>
        <v>7.5</v>
      </c>
      <c r="S175">
        <f t="shared" si="26"/>
        <v>7.5</v>
      </c>
      <c r="U175" t="b">
        <v>1</v>
      </c>
      <c r="W175" t="str">
        <f t="shared" si="27"/>
        <v>ODD</v>
      </c>
      <c r="Y175">
        <f t="shared" si="28"/>
        <v>120.5</v>
      </c>
      <c r="AB175" t="str">
        <f t="shared" si="29"/>
        <v>Good_user</v>
      </c>
      <c r="AE175" t="b">
        <f t="shared" si="30"/>
        <v>0</v>
      </c>
      <c r="AG175" t="b">
        <f t="shared" si="31"/>
        <v>0</v>
      </c>
      <c r="AI175" t="str">
        <f>IF(AND(Dataset!G175 &gt;5000,Dataset!H175&gt;7000),"ACTIVE_CONSUMER","INACTIVE_CONSUMER")</f>
        <v>ACTIVE_CONSUMER</v>
      </c>
      <c r="AN175" t="str">
        <f t="shared" si="32"/>
        <v>Not_eligible</v>
      </c>
      <c r="AQ175" t="str">
        <f>IF(AND(E175="M",F175="checking",Dataset!G175&gt;2000,Dataset!K175&gt;500),"good_client","bad_client")</f>
        <v>bad_client</v>
      </c>
      <c r="AT175" t="s">
        <v>482</v>
      </c>
      <c r="AU175" t="str">
        <f>IF(AND(Dataset!F175="Savings",Dataset!AT175="eligible"),"YES","NO")</f>
        <v>NO</v>
      </c>
      <c r="AW175" s="8"/>
      <c r="AX175" s="12" t="s">
        <v>487</v>
      </c>
      <c r="AY175" s="8" t="s">
        <v>489</v>
      </c>
      <c r="AZ175" s="8"/>
      <c r="BD175" t="str">
        <f t="shared" si="33"/>
        <v>yes</v>
      </c>
    </row>
    <row r="176" spans="1:56" x14ac:dyDescent="0.3">
      <c r="A176">
        <f t="shared" si="34"/>
        <v>175</v>
      </c>
      <c r="B176" s="3" t="s">
        <v>244</v>
      </c>
      <c r="C176" s="3" t="s">
        <v>245</v>
      </c>
      <c r="D176" s="2">
        <v>46</v>
      </c>
      <c r="E176" s="2" t="s">
        <v>21</v>
      </c>
      <c r="F176" s="2" t="s">
        <v>15</v>
      </c>
      <c r="G176" s="2">
        <v>13000</v>
      </c>
      <c r="H176" s="2">
        <v>85000</v>
      </c>
      <c r="I176" s="2" t="s">
        <v>16</v>
      </c>
      <c r="J176" s="2">
        <v>0</v>
      </c>
      <c r="K176" s="2">
        <v>740</v>
      </c>
      <c r="L176" s="2" t="s">
        <v>28</v>
      </c>
      <c r="M176" s="2" t="s">
        <v>82</v>
      </c>
      <c r="N176" s="2" t="s">
        <v>25</v>
      </c>
      <c r="O176">
        <v>4</v>
      </c>
      <c r="R176" t="e">
        <f t="shared" si="25"/>
        <v>#DIV/0!</v>
      </c>
      <c r="S176" t="str">
        <f t="shared" si="26"/>
        <v>DIVISION ERROR</v>
      </c>
      <c r="U176" t="b">
        <v>0</v>
      </c>
      <c r="W176" t="str">
        <f t="shared" si="27"/>
        <v>EVEN</v>
      </c>
      <c r="Y176">
        <f t="shared" si="28"/>
        <v>13</v>
      </c>
      <c r="AB176" t="str">
        <f t="shared" si="29"/>
        <v>Bad_user</v>
      </c>
      <c r="AE176" t="b">
        <f t="shared" si="30"/>
        <v>1</v>
      </c>
      <c r="AG176" t="b">
        <f t="shared" si="31"/>
        <v>0</v>
      </c>
      <c r="AI176" t="str">
        <f>IF(AND(Dataset!G176 &gt;5000,Dataset!H176&gt;7000),"ACTIVE_CONSUMER","INACTIVE_CONSUMER")</f>
        <v>ACTIVE_CONSUMER</v>
      </c>
      <c r="AN176" t="str">
        <f t="shared" si="32"/>
        <v>Not_eligible</v>
      </c>
      <c r="AQ176" t="str">
        <f>IF(AND(E176="M",F176="checking",Dataset!G176&gt;2000,Dataset!K176&gt;500),"good_client","bad_client")</f>
        <v>bad_client</v>
      </c>
      <c r="AT176" t="s">
        <v>482</v>
      </c>
      <c r="AU176" t="str">
        <f>IF(AND(Dataset!F176="Savings",Dataset!AT176="eligible"),"YES","NO")</f>
        <v>NO</v>
      </c>
      <c r="AW176" s="8"/>
      <c r="AX176" s="12" t="s">
        <v>486</v>
      </c>
      <c r="AY176" s="8" t="s">
        <v>490</v>
      </c>
      <c r="AZ176" s="8"/>
      <c r="BD176" t="str">
        <f t="shared" si="33"/>
        <v>yes</v>
      </c>
    </row>
    <row r="177" spans="1:56" x14ac:dyDescent="0.3">
      <c r="A177">
        <f t="shared" si="34"/>
        <v>176</v>
      </c>
      <c r="B177" s="3" t="s">
        <v>246</v>
      </c>
      <c r="C177" s="3" t="s">
        <v>247</v>
      </c>
      <c r="D177" s="2">
        <v>52</v>
      </c>
      <c r="E177" s="2" t="s">
        <v>14</v>
      </c>
      <c r="F177" s="2" t="s">
        <v>22</v>
      </c>
      <c r="G177" s="2">
        <v>4000</v>
      </c>
      <c r="H177" s="2">
        <v>49000</v>
      </c>
      <c r="I177" s="2" t="s">
        <v>23</v>
      </c>
      <c r="J177" s="2">
        <v>7000</v>
      </c>
      <c r="K177" s="2">
        <v>690</v>
      </c>
      <c r="L177" s="2" t="s">
        <v>31</v>
      </c>
      <c r="M177" s="2" t="s">
        <v>80</v>
      </c>
      <c r="N177" s="2" t="s">
        <v>18</v>
      </c>
      <c r="O177">
        <v>7</v>
      </c>
      <c r="R177">
        <f t="shared" si="25"/>
        <v>7</v>
      </c>
      <c r="S177">
        <f t="shared" si="26"/>
        <v>7</v>
      </c>
      <c r="U177" t="b">
        <v>1</v>
      </c>
      <c r="W177" t="str">
        <f t="shared" si="27"/>
        <v>EVEN</v>
      </c>
      <c r="Y177">
        <f t="shared" si="28"/>
        <v>223.5</v>
      </c>
      <c r="AB177" t="str">
        <f t="shared" si="29"/>
        <v>Good_user</v>
      </c>
      <c r="AE177" t="b">
        <f t="shared" si="30"/>
        <v>0</v>
      </c>
      <c r="AG177" t="b">
        <f t="shared" si="31"/>
        <v>0</v>
      </c>
      <c r="AI177" t="str">
        <f>IF(AND(Dataset!G177 &gt;5000,Dataset!H177&gt;7000),"ACTIVE_CONSUMER","INACTIVE_CONSUMER")</f>
        <v>INACTIVE_CONSUMER</v>
      </c>
      <c r="AN177" t="str">
        <f t="shared" si="32"/>
        <v>Not_eligible</v>
      </c>
      <c r="AQ177" t="str">
        <f>IF(AND(E177="M",F177="checking",Dataset!G177&gt;2000,Dataset!K177&gt;500),"good_client","bad_client")</f>
        <v>bad_client</v>
      </c>
      <c r="AT177" t="s">
        <v>482</v>
      </c>
      <c r="AU177" t="str">
        <f>IF(AND(Dataset!F177="Savings",Dataset!AT177="eligible"),"YES","NO")</f>
        <v>NO</v>
      </c>
      <c r="AW177" s="8"/>
      <c r="AX177" s="12" t="s">
        <v>487</v>
      </c>
      <c r="AY177" s="8" t="s">
        <v>489</v>
      </c>
      <c r="AZ177" s="8"/>
      <c r="BD177" t="str">
        <f t="shared" si="33"/>
        <v>yes</v>
      </c>
    </row>
    <row r="178" spans="1:56" x14ac:dyDescent="0.3">
      <c r="A178">
        <f t="shared" si="34"/>
        <v>177</v>
      </c>
      <c r="B178" s="3" t="s">
        <v>248</v>
      </c>
      <c r="C178" s="3" t="s">
        <v>249</v>
      </c>
      <c r="D178" s="2">
        <v>24</v>
      </c>
      <c r="E178" s="2" t="s">
        <v>14</v>
      </c>
      <c r="F178" s="2" t="s">
        <v>15</v>
      </c>
      <c r="G178" s="2">
        <v>2200</v>
      </c>
      <c r="H178" s="2">
        <v>45000</v>
      </c>
      <c r="I178" s="2" t="s">
        <v>16</v>
      </c>
      <c r="J178" s="2">
        <v>0</v>
      </c>
      <c r="K178" s="2">
        <v>670</v>
      </c>
      <c r="L178" s="2" t="s">
        <v>17</v>
      </c>
      <c r="M178" s="2" t="s">
        <v>81</v>
      </c>
      <c r="N178" s="2" t="s">
        <v>25</v>
      </c>
      <c r="O178">
        <v>13</v>
      </c>
      <c r="R178" t="e">
        <f t="shared" si="25"/>
        <v>#DIV/0!</v>
      </c>
      <c r="S178" t="str">
        <f t="shared" si="26"/>
        <v>DIVISION ERROR</v>
      </c>
      <c r="U178" t="b">
        <v>0</v>
      </c>
      <c r="W178" t="str">
        <f t="shared" si="27"/>
        <v>EVEN</v>
      </c>
      <c r="Y178">
        <f t="shared" si="28"/>
        <v>334</v>
      </c>
      <c r="AB178" t="str">
        <f t="shared" si="29"/>
        <v>Bad_user</v>
      </c>
      <c r="AE178" t="b">
        <f t="shared" si="30"/>
        <v>1</v>
      </c>
      <c r="AG178" t="b">
        <f t="shared" si="31"/>
        <v>0</v>
      </c>
      <c r="AI178" t="str">
        <f>IF(AND(Dataset!G178 &gt;5000,Dataset!H178&gt;7000),"ACTIVE_CONSUMER","INACTIVE_CONSUMER")</f>
        <v>INACTIVE_CONSUMER</v>
      </c>
      <c r="AN178" t="str">
        <f t="shared" si="32"/>
        <v>Not_eligible</v>
      </c>
      <c r="AQ178" t="str">
        <f>IF(AND(E178="M",F178="checking",Dataset!G178&gt;2000,Dataset!K178&gt;500),"good_client","bad_client")</f>
        <v>good_client</v>
      </c>
      <c r="AT178" t="s">
        <v>482</v>
      </c>
      <c r="AU178" t="str">
        <f>IF(AND(Dataset!F178="Savings",Dataset!AT178="eligible"),"YES","NO")</f>
        <v>NO</v>
      </c>
      <c r="AW178" s="8"/>
      <c r="AX178" s="12" t="s">
        <v>487</v>
      </c>
      <c r="AY178" s="8" t="s">
        <v>490</v>
      </c>
      <c r="AZ178" s="8"/>
      <c r="BD178" t="str">
        <f t="shared" si="33"/>
        <v>yes</v>
      </c>
    </row>
    <row r="179" spans="1:56" x14ac:dyDescent="0.3">
      <c r="A179">
        <f t="shared" si="34"/>
        <v>178</v>
      </c>
      <c r="B179" s="3" t="s">
        <v>250</v>
      </c>
      <c r="C179" s="3" t="s">
        <v>251</v>
      </c>
      <c r="D179" s="2">
        <v>38</v>
      </c>
      <c r="E179" s="2" t="s">
        <v>14</v>
      </c>
      <c r="F179" s="2" t="s">
        <v>22</v>
      </c>
      <c r="G179" s="2">
        <v>15000</v>
      </c>
      <c r="H179" s="2">
        <v>77000</v>
      </c>
      <c r="I179" s="2" t="s">
        <v>23</v>
      </c>
      <c r="J179" s="2">
        <v>15000</v>
      </c>
      <c r="K179" s="2">
        <v>720</v>
      </c>
      <c r="L179" s="2" t="s">
        <v>24</v>
      </c>
      <c r="M179" s="2" t="s">
        <v>82</v>
      </c>
      <c r="N179" s="2" t="s">
        <v>18</v>
      </c>
      <c r="O179">
        <v>4</v>
      </c>
      <c r="R179">
        <f t="shared" si="25"/>
        <v>5.1333333333333337</v>
      </c>
      <c r="S179">
        <f t="shared" si="26"/>
        <v>5.1333333333333337</v>
      </c>
      <c r="U179" t="b">
        <v>1</v>
      </c>
      <c r="W179" t="str">
        <f t="shared" si="27"/>
        <v>EVEN</v>
      </c>
      <c r="Y179">
        <f t="shared" si="28"/>
        <v>60</v>
      </c>
      <c r="AB179" t="str">
        <f t="shared" si="29"/>
        <v>Good_user</v>
      </c>
      <c r="AE179" t="b">
        <f t="shared" si="30"/>
        <v>0</v>
      </c>
      <c r="AG179" t="b">
        <f t="shared" si="31"/>
        <v>0</v>
      </c>
      <c r="AI179" t="str">
        <f>IF(AND(Dataset!G179 &gt;5000,Dataset!H179&gt;7000),"ACTIVE_CONSUMER","INACTIVE_CONSUMER")</f>
        <v>ACTIVE_CONSUMER</v>
      </c>
      <c r="AN179" t="str">
        <f t="shared" si="32"/>
        <v>Not_eligible</v>
      </c>
      <c r="AQ179" t="str">
        <f>IF(AND(E179="M",F179="checking",Dataset!G179&gt;2000,Dataset!K179&gt;500),"good_client","bad_client")</f>
        <v>bad_client</v>
      </c>
      <c r="AT179" t="s">
        <v>482</v>
      </c>
      <c r="AU179" t="str">
        <f>IF(AND(Dataset!F179="Savings",Dataset!AT179="eligible"),"YES","NO")</f>
        <v>NO</v>
      </c>
      <c r="AW179" s="8"/>
      <c r="AX179" s="12" t="s">
        <v>486</v>
      </c>
      <c r="AY179" s="8" t="s">
        <v>489</v>
      </c>
      <c r="AZ179" s="8"/>
      <c r="BD179" t="str">
        <f t="shared" si="33"/>
        <v>yes</v>
      </c>
    </row>
    <row r="180" spans="1:56" x14ac:dyDescent="0.3">
      <c r="A180">
        <f t="shared" si="34"/>
        <v>179</v>
      </c>
      <c r="B180" s="3" t="s">
        <v>252</v>
      </c>
      <c r="C180" s="3" t="s">
        <v>253</v>
      </c>
      <c r="D180" s="2">
        <v>27</v>
      </c>
      <c r="E180" s="2" t="s">
        <v>21</v>
      </c>
      <c r="F180" s="2" t="s">
        <v>15</v>
      </c>
      <c r="G180" s="2">
        <v>4000</v>
      </c>
      <c r="H180" s="2">
        <v>50000</v>
      </c>
      <c r="I180" s="2" t="s">
        <v>16</v>
      </c>
      <c r="J180" s="2">
        <v>0</v>
      </c>
      <c r="K180" s="2">
        <v>680</v>
      </c>
      <c r="L180" s="2" t="s">
        <v>28</v>
      </c>
      <c r="M180" s="2" t="s">
        <v>80</v>
      </c>
      <c r="N180" s="2" t="s">
        <v>25</v>
      </c>
      <c r="O180">
        <v>15</v>
      </c>
      <c r="R180" t="e">
        <f t="shared" si="25"/>
        <v>#DIV/0!</v>
      </c>
      <c r="S180" t="str">
        <f t="shared" si="26"/>
        <v>DIVISION ERROR</v>
      </c>
      <c r="U180" t="b">
        <v>0</v>
      </c>
      <c r="W180" t="str">
        <f t="shared" si="27"/>
        <v>ODD</v>
      </c>
      <c r="Y180">
        <f t="shared" si="28"/>
        <v>286</v>
      </c>
      <c r="AB180" t="str">
        <f t="shared" si="29"/>
        <v>Bad_user</v>
      </c>
      <c r="AE180" t="b">
        <f t="shared" si="30"/>
        <v>1</v>
      </c>
      <c r="AG180" t="b">
        <f t="shared" si="31"/>
        <v>0</v>
      </c>
      <c r="AI180" t="str">
        <f>IF(AND(Dataset!G180 &gt;5000,Dataset!H180&gt;7000),"ACTIVE_CONSUMER","INACTIVE_CONSUMER")</f>
        <v>INACTIVE_CONSUMER</v>
      </c>
      <c r="AN180" t="str">
        <f t="shared" si="32"/>
        <v>Not_eligible</v>
      </c>
      <c r="AQ180" t="str">
        <f>IF(AND(E180="M",F180="checking",Dataset!G180&gt;2000,Dataset!K180&gt;500),"good_client","bad_client")</f>
        <v>bad_client</v>
      </c>
      <c r="AT180" t="s">
        <v>482</v>
      </c>
      <c r="AU180" t="str">
        <f>IF(AND(Dataset!F180="Savings",Dataset!AT180="eligible"),"YES","NO")</f>
        <v>NO</v>
      </c>
      <c r="AW180" s="8"/>
      <c r="AX180" s="12" t="s">
        <v>487</v>
      </c>
      <c r="AY180" s="8" t="s">
        <v>490</v>
      </c>
      <c r="AZ180" s="8"/>
      <c r="BD180" t="str">
        <f t="shared" si="33"/>
        <v>yes</v>
      </c>
    </row>
    <row r="181" spans="1:56" x14ac:dyDescent="0.3">
      <c r="A181">
        <f t="shared" si="34"/>
        <v>180</v>
      </c>
      <c r="B181" s="3" t="s">
        <v>254</v>
      </c>
      <c r="C181" s="3" t="s">
        <v>255</v>
      </c>
      <c r="D181" s="2">
        <v>41</v>
      </c>
      <c r="E181" s="2" t="s">
        <v>14</v>
      </c>
      <c r="F181" s="2" t="s">
        <v>22</v>
      </c>
      <c r="G181" s="2">
        <v>9000</v>
      </c>
      <c r="H181" s="2">
        <v>69000</v>
      </c>
      <c r="I181" s="2" t="s">
        <v>23</v>
      </c>
      <c r="J181" s="2">
        <v>12000</v>
      </c>
      <c r="K181" s="2">
        <v>700</v>
      </c>
      <c r="L181" s="2" t="s">
        <v>31</v>
      </c>
      <c r="M181" s="2" t="s">
        <v>82</v>
      </c>
      <c r="N181" s="2" t="s">
        <v>18</v>
      </c>
      <c r="O181">
        <v>4</v>
      </c>
      <c r="R181">
        <f t="shared" si="25"/>
        <v>5.75</v>
      </c>
      <c r="S181">
        <f t="shared" si="26"/>
        <v>5.75</v>
      </c>
      <c r="U181" t="b">
        <v>1</v>
      </c>
      <c r="W181" t="str">
        <f t="shared" si="27"/>
        <v>ODD</v>
      </c>
      <c r="Y181">
        <f t="shared" si="28"/>
        <v>170</v>
      </c>
      <c r="AB181" t="str">
        <f t="shared" si="29"/>
        <v>Good_user</v>
      </c>
      <c r="AE181" t="b">
        <f t="shared" si="30"/>
        <v>0</v>
      </c>
      <c r="AG181" t="b">
        <f t="shared" si="31"/>
        <v>0</v>
      </c>
      <c r="AI181" t="str">
        <f>IF(AND(Dataset!G181 &gt;5000,Dataset!H181&gt;7000),"ACTIVE_CONSUMER","INACTIVE_CONSUMER")</f>
        <v>ACTIVE_CONSUMER</v>
      </c>
      <c r="AN181" t="str">
        <f t="shared" si="32"/>
        <v>Not_eligible</v>
      </c>
      <c r="AQ181" t="str">
        <f>IF(AND(E181="M",F181="checking",Dataset!G181&gt;2000,Dataset!K181&gt;500),"good_client","bad_client")</f>
        <v>bad_client</v>
      </c>
      <c r="AT181" t="s">
        <v>482</v>
      </c>
      <c r="AU181" t="str">
        <f>IF(AND(Dataset!F181="Savings",Dataset!AT181="eligible"),"YES","NO")</f>
        <v>NO</v>
      </c>
      <c r="AW181" s="8"/>
      <c r="AX181" s="12" t="s">
        <v>486</v>
      </c>
      <c r="AY181" s="8" t="s">
        <v>489</v>
      </c>
      <c r="AZ181" s="8"/>
      <c r="BD181" t="str">
        <f t="shared" si="33"/>
        <v>yes</v>
      </c>
    </row>
    <row r="182" spans="1:56" x14ac:dyDescent="0.3">
      <c r="A182">
        <f t="shared" si="34"/>
        <v>181</v>
      </c>
      <c r="B182" s="3" t="s">
        <v>256</v>
      </c>
      <c r="C182" s="3" t="s">
        <v>190</v>
      </c>
      <c r="D182" s="2">
        <v>32</v>
      </c>
      <c r="E182" s="2" t="s">
        <v>21</v>
      </c>
      <c r="F182" s="2" t="s">
        <v>15</v>
      </c>
      <c r="G182" s="2">
        <v>5500</v>
      </c>
      <c r="H182" s="2">
        <v>54000</v>
      </c>
      <c r="I182" s="2" t="s">
        <v>16</v>
      </c>
      <c r="J182" s="2">
        <v>0</v>
      </c>
      <c r="K182" s="2">
        <v>710</v>
      </c>
      <c r="L182" s="2" t="s">
        <v>17</v>
      </c>
      <c r="M182" s="2" t="s">
        <v>80</v>
      </c>
      <c r="N182" s="2" t="s">
        <v>25</v>
      </c>
      <c r="O182">
        <v>15</v>
      </c>
      <c r="R182" t="e">
        <f t="shared" si="25"/>
        <v>#DIV/0!</v>
      </c>
      <c r="S182" t="str">
        <f t="shared" si="26"/>
        <v>DIVISION ERROR</v>
      </c>
      <c r="U182" t="b">
        <v>0</v>
      </c>
      <c r="W182" t="str">
        <f t="shared" si="27"/>
        <v>EVEN</v>
      </c>
      <c r="Y182">
        <f t="shared" si="28"/>
        <v>120.5</v>
      </c>
      <c r="AB182" t="str">
        <f t="shared" si="29"/>
        <v>Bad_user</v>
      </c>
      <c r="AE182" t="b">
        <f t="shared" si="30"/>
        <v>1</v>
      </c>
      <c r="AG182" t="b">
        <f t="shared" si="31"/>
        <v>0</v>
      </c>
      <c r="AI182" t="str">
        <f>IF(AND(Dataset!G182 &gt;5000,Dataset!H182&gt;7000),"ACTIVE_CONSUMER","INACTIVE_CONSUMER")</f>
        <v>ACTIVE_CONSUMER</v>
      </c>
      <c r="AN182" t="str">
        <f t="shared" si="32"/>
        <v>Not_eligible</v>
      </c>
      <c r="AQ182" t="str">
        <f>IF(AND(E182="M",F182="checking",Dataset!G182&gt;2000,Dataset!K182&gt;500),"good_client","bad_client")</f>
        <v>bad_client</v>
      </c>
      <c r="AT182" t="s">
        <v>482</v>
      </c>
      <c r="AU182" t="str">
        <f>IF(AND(Dataset!F182="Savings",Dataset!AT182="eligible"),"YES","NO")</f>
        <v>NO</v>
      </c>
      <c r="AW182" s="8"/>
      <c r="AX182" s="12" t="s">
        <v>487</v>
      </c>
      <c r="AY182" s="8" t="s">
        <v>490</v>
      </c>
      <c r="AZ182" s="8"/>
      <c r="BD182" t="str">
        <f t="shared" si="33"/>
        <v>yes</v>
      </c>
    </row>
    <row r="183" spans="1:56" x14ac:dyDescent="0.3">
      <c r="A183">
        <f t="shared" si="34"/>
        <v>182</v>
      </c>
      <c r="B183" s="3" t="s">
        <v>257</v>
      </c>
      <c r="C183" s="3" t="s">
        <v>233</v>
      </c>
      <c r="D183" s="2">
        <v>47</v>
      </c>
      <c r="E183" s="2" t="s">
        <v>14</v>
      </c>
      <c r="F183" s="2" t="s">
        <v>22</v>
      </c>
      <c r="G183" s="2">
        <v>7000</v>
      </c>
      <c r="H183" s="2">
        <v>74000</v>
      </c>
      <c r="I183" s="2" t="s">
        <v>23</v>
      </c>
      <c r="J183" s="2">
        <v>10000</v>
      </c>
      <c r="K183" s="2">
        <v>690</v>
      </c>
      <c r="L183" s="2" t="s">
        <v>24</v>
      </c>
      <c r="M183" s="2" t="s">
        <v>81</v>
      </c>
      <c r="N183" s="2" t="s">
        <v>18</v>
      </c>
      <c r="O183">
        <v>14</v>
      </c>
      <c r="R183">
        <f t="shared" si="25"/>
        <v>7.4</v>
      </c>
      <c r="S183">
        <f t="shared" si="26"/>
        <v>7.4</v>
      </c>
      <c r="U183" t="b">
        <v>1</v>
      </c>
      <c r="W183" t="str">
        <f t="shared" si="27"/>
        <v>ODD</v>
      </c>
      <c r="Y183">
        <f t="shared" si="28"/>
        <v>223.5</v>
      </c>
      <c r="AB183" t="str">
        <f t="shared" si="29"/>
        <v>Good_user</v>
      </c>
      <c r="AE183" t="b">
        <f t="shared" si="30"/>
        <v>0</v>
      </c>
      <c r="AG183" t="b">
        <f t="shared" si="31"/>
        <v>0</v>
      </c>
      <c r="AI183" t="str">
        <f>IF(AND(Dataset!G183 &gt;5000,Dataset!H183&gt;7000),"ACTIVE_CONSUMER","INACTIVE_CONSUMER")</f>
        <v>ACTIVE_CONSUMER</v>
      </c>
      <c r="AN183" t="str">
        <f t="shared" si="32"/>
        <v>Not_eligible</v>
      </c>
      <c r="AQ183" t="str">
        <f>IF(AND(E183="M",F183="checking",Dataset!G183&gt;2000,Dataset!K183&gt;500),"good_client","bad_client")</f>
        <v>bad_client</v>
      </c>
      <c r="AT183" t="s">
        <v>482</v>
      </c>
      <c r="AU183" t="str">
        <f>IF(AND(Dataset!F183="Savings",Dataset!AT183="eligible"),"YES","NO")</f>
        <v>NO</v>
      </c>
      <c r="AW183" s="8"/>
      <c r="AX183" s="12" t="s">
        <v>487</v>
      </c>
      <c r="AY183" s="8" t="s">
        <v>489</v>
      </c>
      <c r="AZ183" s="8"/>
      <c r="BD183" t="str">
        <f t="shared" si="33"/>
        <v>yes</v>
      </c>
    </row>
    <row r="184" spans="1:56" x14ac:dyDescent="0.3">
      <c r="A184">
        <f t="shared" si="34"/>
        <v>183</v>
      </c>
      <c r="B184" s="3" t="s">
        <v>258</v>
      </c>
      <c r="C184" s="3" t="s">
        <v>27</v>
      </c>
      <c r="D184" s="2">
        <v>35</v>
      </c>
      <c r="E184" s="2" t="s">
        <v>21</v>
      </c>
      <c r="F184" s="2" t="s">
        <v>15</v>
      </c>
      <c r="G184" s="2">
        <v>6000</v>
      </c>
      <c r="H184" s="2">
        <v>68000</v>
      </c>
      <c r="I184" s="2" t="s">
        <v>16</v>
      </c>
      <c r="J184" s="2">
        <v>0</v>
      </c>
      <c r="K184" s="2">
        <v>720</v>
      </c>
      <c r="L184" s="2" t="s">
        <v>28</v>
      </c>
      <c r="M184" s="2" t="s">
        <v>81</v>
      </c>
      <c r="N184" s="2" t="s">
        <v>25</v>
      </c>
      <c r="O184">
        <v>10</v>
      </c>
      <c r="R184" t="e">
        <f t="shared" si="25"/>
        <v>#DIV/0!</v>
      </c>
      <c r="S184" t="str">
        <f t="shared" si="26"/>
        <v>DIVISION ERROR</v>
      </c>
      <c r="U184" t="b">
        <v>0</v>
      </c>
      <c r="W184" t="str">
        <f t="shared" si="27"/>
        <v>ODD</v>
      </c>
      <c r="Y184">
        <f t="shared" si="28"/>
        <v>60</v>
      </c>
      <c r="AB184" t="str">
        <f t="shared" si="29"/>
        <v>Bad_user</v>
      </c>
      <c r="AE184" t="b">
        <f t="shared" si="30"/>
        <v>1</v>
      </c>
      <c r="AG184" t="b">
        <f t="shared" si="31"/>
        <v>0</v>
      </c>
      <c r="AI184" t="str">
        <f>IF(AND(Dataset!G184 &gt;5000,Dataset!H184&gt;7000),"ACTIVE_CONSUMER","INACTIVE_CONSUMER")</f>
        <v>ACTIVE_CONSUMER</v>
      </c>
      <c r="AN184" t="str">
        <f t="shared" si="32"/>
        <v>Not_eligible</v>
      </c>
      <c r="AQ184" t="str">
        <f>IF(AND(E184="M",F184="checking",Dataset!G184&gt;2000,Dataset!K184&gt;500),"good_client","bad_client")</f>
        <v>bad_client</v>
      </c>
      <c r="AT184" t="s">
        <v>482</v>
      </c>
      <c r="AU184" t="str">
        <f>IF(AND(Dataset!F184="Savings",Dataset!AT184="eligible"),"YES","NO")</f>
        <v>NO</v>
      </c>
      <c r="AW184" s="8"/>
      <c r="AX184" s="12" t="s">
        <v>487</v>
      </c>
      <c r="AY184" s="8" t="s">
        <v>490</v>
      </c>
      <c r="AZ184" s="8"/>
      <c r="BD184" t="str">
        <f t="shared" si="33"/>
        <v>yes</v>
      </c>
    </row>
    <row r="185" spans="1:56" x14ac:dyDescent="0.3">
      <c r="A185">
        <f t="shared" si="34"/>
        <v>184</v>
      </c>
      <c r="B185" s="3" t="s">
        <v>230</v>
      </c>
      <c r="C185" s="3" t="s">
        <v>259</v>
      </c>
      <c r="D185" s="2">
        <v>29</v>
      </c>
      <c r="E185" s="2" t="s">
        <v>14</v>
      </c>
      <c r="F185" s="2" t="s">
        <v>22</v>
      </c>
      <c r="G185" s="2">
        <v>2500</v>
      </c>
      <c r="H185" s="2">
        <v>45000</v>
      </c>
      <c r="I185" s="2" t="s">
        <v>23</v>
      </c>
      <c r="J185" s="2">
        <v>5000</v>
      </c>
      <c r="K185" s="2">
        <v>670</v>
      </c>
      <c r="L185" s="2" t="s">
        <v>31</v>
      </c>
      <c r="M185" s="2" t="s">
        <v>81</v>
      </c>
      <c r="N185" s="2" t="s">
        <v>18</v>
      </c>
      <c r="O185">
        <v>14</v>
      </c>
      <c r="R185">
        <f t="shared" si="25"/>
        <v>9</v>
      </c>
      <c r="S185">
        <f t="shared" si="26"/>
        <v>9</v>
      </c>
      <c r="U185" t="b">
        <v>1</v>
      </c>
      <c r="W185" t="str">
        <f t="shared" si="27"/>
        <v>ODD</v>
      </c>
      <c r="Y185">
        <f t="shared" si="28"/>
        <v>334</v>
      </c>
      <c r="AB185" t="str">
        <f t="shared" si="29"/>
        <v>Good_user</v>
      </c>
      <c r="AE185" t="b">
        <f t="shared" si="30"/>
        <v>0</v>
      </c>
      <c r="AG185" t="b">
        <f t="shared" si="31"/>
        <v>0</v>
      </c>
      <c r="AI185" t="str">
        <f>IF(AND(Dataset!G185 &gt;5000,Dataset!H185&gt;7000),"ACTIVE_CONSUMER","INACTIVE_CONSUMER")</f>
        <v>INACTIVE_CONSUMER</v>
      </c>
      <c r="AN185" t="str">
        <f t="shared" si="32"/>
        <v>Not_eligible</v>
      </c>
      <c r="AQ185" t="str">
        <f>IF(AND(E185="M",F185="checking",Dataset!G185&gt;2000,Dataset!K185&gt;500),"good_client","bad_client")</f>
        <v>bad_client</v>
      </c>
      <c r="AT185" t="s">
        <v>482</v>
      </c>
      <c r="AU185" t="str">
        <f>IF(AND(Dataset!F185="Savings",Dataset!AT185="eligible"),"YES","NO")</f>
        <v>NO</v>
      </c>
      <c r="AW185" s="8"/>
      <c r="AX185" s="12" t="s">
        <v>487</v>
      </c>
      <c r="AY185" s="8" t="s">
        <v>489</v>
      </c>
      <c r="AZ185" s="8"/>
      <c r="BD185" t="str">
        <f t="shared" si="33"/>
        <v>yes</v>
      </c>
    </row>
    <row r="186" spans="1:56" x14ac:dyDescent="0.3">
      <c r="A186">
        <f t="shared" si="34"/>
        <v>185</v>
      </c>
      <c r="B186" s="3" t="s">
        <v>260</v>
      </c>
      <c r="C186" s="3" t="s">
        <v>167</v>
      </c>
      <c r="D186" s="2">
        <v>42</v>
      </c>
      <c r="E186" s="2" t="s">
        <v>21</v>
      </c>
      <c r="F186" s="2" t="s">
        <v>15</v>
      </c>
      <c r="G186" s="2">
        <v>11000</v>
      </c>
      <c r="H186" s="2">
        <v>80000</v>
      </c>
      <c r="I186" s="2" t="s">
        <v>16</v>
      </c>
      <c r="J186" s="2">
        <v>0</v>
      </c>
      <c r="K186" s="2">
        <v>740</v>
      </c>
      <c r="L186" s="2" t="s">
        <v>17</v>
      </c>
      <c r="M186" s="2" t="s">
        <v>82</v>
      </c>
      <c r="N186" s="2" t="s">
        <v>25</v>
      </c>
      <c r="O186">
        <v>15</v>
      </c>
      <c r="R186" t="e">
        <f t="shared" si="25"/>
        <v>#DIV/0!</v>
      </c>
      <c r="S186" t="str">
        <f t="shared" si="26"/>
        <v>DIVISION ERROR</v>
      </c>
      <c r="U186" t="b">
        <v>0</v>
      </c>
      <c r="W186" t="str">
        <f t="shared" si="27"/>
        <v>EVEN</v>
      </c>
      <c r="Y186">
        <f t="shared" si="28"/>
        <v>13</v>
      </c>
      <c r="AB186" t="str">
        <f t="shared" si="29"/>
        <v>Bad_user</v>
      </c>
      <c r="AE186" t="b">
        <f t="shared" si="30"/>
        <v>1</v>
      </c>
      <c r="AG186" t="b">
        <f t="shared" si="31"/>
        <v>0</v>
      </c>
      <c r="AI186" t="str">
        <f>IF(AND(Dataset!G186 &gt;5000,Dataset!H186&gt;7000),"ACTIVE_CONSUMER","INACTIVE_CONSUMER")</f>
        <v>ACTIVE_CONSUMER</v>
      </c>
      <c r="AN186" t="str">
        <f t="shared" si="32"/>
        <v>Not_eligible</v>
      </c>
      <c r="AQ186" t="str">
        <f>IF(AND(E186="M",F186="checking",Dataset!G186&gt;2000,Dataset!K186&gt;500),"good_client","bad_client")</f>
        <v>bad_client</v>
      </c>
      <c r="AT186" t="s">
        <v>482</v>
      </c>
      <c r="AU186" t="str">
        <f>IF(AND(Dataset!F186="Savings",Dataset!AT186="eligible"),"YES","NO")</f>
        <v>NO</v>
      </c>
      <c r="AW186" s="8"/>
      <c r="AX186" s="12" t="s">
        <v>486</v>
      </c>
      <c r="AY186" s="8" t="s">
        <v>490</v>
      </c>
      <c r="AZ186" s="8"/>
      <c r="BD186" t="str">
        <f t="shared" si="33"/>
        <v>yes</v>
      </c>
    </row>
    <row r="187" spans="1:56" x14ac:dyDescent="0.3">
      <c r="A187">
        <f t="shared" si="34"/>
        <v>186</v>
      </c>
      <c r="B187" s="3" t="s">
        <v>261</v>
      </c>
      <c r="C187" s="3" t="s">
        <v>262</v>
      </c>
      <c r="D187" s="2">
        <v>50</v>
      </c>
      <c r="E187" s="2" t="s">
        <v>14</v>
      </c>
      <c r="F187" s="2" t="s">
        <v>22</v>
      </c>
      <c r="G187" s="2">
        <v>3000</v>
      </c>
      <c r="H187" s="2">
        <v>47000</v>
      </c>
      <c r="I187" s="2" t="s">
        <v>23</v>
      </c>
      <c r="J187" s="2">
        <v>8000</v>
      </c>
      <c r="K187" s="2">
        <v>680</v>
      </c>
      <c r="L187" s="2" t="s">
        <v>24</v>
      </c>
      <c r="M187" s="2" t="s">
        <v>82</v>
      </c>
      <c r="N187" s="2" t="s">
        <v>18</v>
      </c>
      <c r="O187">
        <v>13</v>
      </c>
      <c r="R187">
        <f t="shared" si="25"/>
        <v>5.875</v>
      </c>
      <c r="S187">
        <f t="shared" si="26"/>
        <v>5.875</v>
      </c>
      <c r="U187" t="b">
        <v>1</v>
      </c>
      <c r="W187" t="str">
        <f t="shared" si="27"/>
        <v>EVEN</v>
      </c>
      <c r="Y187">
        <f t="shared" si="28"/>
        <v>286</v>
      </c>
      <c r="AB187" t="str">
        <f t="shared" si="29"/>
        <v>Good_user</v>
      </c>
      <c r="AE187" t="b">
        <f t="shared" si="30"/>
        <v>0</v>
      </c>
      <c r="AG187" t="b">
        <f t="shared" si="31"/>
        <v>0</v>
      </c>
      <c r="AI187" t="str">
        <f>IF(AND(Dataset!G187 &gt;5000,Dataset!H187&gt;7000),"ACTIVE_CONSUMER","INACTIVE_CONSUMER")</f>
        <v>INACTIVE_CONSUMER</v>
      </c>
      <c r="AN187" t="str">
        <f t="shared" si="32"/>
        <v>Not_eligible</v>
      </c>
      <c r="AQ187" t="str">
        <f>IF(AND(E187="M",F187="checking",Dataset!G187&gt;2000,Dataset!K187&gt;500),"good_client","bad_client")</f>
        <v>bad_client</v>
      </c>
      <c r="AT187" t="s">
        <v>482</v>
      </c>
      <c r="AU187" t="str">
        <f>IF(AND(Dataset!F187="Savings",Dataset!AT187="eligible"),"YES","NO")</f>
        <v>NO</v>
      </c>
      <c r="AW187" s="8"/>
      <c r="AX187" s="12" t="s">
        <v>486</v>
      </c>
      <c r="AY187" s="8" t="s">
        <v>489</v>
      </c>
      <c r="AZ187" s="8"/>
      <c r="BD187" t="str">
        <f t="shared" si="33"/>
        <v>yes</v>
      </c>
    </row>
    <row r="188" spans="1:56" x14ac:dyDescent="0.3">
      <c r="A188">
        <f t="shared" si="34"/>
        <v>187</v>
      </c>
      <c r="B188" s="3" t="s">
        <v>263</v>
      </c>
      <c r="C188" s="3" t="s">
        <v>149</v>
      </c>
      <c r="D188" s="2">
        <v>28</v>
      </c>
      <c r="E188" s="2" t="s">
        <v>21</v>
      </c>
      <c r="F188" s="2" t="s">
        <v>15</v>
      </c>
      <c r="G188" s="2">
        <v>4000</v>
      </c>
      <c r="H188" s="2">
        <v>53000</v>
      </c>
      <c r="I188" s="2" t="s">
        <v>16</v>
      </c>
      <c r="J188" s="2">
        <v>0</v>
      </c>
      <c r="K188" s="2">
        <v>690</v>
      </c>
      <c r="L188" s="2" t="s">
        <v>28</v>
      </c>
      <c r="M188" s="2" t="s">
        <v>80</v>
      </c>
      <c r="N188" s="2" t="s">
        <v>25</v>
      </c>
      <c r="O188">
        <v>7</v>
      </c>
      <c r="R188" t="e">
        <f t="shared" si="25"/>
        <v>#DIV/0!</v>
      </c>
      <c r="S188" t="str">
        <f t="shared" si="26"/>
        <v>DIVISION ERROR</v>
      </c>
      <c r="U188" t="b">
        <v>0</v>
      </c>
      <c r="W188" t="str">
        <f t="shared" si="27"/>
        <v>EVEN</v>
      </c>
      <c r="Y188">
        <f t="shared" si="28"/>
        <v>223.5</v>
      </c>
      <c r="AB188" t="str">
        <f t="shared" si="29"/>
        <v>Bad_user</v>
      </c>
      <c r="AE188" t="b">
        <f t="shared" si="30"/>
        <v>1</v>
      </c>
      <c r="AG188" t="b">
        <f t="shared" si="31"/>
        <v>0</v>
      </c>
      <c r="AI188" t="str">
        <f>IF(AND(Dataset!G188 &gt;5000,Dataset!H188&gt;7000),"ACTIVE_CONSUMER","INACTIVE_CONSUMER")</f>
        <v>INACTIVE_CONSUMER</v>
      </c>
      <c r="AN188" t="str">
        <f t="shared" si="32"/>
        <v>Not_eligible</v>
      </c>
      <c r="AQ188" t="str">
        <f>IF(AND(E188="M",F188="checking",Dataset!G188&gt;2000,Dataset!K188&gt;500),"good_client","bad_client")</f>
        <v>bad_client</v>
      </c>
      <c r="AT188" t="s">
        <v>482</v>
      </c>
      <c r="AU188" t="str">
        <f>IF(AND(Dataset!F188="Savings",Dataset!AT188="eligible"),"YES","NO")</f>
        <v>NO</v>
      </c>
      <c r="AW188" s="8"/>
      <c r="AX188" s="12" t="s">
        <v>487</v>
      </c>
      <c r="AY188" s="8" t="s">
        <v>490</v>
      </c>
      <c r="AZ188" s="8"/>
      <c r="BD188" t="str">
        <f t="shared" si="33"/>
        <v>yes</v>
      </c>
    </row>
    <row r="189" spans="1:56" x14ac:dyDescent="0.3">
      <c r="A189">
        <f t="shared" si="34"/>
        <v>188</v>
      </c>
      <c r="B189" s="3" t="s">
        <v>264</v>
      </c>
      <c r="C189" s="3" t="s">
        <v>57</v>
      </c>
      <c r="D189" s="2">
        <v>36</v>
      </c>
      <c r="E189" s="2" t="s">
        <v>14</v>
      </c>
      <c r="F189" s="2" t="s">
        <v>22</v>
      </c>
      <c r="G189" s="2">
        <v>9000</v>
      </c>
      <c r="H189" s="2">
        <v>71000</v>
      </c>
      <c r="I189" s="2" t="s">
        <v>23</v>
      </c>
      <c r="J189" s="2">
        <v>13000</v>
      </c>
      <c r="K189" s="2">
        <v>700</v>
      </c>
      <c r="L189" s="2" t="s">
        <v>31</v>
      </c>
      <c r="M189" s="2" t="s">
        <v>81</v>
      </c>
      <c r="N189" s="2" t="s">
        <v>18</v>
      </c>
      <c r="O189">
        <v>5</v>
      </c>
      <c r="R189">
        <f t="shared" si="25"/>
        <v>5.4615384615384617</v>
      </c>
      <c r="S189">
        <f t="shared" si="26"/>
        <v>5.4615384615384617</v>
      </c>
      <c r="U189" t="b">
        <v>1</v>
      </c>
      <c r="W189" t="str">
        <f t="shared" si="27"/>
        <v>EVEN</v>
      </c>
      <c r="Y189">
        <f t="shared" si="28"/>
        <v>170</v>
      </c>
      <c r="AB189" t="str">
        <f t="shared" si="29"/>
        <v>Good_user</v>
      </c>
      <c r="AE189" t="b">
        <f t="shared" si="30"/>
        <v>0</v>
      </c>
      <c r="AG189" t="b">
        <f t="shared" si="31"/>
        <v>0</v>
      </c>
      <c r="AI189" t="str">
        <f>IF(AND(Dataset!G189 &gt;5000,Dataset!H189&gt;7000),"ACTIVE_CONSUMER","INACTIVE_CONSUMER")</f>
        <v>ACTIVE_CONSUMER</v>
      </c>
      <c r="AN189" t="str">
        <f t="shared" si="32"/>
        <v>Not_eligible</v>
      </c>
      <c r="AQ189" t="str">
        <f>IF(AND(E189="M",F189="checking",Dataset!G189&gt;2000,Dataset!K189&gt;500),"good_client","bad_client")</f>
        <v>bad_client</v>
      </c>
      <c r="AT189" t="s">
        <v>482</v>
      </c>
      <c r="AU189" t="str">
        <f>IF(AND(Dataset!F189="Savings",Dataset!AT189="eligible"),"YES","NO")</f>
        <v>NO</v>
      </c>
      <c r="AW189" s="8"/>
      <c r="AX189" s="12" t="s">
        <v>487</v>
      </c>
      <c r="AY189" s="8" t="s">
        <v>489</v>
      </c>
      <c r="AZ189" s="8"/>
      <c r="BD189" t="str">
        <f t="shared" si="33"/>
        <v>yes</v>
      </c>
    </row>
    <row r="190" spans="1:56" x14ac:dyDescent="0.3">
      <c r="A190">
        <f t="shared" si="34"/>
        <v>189</v>
      </c>
      <c r="B190" s="3" t="s">
        <v>265</v>
      </c>
      <c r="C190" s="3" t="s">
        <v>137</v>
      </c>
      <c r="D190" s="2">
        <v>41</v>
      </c>
      <c r="E190" s="2" t="s">
        <v>21</v>
      </c>
      <c r="F190" s="2" t="s">
        <v>15</v>
      </c>
      <c r="G190" s="2">
        <v>8000</v>
      </c>
      <c r="H190" s="2">
        <v>67000</v>
      </c>
      <c r="I190" s="2" t="s">
        <v>16</v>
      </c>
      <c r="J190" s="2">
        <v>0</v>
      </c>
      <c r="K190" s="2">
        <v>710</v>
      </c>
      <c r="L190" s="2" t="s">
        <v>17</v>
      </c>
      <c r="M190" s="2" t="s">
        <v>82</v>
      </c>
      <c r="N190" s="2" t="s">
        <v>25</v>
      </c>
      <c r="O190">
        <v>3</v>
      </c>
      <c r="R190" t="e">
        <f t="shared" si="25"/>
        <v>#DIV/0!</v>
      </c>
      <c r="S190" t="str">
        <f t="shared" si="26"/>
        <v>DIVISION ERROR</v>
      </c>
      <c r="U190" t="b">
        <v>0</v>
      </c>
      <c r="W190" t="str">
        <f t="shared" si="27"/>
        <v>ODD</v>
      </c>
      <c r="Y190">
        <f t="shared" si="28"/>
        <v>120.5</v>
      </c>
      <c r="AB190" t="str">
        <f t="shared" si="29"/>
        <v>Bad_user</v>
      </c>
      <c r="AE190" t="b">
        <f t="shared" si="30"/>
        <v>1</v>
      </c>
      <c r="AG190" t="b">
        <f t="shared" si="31"/>
        <v>0</v>
      </c>
      <c r="AI190" t="str">
        <f>IF(AND(Dataset!G190 &gt;5000,Dataset!H190&gt;7000),"ACTIVE_CONSUMER","INACTIVE_CONSUMER")</f>
        <v>ACTIVE_CONSUMER</v>
      </c>
      <c r="AN190" t="str">
        <f t="shared" si="32"/>
        <v>Not_eligible</v>
      </c>
      <c r="AQ190" t="str">
        <f>IF(AND(E190="M",F190="checking",Dataset!G190&gt;2000,Dataset!K190&gt;500),"good_client","bad_client")</f>
        <v>bad_client</v>
      </c>
      <c r="AT190" t="s">
        <v>482</v>
      </c>
      <c r="AU190" t="str">
        <f>IF(AND(Dataset!F190="Savings",Dataset!AT190="eligible"),"YES","NO")</f>
        <v>NO</v>
      </c>
      <c r="AW190" s="8"/>
      <c r="AX190" s="12" t="s">
        <v>486</v>
      </c>
      <c r="AY190" s="8" t="s">
        <v>490</v>
      </c>
      <c r="AZ190" s="8"/>
      <c r="BD190" t="str">
        <f t="shared" si="33"/>
        <v>yes</v>
      </c>
    </row>
    <row r="191" spans="1:56" x14ac:dyDescent="0.3">
      <c r="A191">
        <f t="shared" si="34"/>
        <v>190</v>
      </c>
      <c r="B191" s="3" t="s">
        <v>266</v>
      </c>
      <c r="C191" s="3" t="s">
        <v>267</v>
      </c>
      <c r="D191" s="2">
        <v>30</v>
      </c>
      <c r="E191" s="2" t="s">
        <v>14</v>
      </c>
      <c r="F191" s="2" t="s">
        <v>22</v>
      </c>
      <c r="G191" s="2">
        <v>5000</v>
      </c>
      <c r="H191" s="2">
        <v>55000</v>
      </c>
      <c r="I191" s="2" t="s">
        <v>23</v>
      </c>
      <c r="J191" s="2">
        <v>7000</v>
      </c>
      <c r="K191" s="2">
        <v>690</v>
      </c>
      <c r="L191" s="2" t="s">
        <v>24</v>
      </c>
      <c r="M191" s="2" t="s">
        <v>82</v>
      </c>
      <c r="N191" s="2" t="s">
        <v>18</v>
      </c>
      <c r="O191">
        <v>8</v>
      </c>
      <c r="R191">
        <f t="shared" si="25"/>
        <v>7.8571428571428568</v>
      </c>
      <c r="S191">
        <f t="shared" si="26"/>
        <v>7.8571428571428568</v>
      </c>
      <c r="U191" t="b">
        <v>1</v>
      </c>
      <c r="W191" t="str">
        <f t="shared" si="27"/>
        <v>EVEN</v>
      </c>
      <c r="Y191">
        <f t="shared" si="28"/>
        <v>223.5</v>
      </c>
      <c r="AB191" t="str">
        <f t="shared" si="29"/>
        <v>Good_user</v>
      </c>
      <c r="AE191" t="b">
        <f t="shared" si="30"/>
        <v>0</v>
      </c>
      <c r="AG191" t="b">
        <f t="shared" si="31"/>
        <v>0</v>
      </c>
      <c r="AI191" t="str">
        <f>IF(AND(Dataset!G191 &gt;5000,Dataset!H191&gt;7000),"ACTIVE_CONSUMER","INACTIVE_CONSUMER")</f>
        <v>INACTIVE_CONSUMER</v>
      </c>
      <c r="AN191" t="str">
        <f t="shared" si="32"/>
        <v>Not_eligible</v>
      </c>
      <c r="AQ191" t="str">
        <f>IF(AND(E191="M",F191="checking",Dataset!G191&gt;2000,Dataset!K191&gt;500),"good_client","bad_client")</f>
        <v>bad_client</v>
      </c>
      <c r="AT191" t="s">
        <v>482</v>
      </c>
      <c r="AU191" t="str">
        <f>IF(AND(Dataset!F191="Savings",Dataset!AT191="eligible"),"YES","NO")</f>
        <v>NO</v>
      </c>
      <c r="AW191" s="8"/>
      <c r="AX191" s="12" t="s">
        <v>486</v>
      </c>
      <c r="AY191" s="8" t="s">
        <v>489</v>
      </c>
      <c r="AZ191" s="8"/>
      <c r="BD191" t="str">
        <f t="shared" si="33"/>
        <v>yes</v>
      </c>
    </row>
    <row r="192" spans="1:56" x14ac:dyDescent="0.3">
      <c r="A192">
        <f t="shared" si="34"/>
        <v>191</v>
      </c>
      <c r="B192" s="3" t="s">
        <v>268</v>
      </c>
      <c r="C192" s="3" t="s">
        <v>60</v>
      </c>
      <c r="D192" s="2">
        <v>29</v>
      </c>
      <c r="E192" s="2" t="s">
        <v>21</v>
      </c>
      <c r="F192" s="2" t="s">
        <v>15</v>
      </c>
      <c r="G192" s="2">
        <v>3000</v>
      </c>
      <c r="H192" s="2">
        <v>48000</v>
      </c>
      <c r="I192" s="2" t="s">
        <v>16</v>
      </c>
      <c r="J192" s="2">
        <v>0</v>
      </c>
      <c r="K192" s="2">
        <v>670</v>
      </c>
      <c r="L192" s="2" t="s">
        <v>28</v>
      </c>
      <c r="M192" s="2" t="s">
        <v>80</v>
      </c>
      <c r="N192" s="2" t="s">
        <v>25</v>
      </c>
      <c r="O192">
        <v>4</v>
      </c>
      <c r="R192" t="e">
        <f t="shared" si="25"/>
        <v>#DIV/0!</v>
      </c>
      <c r="S192" t="str">
        <f t="shared" si="26"/>
        <v>DIVISION ERROR</v>
      </c>
      <c r="U192" t="b">
        <v>0</v>
      </c>
      <c r="W192" t="str">
        <f t="shared" si="27"/>
        <v>ODD</v>
      </c>
      <c r="Y192">
        <f t="shared" si="28"/>
        <v>334</v>
      </c>
      <c r="AB192" t="str">
        <f t="shared" si="29"/>
        <v>Bad_user</v>
      </c>
      <c r="AE192" t="b">
        <f t="shared" si="30"/>
        <v>1</v>
      </c>
      <c r="AG192" t="b">
        <f t="shared" si="31"/>
        <v>0</v>
      </c>
      <c r="AI192" t="str">
        <f>IF(AND(Dataset!G192 &gt;5000,Dataset!H192&gt;7000),"ACTIVE_CONSUMER","INACTIVE_CONSUMER")</f>
        <v>INACTIVE_CONSUMER</v>
      </c>
      <c r="AN192" t="str">
        <f t="shared" si="32"/>
        <v>Not_eligible</v>
      </c>
      <c r="AQ192" t="str">
        <f>IF(AND(E192="M",F192="checking",Dataset!G192&gt;2000,Dataset!K192&gt;500),"good_client","bad_client")</f>
        <v>bad_client</v>
      </c>
      <c r="AT192" t="s">
        <v>482</v>
      </c>
      <c r="AU192" t="str">
        <f>IF(AND(Dataset!F192="Savings",Dataset!AT192="eligible"),"YES","NO")</f>
        <v>NO</v>
      </c>
      <c r="AW192" s="8"/>
      <c r="AX192" s="12" t="s">
        <v>487</v>
      </c>
      <c r="AY192" s="8" t="s">
        <v>490</v>
      </c>
      <c r="AZ192" s="8"/>
      <c r="BD192" t="str">
        <f t="shared" si="33"/>
        <v>yes</v>
      </c>
    </row>
    <row r="193" spans="1:56" x14ac:dyDescent="0.3">
      <c r="A193">
        <f t="shared" si="34"/>
        <v>192</v>
      </c>
      <c r="B193" s="3" t="s">
        <v>269</v>
      </c>
      <c r="C193" s="3" t="s">
        <v>27</v>
      </c>
      <c r="D193" s="2">
        <v>34</v>
      </c>
      <c r="E193" s="2" t="s">
        <v>14</v>
      </c>
      <c r="F193" s="2" t="s">
        <v>22</v>
      </c>
      <c r="G193" s="2">
        <v>11000</v>
      </c>
      <c r="H193" s="2">
        <v>62000</v>
      </c>
      <c r="I193" s="2" t="s">
        <v>23</v>
      </c>
      <c r="J193" s="2">
        <v>12000</v>
      </c>
      <c r="K193" s="2">
        <v>720</v>
      </c>
      <c r="L193" s="2" t="s">
        <v>31</v>
      </c>
      <c r="M193" s="2" t="s">
        <v>80</v>
      </c>
      <c r="N193" s="2" t="s">
        <v>18</v>
      </c>
      <c r="O193" t="s">
        <v>302</v>
      </c>
      <c r="R193">
        <f t="shared" si="25"/>
        <v>5.166666666666667</v>
      </c>
      <c r="S193">
        <f t="shared" si="26"/>
        <v>5.166666666666667</v>
      </c>
      <c r="U193" t="b">
        <v>1</v>
      </c>
      <c r="W193" t="str">
        <f t="shared" si="27"/>
        <v>EVEN</v>
      </c>
      <c r="Y193">
        <f t="shared" si="28"/>
        <v>60</v>
      </c>
      <c r="AB193" t="str">
        <f t="shared" si="29"/>
        <v>Good_user</v>
      </c>
      <c r="AE193" t="b">
        <f t="shared" si="30"/>
        <v>0</v>
      </c>
      <c r="AG193" t="b">
        <f t="shared" si="31"/>
        <v>1</v>
      </c>
      <c r="AI193" t="str">
        <f>IF(AND(Dataset!G193 &gt;5000,Dataset!H193&gt;7000),"ACTIVE_CONSUMER","INACTIVE_CONSUMER")</f>
        <v>ACTIVE_CONSUMER</v>
      </c>
      <c r="AN193" t="str">
        <f t="shared" si="32"/>
        <v>Not_eligible</v>
      </c>
      <c r="AQ193" t="str">
        <f>IF(AND(E193="M",F193="checking",Dataset!G193&gt;2000,Dataset!K193&gt;500),"good_client","bad_client")</f>
        <v>bad_client</v>
      </c>
      <c r="AT193" t="s">
        <v>482</v>
      </c>
      <c r="AU193" t="str">
        <f>IF(AND(Dataset!F193="Savings",Dataset!AT193="eligible"),"YES","NO")</f>
        <v>NO</v>
      </c>
      <c r="AW193" s="8"/>
      <c r="AX193" s="12" t="s">
        <v>487</v>
      </c>
      <c r="AY193" s="8" t="s">
        <v>489</v>
      </c>
      <c r="AZ193" s="8"/>
      <c r="BD193" t="str">
        <f t="shared" si="33"/>
        <v>yes</v>
      </c>
    </row>
    <row r="194" spans="1:56" x14ac:dyDescent="0.3">
      <c r="A194">
        <f t="shared" si="34"/>
        <v>193</v>
      </c>
      <c r="B194" s="3" t="s">
        <v>270</v>
      </c>
      <c r="C194" s="3" t="s">
        <v>241</v>
      </c>
      <c r="D194" s="2">
        <v>37</v>
      </c>
      <c r="E194" s="2" t="s">
        <v>21</v>
      </c>
      <c r="F194" s="2" t="s">
        <v>15</v>
      </c>
      <c r="G194" s="2">
        <v>5500</v>
      </c>
      <c r="H194" s="2">
        <v>69000</v>
      </c>
      <c r="I194" s="2" t="s">
        <v>16</v>
      </c>
      <c r="J194" s="2">
        <v>0</v>
      </c>
      <c r="K194" s="2">
        <v>710</v>
      </c>
      <c r="L194" s="2" t="s">
        <v>17</v>
      </c>
      <c r="M194" s="2" t="s">
        <v>80</v>
      </c>
      <c r="N194" s="2" t="s">
        <v>25</v>
      </c>
      <c r="O194">
        <v>7</v>
      </c>
      <c r="R194" t="e">
        <f t="shared" si="25"/>
        <v>#DIV/0!</v>
      </c>
      <c r="S194" t="str">
        <f t="shared" si="26"/>
        <v>DIVISION ERROR</v>
      </c>
      <c r="U194" t="b">
        <v>0</v>
      </c>
      <c r="W194" t="str">
        <f t="shared" si="27"/>
        <v>ODD</v>
      </c>
      <c r="Y194">
        <f t="shared" si="28"/>
        <v>120.5</v>
      </c>
      <c r="AB194" t="str">
        <f t="shared" si="29"/>
        <v>Bad_user</v>
      </c>
      <c r="AE194" t="b">
        <f t="shared" si="30"/>
        <v>1</v>
      </c>
      <c r="AG194" t="b">
        <f t="shared" si="31"/>
        <v>0</v>
      </c>
      <c r="AI194" t="str">
        <f>IF(AND(Dataset!G194 &gt;5000,Dataset!H194&gt;7000),"ACTIVE_CONSUMER","INACTIVE_CONSUMER")</f>
        <v>ACTIVE_CONSUMER</v>
      </c>
      <c r="AN194" t="str">
        <f t="shared" si="32"/>
        <v>Not_eligible</v>
      </c>
      <c r="AQ194" t="str">
        <f>IF(AND(E194="M",F194="checking",Dataset!G194&gt;2000,Dataset!K194&gt;500),"good_client","bad_client")</f>
        <v>bad_client</v>
      </c>
      <c r="AT194" t="s">
        <v>482</v>
      </c>
      <c r="AU194" t="str">
        <f>IF(AND(Dataset!F194="Savings",Dataset!AT194="eligible"),"YES","NO")</f>
        <v>NO</v>
      </c>
      <c r="AW194" s="8"/>
      <c r="AX194" s="12" t="s">
        <v>487</v>
      </c>
      <c r="AY194" s="8" t="s">
        <v>490</v>
      </c>
      <c r="AZ194" s="8"/>
      <c r="BD194" t="str">
        <f t="shared" si="33"/>
        <v>yes</v>
      </c>
    </row>
    <row r="195" spans="1:56" x14ac:dyDescent="0.3">
      <c r="A195">
        <f t="shared" si="34"/>
        <v>194</v>
      </c>
      <c r="B195" s="3" t="s">
        <v>122</v>
      </c>
      <c r="C195" s="3" t="s">
        <v>49</v>
      </c>
      <c r="D195" s="2">
        <v>45</v>
      </c>
      <c r="E195" s="2" t="s">
        <v>14</v>
      </c>
      <c r="F195" s="2" t="s">
        <v>15</v>
      </c>
      <c r="G195" s="2">
        <v>7000</v>
      </c>
      <c r="H195" s="2">
        <v>74000</v>
      </c>
      <c r="I195" s="2" t="s">
        <v>23</v>
      </c>
      <c r="J195" s="2">
        <v>15000</v>
      </c>
      <c r="K195" s="2">
        <v>680</v>
      </c>
      <c r="L195" s="2" t="s">
        <v>24</v>
      </c>
      <c r="M195" s="2" t="s">
        <v>80</v>
      </c>
      <c r="N195" s="2" t="s">
        <v>18</v>
      </c>
      <c r="O195">
        <v>12</v>
      </c>
      <c r="R195">
        <f t="shared" ref="R195:R258" si="35">H195/J195</f>
        <v>4.9333333333333336</v>
      </c>
      <c r="S195">
        <f t="shared" ref="S195:S258" si="36">IFERROR(R195,"DIVISION ERROR")</f>
        <v>4.9333333333333336</v>
      </c>
      <c r="U195" t="b">
        <v>1</v>
      </c>
      <c r="W195" t="str">
        <f t="shared" ref="W195:W258" si="37">IF(ISODD(D195),"ODD","EVEN")</f>
        <v>ODD</v>
      </c>
      <c r="Y195">
        <f t="shared" ref="Y195:Y258" si="38">_xlfn.RANK.AVG(K195,$K$2:$K$350,0)</f>
        <v>286</v>
      </c>
      <c r="AB195" t="str">
        <f t="shared" ref="AB195:AB258" si="39">IF(N195="Active","Good_user","Bad_user")</f>
        <v>Good_user</v>
      </c>
      <c r="AE195" t="b">
        <f t="shared" ref="AE195:AE258" si="40">ISERROR(R195)</f>
        <v>0</v>
      </c>
      <c r="AG195" t="b">
        <f t="shared" ref="AG195:AG258" si="41">ISTEXT(O195)</f>
        <v>0</v>
      </c>
      <c r="AI195" t="str">
        <f>IF(AND(Dataset!G195 &gt;5000,Dataset!H195&gt;7000),"ACTIVE_CONSUMER","INACTIVE_CONSUMER")</f>
        <v>ACTIVE_CONSUMER</v>
      </c>
      <c r="AN195" t="str">
        <f t="shared" ref="AN195:AN258" si="42">IF(AND(D195&gt;40,H195&lt;8000,K195&lt;300),"Eligible","Not_eligible")</f>
        <v>Not_eligible</v>
      </c>
      <c r="AQ195" t="str">
        <f>IF(AND(E195="M",F195="checking",Dataset!G195&gt;2000,Dataset!K195&gt;500),"good_client","bad_client")</f>
        <v>good_client</v>
      </c>
      <c r="AT195" t="s">
        <v>482</v>
      </c>
      <c r="AU195" t="str">
        <f>IF(AND(Dataset!F195="Savings",Dataset!AT195="eligible"),"YES","NO")</f>
        <v>NO</v>
      </c>
      <c r="AW195" s="8"/>
      <c r="AX195" s="12" t="s">
        <v>487</v>
      </c>
      <c r="AY195" s="8" t="s">
        <v>489</v>
      </c>
      <c r="AZ195" s="8"/>
      <c r="BD195" t="str">
        <f t="shared" ref="BD195:BD258" si="43">IF(H195&gt;6000,"yes","no")</f>
        <v>yes</v>
      </c>
    </row>
    <row r="196" spans="1:56" x14ac:dyDescent="0.3">
      <c r="A196">
        <f t="shared" si="34"/>
        <v>195</v>
      </c>
      <c r="B196" s="3" t="s">
        <v>271</v>
      </c>
      <c r="C196" s="3" t="s">
        <v>216</v>
      </c>
      <c r="D196" s="2">
        <v>40</v>
      </c>
      <c r="E196" s="2" t="s">
        <v>21</v>
      </c>
      <c r="F196" s="2" t="s">
        <v>15</v>
      </c>
      <c r="G196" s="2">
        <v>2000</v>
      </c>
      <c r="H196" s="2">
        <v>50000</v>
      </c>
      <c r="I196" s="2" t="s">
        <v>16</v>
      </c>
      <c r="J196" s="2">
        <v>0</v>
      </c>
      <c r="K196" s="2">
        <v>720</v>
      </c>
      <c r="L196" s="2" t="s">
        <v>28</v>
      </c>
      <c r="M196" s="2" t="s">
        <v>80</v>
      </c>
      <c r="N196" s="2" t="s">
        <v>25</v>
      </c>
      <c r="O196">
        <v>11</v>
      </c>
      <c r="R196" t="e">
        <f t="shared" si="35"/>
        <v>#DIV/0!</v>
      </c>
      <c r="S196" t="str">
        <f t="shared" si="36"/>
        <v>DIVISION ERROR</v>
      </c>
      <c r="U196" t="b">
        <v>0</v>
      </c>
      <c r="W196" t="str">
        <f t="shared" si="37"/>
        <v>EVEN</v>
      </c>
      <c r="Y196">
        <f t="shared" si="38"/>
        <v>60</v>
      </c>
      <c r="AB196" t="str">
        <f t="shared" si="39"/>
        <v>Bad_user</v>
      </c>
      <c r="AE196" t="b">
        <f t="shared" si="40"/>
        <v>1</v>
      </c>
      <c r="AG196" t="b">
        <f t="shared" si="41"/>
        <v>0</v>
      </c>
      <c r="AI196" t="str">
        <f>IF(AND(Dataset!G196 &gt;5000,Dataset!H196&gt;7000),"ACTIVE_CONSUMER","INACTIVE_CONSUMER")</f>
        <v>INACTIVE_CONSUMER</v>
      </c>
      <c r="AN196" t="str">
        <f t="shared" si="42"/>
        <v>Not_eligible</v>
      </c>
      <c r="AQ196" t="str">
        <f>IF(AND(E196="M",F196="checking",Dataset!G196&gt;2000,Dataset!K196&gt;500),"good_client","bad_client")</f>
        <v>bad_client</v>
      </c>
      <c r="AT196" t="s">
        <v>482</v>
      </c>
      <c r="AU196" t="str">
        <f>IF(AND(Dataset!F196="Savings",Dataset!AT196="eligible"),"YES","NO")</f>
        <v>NO</v>
      </c>
      <c r="AW196" s="8"/>
      <c r="AX196" s="12" t="s">
        <v>487</v>
      </c>
      <c r="AY196" s="8" t="s">
        <v>490</v>
      </c>
      <c r="AZ196" s="8"/>
      <c r="BD196" t="str">
        <f t="shared" si="43"/>
        <v>yes</v>
      </c>
    </row>
    <row r="197" spans="1:56" x14ac:dyDescent="0.3">
      <c r="A197">
        <f t="shared" si="34"/>
        <v>196</v>
      </c>
      <c r="B197" s="3" t="s">
        <v>272</v>
      </c>
      <c r="C197" s="3" t="s">
        <v>155</v>
      </c>
      <c r="D197" s="2">
        <v>27</v>
      </c>
      <c r="E197" s="2" t="s">
        <v>14</v>
      </c>
      <c r="F197" s="2" t="s">
        <v>22</v>
      </c>
      <c r="G197" s="2">
        <v>6000</v>
      </c>
      <c r="H197" s="2">
        <v>55000</v>
      </c>
      <c r="I197" s="2" t="s">
        <v>23</v>
      </c>
      <c r="J197" s="2">
        <v>10000</v>
      </c>
      <c r="K197" s="2">
        <v>690</v>
      </c>
      <c r="L197" s="2" t="s">
        <v>31</v>
      </c>
      <c r="M197" s="2" t="s">
        <v>80</v>
      </c>
      <c r="N197" s="2" t="s">
        <v>18</v>
      </c>
      <c r="O197">
        <v>3</v>
      </c>
      <c r="R197">
        <f t="shared" si="35"/>
        <v>5.5</v>
      </c>
      <c r="S197">
        <f t="shared" si="36"/>
        <v>5.5</v>
      </c>
      <c r="U197" t="b">
        <v>1</v>
      </c>
      <c r="W197" t="str">
        <f t="shared" si="37"/>
        <v>ODD</v>
      </c>
      <c r="Y197">
        <f t="shared" si="38"/>
        <v>223.5</v>
      </c>
      <c r="AB197" t="str">
        <f t="shared" si="39"/>
        <v>Good_user</v>
      </c>
      <c r="AE197" t="b">
        <f t="shared" si="40"/>
        <v>0</v>
      </c>
      <c r="AG197" t="b">
        <f t="shared" si="41"/>
        <v>0</v>
      </c>
      <c r="AI197" t="str">
        <f>IF(AND(Dataset!G197 &gt;5000,Dataset!H197&gt;7000),"ACTIVE_CONSUMER","INACTIVE_CONSUMER")</f>
        <v>ACTIVE_CONSUMER</v>
      </c>
      <c r="AN197" t="str">
        <f t="shared" si="42"/>
        <v>Not_eligible</v>
      </c>
      <c r="AQ197" t="str">
        <f>IF(AND(E197="M",F197="checking",Dataset!G197&gt;2000,Dataset!K197&gt;500),"good_client","bad_client")</f>
        <v>bad_client</v>
      </c>
      <c r="AT197" t="s">
        <v>482</v>
      </c>
      <c r="AU197" t="str">
        <f>IF(AND(Dataset!F197="Savings",Dataset!AT197="eligible"),"YES","NO")</f>
        <v>NO</v>
      </c>
      <c r="AW197" s="8"/>
      <c r="AX197" s="12" t="s">
        <v>487</v>
      </c>
      <c r="AY197" s="8" t="s">
        <v>489</v>
      </c>
      <c r="AZ197" s="8"/>
      <c r="BD197" t="str">
        <f t="shared" si="43"/>
        <v>yes</v>
      </c>
    </row>
    <row r="198" spans="1:56" x14ac:dyDescent="0.3">
      <c r="A198">
        <f t="shared" si="34"/>
        <v>197</v>
      </c>
      <c r="B198" s="3" t="s">
        <v>193</v>
      </c>
      <c r="C198" s="3" t="s">
        <v>177</v>
      </c>
      <c r="D198" s="2">
        <v>31</v>
      </c>
      <c r="E198" s="2" t="s">
        <v>21</v>
      </c>
      <c r="F198" s="2" t="s">
        <v>15</v>
      </c>
      <c r="G198" s="2">
        <v>3500</v>
      </c>
      <c r="H198" s="2">
        <v>62000</v>
      </c>
      <c r="I198" s="2" t="s">
        <v>16</v>
      </c>
      <c r="J198" s="2">
        <v>0</v>
      </c>
      <c r="K198" s="2">
        <v>680</v>
      </c>
      <c r="L198" s="2" t="s">
        <v>17</v>
      </c>
      <c r="M198" s="2" t="s">
        <v>82</v>
      </c>
      <c r="N198" s="2" t="s">
        <v>25</v>
      </c>
      <c r="O198">
        <v>5</v>
      </c>
      <c r="R198" t="e">
        <f t="shared" si="35"/>
        <v>#DIV/0!</v>
      </c>
      <c r="S198" t="str">
        <f t="shared" si="36"/>
        <v>DIVISION ERROR</v>
      </c>
      <c r="U198" t="b">
        <v>0</v>
      </c>
      <c r="W198" t="str">
        <f t="shared" si="37"/>
        <v>ODD</v>
      </c>
      <c r="Y198">
        <f t="shared" si="38"/>
        <v>286</v>
      </c>
      <c r="AB198" t="str">
        <f t="shared" si="39"/>
        <v>Bad_user</v>
      </c>
      <c r="AE198" t="b">
        <f t="shared" si="40"/>
        <v>1</v>
      </c>
      <c r="AG198" t="b">
        <f t="shared" si="41"/>
        <v>0</v>
      </c>
      <c r="AI198" t="str">
        <f>IF(AND(Dataset!G198 &gt;5000,Dataset!H198&gt;7000),"ACTIVE_CONSUMER","INACTIVE_CONSUMER")</f>
        <v>INACTIVE_CONSUMER</v>
      </c>
      <c r="AN198" t="str">
        <f t="shared" si="42"/>
        <v>Not_eligible</v>
      </c>
      <c r="AQ198" t="str">
        <f>IF(AND(E198="M",F198="checking",Dataset!G198&gt;2000,Dataset!K198&gt;500),"good_client","bad_client")</f>
        <v>bad_client</v>
      </c>
      <c r="AT198" t="s">
        <v>482</v>
      </c>
      <c r="AU198" t="str">
        <f>IF(AND(Dataset!F198="Savings",Dataset!AT198="eligible"),"YES","NO")</f>
        <v>NO</v>
      </c>
      <c r="AW198" s="8"/>
      <c r="AX198" s="12" t="s">
        <v>486</v>
      </c>
      <c r="AY198" s="8" t="s">
        <v>490</v>
      </c>
      <c r="AZ198" s="8"/>
      <c r="BD198" t="str">
        <f t="shared" si="43"/>
        <v>yes</v>
      </c>
    </row>
    <row r="199" spans="1:56" x14ac:dyDescent="0.3">
      <c r="A199">
        <f t="shared" si="34"/>
        <v>198</v>
      </c>
      <c r="B199" s="3" t="s">
        <v>273</v>
      </c>
      <c r="C199" s="3" t="s">
        <v>65</v>
      </c>
      <c r="D199" s="2">
        <v>53</v>
      </c>
      <c r="E199" s="2" t="s">
        <v>14</v>
      </c>
      <c r="F199" s="2" t="s">
        <v>22</v>
      </c>
      <c r="G199" s="2">
        <v>4000</v>
      </c>
      <c r="H199" s="2">
        <v>48000</v>
      </c>
      <c r="I199" s="2" t="s">
        <v>23</v>
      </c>
      <c r="J199" s="2">
        <v>5000</v>
      </c>
      <c r="K199" s="2">
        <v>710</v>
      </c>
      <c r="L199" s="2" t="s">
        <v>24</v>
      </c>
      <c r="M199" s="2" t="s">
        <v>82</v>
      </c>
      <c r="N199" s="2" t="s">
        <v>18</v>
      </c>
      <c r="O199">
        <v>3</v>
      </c>
      <c r="R199">
        <f t="shared" si="35"/>
        <v>9.6</v>
      </c>
      <c r="S199">
        <f t="shared" si="36"/>
        <v>9.6</v>
      </c>
      <c r="U199" t="b">
        <v>1</v>
      </c>
      <c r="W199" t="str">
        <f t="shared" si="37"/>
        <v>ODD</v>
      </c>
      <c r="Y199">
        <f t="shared" si="38"/>
        <v>120.5</v>
      </c>
      <c r="AB199" t="str">
        <f t="shared" si="39"/>
        <v>Good_user</v>
      </c>
      <c r="AE199" t="b">
        <f t="shared" si="40"/>
        <v>0</v>
      </c>
      <c r="AG199" t="b">
        <f t="shared" si="41"/>
        <v>0</v>
      </c>
      <c r="AI199" t="str">
        <f>IF(AND(Dataset!G199 &gt;5000,Dataset!H199&gt;7000),"ACTIVE_CONSUMER","INACTIVE_CONSUMER")</f>
        <v>INACTIVE_CONSUMER</v>
      </c>
      <c r="AN199" t="str">
        <f t="shared" si="42"/>
        <v>Not_eligible</v>
      </c>
      <c r="AQ199" t="str">
        <f>IF(AND(E199="M",F199="checking",Dataset!G199&gt;2000,Dataset!K199&gt;500),"good_client","bad_client")</f>
        <v>bad_client</v>
      </c>
      <c r="AT199" t="s">
        <v>482</v>
      </c>
      <c r="AU199" t="str">
        <f>IF(AND(Dataset!F199="Savings",Dataset!AT199="eligible"),"YES","NO")</f>
        <v>NO</v>
      </c>
      <c r="AW199" s="8"/>
      <c r="AX199" s="12" t="s">
        <v>486</v>
      </c>
      <c r="AY199" s="8" t="s">
        <v>489</v>
      </c>
      <c r="AZ199" s="8"/>
      <c r="BD199" t="str">
        <f t="shared" si="43"/>
        <v>yes</v>
      </c>
    </row>
    <row r="200" spans="1:56" x14ac:dyDescent="0.3">
      <c r="A200">
        <f t="shared" si="34"/>
        <v>199</v>
      </c>
      <c r="B200" s="3" t="s">
        <v>274</v>
      </c>
      <c r="C200" s="3" t="s">
        <v>59</v>
      </c>
      <c r="D200" s="2">
        <v>28</v>
      </c>
      <c r="E200" s="2" t="s">
        <v>21</v>
      </c>
      <c r="F200" s="2" t="s">
        <v>15</v>
      </c>
      <c r="G200" s="2">
        <v>5500</v>
      </c>
      <c r="H200" s="2">
        <v>59000</v>
      </c>
      <c r="I200" s="2" t="s">
        <v>16</v>
      </c>
      <c r="J200" s="2">
        <v>0</v>
      </c>
      <c r="K200" s="2">
        <v>700</v>
      </c>
      <c r="L200" s="2" t="s">
        <v>28</v>
      </c>
      <c r="M200" s="2" t="s">
        <v>82</v>
      </c>
      <c r="N200" s="2" t="s">
        <v>25</v>
      </c>
      <c r="O200">
        <v>11</v>
      </c>
      <c r="R200" t="e">
        <f t="shared" si="35"/>
        <v>#DIV/0!</v>
      </c>
      <c r="S200" t="str">
        <f t="shared" si="36"/>
        <v>DIVISION ERROR</v>
      </c>
      <c r="U200" t="b">
        <v>0</v>
      </c>
      <c r="W200" t="str">
        <f t="shared" si="37"/>
        <v>EVEN</v>
      </c>
      <c r="Y200">
        <f t="shared" si="38"/>
        <v>170</v>
      </c>
      <c r="AB200" t="str">
        <f t="shared" si="39"/>
        <v>Bad_user</v>
      </c>
      <c r="AE200" t="b">
        <f t="shared" si="40"/>
        <v>1</v>
      </c>
      <c r="AG200" t="b">
        <f t="shared" si="41"/>
        <v>0</v>
      </c>
      <c r="AI200" t="str">
        <f>IF(AND(Dataset!G200 &gt;5000,Dataset!H200&gt;7000),"ACTIVE_CONSUMER","INACTIVE_CONSUMER")</f>
        <v>ACTIVE_CONSUMER</v>
      </c>
      <c r="AN200" t="str">
        <f t="shared" si="42"/>
        <v>Not_eligible</v>
      </c>
      <c r="AQ200" t="str">
        <f>IF(AND(E200="M",F200="checking",Dataset!G200&gt;2000,Dataset!K200&gt;500),"good_client","bad_client")</f>
        <v>bad_client</v>
      </c>
      <c r="AT200" t="s">
        <v>482</v>
      </c>
      <c r="AU200" t="str">
        <f>IF(AND(Dataset!F200="Savings",Dataset!AT200="eligible"),"YES","NO")</f>
        <v>NO</v>
      </c>
      <c r="AW200" s="8"/>
      <c r="AX200" s="12" t="s">
        <v>486</v>
      </c>
      <c r="AY200" s="8" t="s">
        <v>490</v>
      </c>
      <c r="AZ200" s="8"/>
      <c r="BD200" t="str">
        <f t="shared" si="43"/>
        <v>yes</v>
      </c>
    </row>
    <row r="201" spans="1:56" x14ac:dyDescent="0.3">
      <c r="A201">
        <f t="shared" si="34"/>
        <v>200</v>
      </c>
      <c r="B201" s="3" t="s">
        <v>63</v>
      </c>
      <c r="C201" s="3" t="s">
        <v>33</v>
      </c>
      <c r="D201" s="2">
        <v>46</v>
      </c>
      <c r="E201" s="2" t="s">
        <v>14</v>
      </c>
      <c r="F201" s="2" t="s">
        <v>22</v>
      </c>
      <c r="G201" s="2">
        <v>9000</v>
      </c>
      <c r="H201" s="2">
        <v>73000</v>
      </c>
      <c r="I201" s="2" t="s">
        <v>23</v>
      </c>
      <c r="J201" s="2">
        <v>13000</v>
      </c>
      <c r="K201" s="2">
        <v>720</v>
      </c>
      <c r="L201" s="2" t="s">
        <v>31</v>
      </c>
      <c r="M201" s="2" t="s">
        <v>82</v>
      </c>
      <c r="N201" s="2" t="s">
        <v>18</v>
      </c>
      <c r="O201">
        <v>11</v>
      </c>
      <c r="R201">
        <f t="shared" si="35"/>
        <v>5.615384615384615</v>
      </c>
      <c r="S201">
        <f t="shared" si="36"/>
        <v>5.615384615384615</v>
      </c>
      <c r="U201" t="b">
        <v>1</v>
      </c>
      <c r="W201" t="str">
        <f t="shared" si="37"/>
        <v>EVEN</v>
      </c>
      <c r="Y201">
        <f t="shared" si="38"/>
        <v>60</v>
      </c>
      <c r="AB201" t="str">
        <f t="shared" si="39"/>
        <v>Good_user</v>
      </c>
      <c r="AE201" t="b">
        <f t="shared" si="40"/>
        <v>0</v>
      </c>
      <c r="AG201" t="b">
        <f t="shared" si="41"/>
        <v>0</v>
      </c>
      <c r="AI201" t="str">
        <f>IF(AND(Dataset!G201 &gt;5000,Dataset!H201&gt;7000),"ACTIVE_CONSUMER","INACTIVE_CONSUMER")</f>
        <v>ACTIVE_CONSUMER</v>
      </c>
      <c r="AN201" t="str">
        <f t="shared" si="42"/>
        <v>Not_eligible</v>
      </c>
      <c r="AQ201" t="str">
        <f>IF(AND(E201="M",F201="checking",Dataset!G201&gt;2000,Dataset!K201&gt;500),"good_client","bad_client")</f>
        <v>bad_client</v>
      </c>
      <c r="AT201" t="s">
        <v>482</v>
      </c>
      <c r="AU201" t="str">
        <f>IF(AND(Dataset!F201="Savings",Dataset!AT201="eligible"),"YES","NO")</f>
        <v>NO</v>
      </c>
      <c r="AW201" s="8"/>
      <c r="AX201" s="12" t="s">
        <v>486</v>
      </c>
      <c r="AY201" s="8" t="s">
        <v>489</v>
      </c>
      <c r="AZ201" s="8"/>
      <c r="BD201" t="str">
        <f t="shared" si="43"/>
        <v>yes</v>
      </c>
    </row>
    <row r="202" spans="1:56" x14ac:dyDescent="0.3">
      <c r="A202">
        <f t="shared" si="34"/>
        <v>201</v>
      </c>
      <c r="B202" s="3" t="s">
        <v>275</v>
      </c>
      <c r="C202" s="3" t="s">
        <v>165</v>
      </c>
      <c r="D202" s="2">
        <v>39</v>
      </c>
      <c r="E202" s="2" t="s">
        <v>21</v>
      </c>
      <c r="F202" s="2" t="s">
        <v>15</v>
      </c>
      <c r="G202" s="2">
        <v>4000</v>
      </c>
      <c r="H202" s="2">
        <v>65000</v>
      </c>
      <c r="I202" s="2" t="s">
        <v>16</v>
      </c>
      <c r="J202" s="2">
        <v>0</v>
      </c>
      <c r="K202" s="2">
        <v>680</v>
      </c>
      <c r="L202" s="2" t="s">
        <v>17</v>
      </c>
      <c r="M202" s="2" t="s">
        <v>82</v>
      </c>
      <c r="N202" s="2" t="s">
        <v>25</v>
      </c>
      <c r="O202">
        <v>6</v>
      </c>
      <c r="R202" t="e">
        <f t="shared" si="35"/>
        <v>#DIV/0!</v>
      </c>
      <c r="S202" t="str">
        <f t="shared" si="36"/>
        <v>DIVISION ERROR</v>
      </c>
      <c r="U202" t="b">
        <v>0</v>
      </c>
      <c r="W202" t="str">
        <f t="shared" si="37"/>
        <v>ODD</v>
      </c>
      <c r="Y202">
        <f t="shared" si="38"/>
        <v>286</v>
      </c>
      <c r="AB202" t="str">
        <f t="shared" si="39"/>
        <v>Bad_user</v>
      </c>
      <c r="AE202" t="b">
        <f t="shared" si="40"/>
        <v>1</v>
      </c>
      <c r="AG202" t="b">
        <f t="shared" si="41"/>
        <v>0</v>
      </c>
      <c r="AI202" t="str">
        <f>IF(AND(Dataset!G202 &gt;5000,Dataset!H202&gt;7000),"ACTIVE_CONSUMER","INACTIVE_CONSUMER")</f>
        <v>INACTIVE_CONSUMER</v>
      </c>
      <c r="AN202" t="str">
        <f t="shared" si="42"/>
        <v>Not_eligible</v>
      </c>
      <c r="AQ202" t="str">
        <f>IF(AND(E202="M",F202="checking",Dataset!G202&gt;2000,Dataset!K202&gt;500),"good_client","bad_client")</f>
        <v>bad_client</v>
      </c>
      <c r="AT202" t="s">
        <v>482</v>
      </c>
      <c r="AU202" t="str">
        <f>IF(AND(Dataset!F202="Savings",Dataset!AT202="eligible"),"YES","NO")</f>
        <v>NO</v>
      </c>
      <c r="AW202" s="8"/>
      <c r="AX202" s="12" t="s">
        <v>486</v>
      </c>
      <c r="AY202" s="8" t="s">
        <v>490</v>
      </c>
      <c r="AZ202" s="8"/>
      <c r="BD202" t="str">
        <f t="shared" si="43"/>
        <v>yes</v>
      </c>
    </row>
    <row r="203" spans="1:56" x14ac:dyDescent="0.3">
      <c r="A203">
        <f t="shared" si="34"/>
        <v>202</v>
      </c>
      <c r="B203" s="3" t="s">
        <v>276</v>
      </c>
      <c r="C203" s="3" t="s">
        <v>49</v>
      </c>
      <c r="D203" s="2">
        <v>27</v>
      </c>
      <c r="E203" s="2" t="s">
        <v>14</v>
      </c>
      <c r="F203" s="2" t="s">
        <v>22</v>
      </c>
      <c r="G203" s="2">
        <v>8000</v>
      </c>
      <c r="H203" s="2">
        <v>60000</v>
      </c>
      <c r="I203" s="2" t="s">
        <v>23</v>
      </c>
      <c r="J203" s="2">
        <v>8000</v>
      </c>
      <c r="K203" s="2">
        <v>710</v>
      </c>
      <c r="L203" s="2" t="s">
        <v>24</v>
      </c>
      <c r="M203" s="2" t="s">
        <v>82</v>
      </c>
      <c r="N203" s="2" t="s">
        <v>18</v>
      </c>
      <c r="O203">
        <v>6</v>
      </c>
      <c r="R203">
        <f t="shared" si="35"/>
        <v>7.5</v>
      </c>
      <c r="S203">
        <f t="shared" si="36"/>
        <v>7.5</v>
      </c>
      <c r="U203" t="b">
        <v>1</v>
      </c>
      <c r="W203" t="str">
        <f t="shared" si="37"/>
        <v>ODD</v>
      </c>
      <c r="Y203">
        <f t="shared" si="38"/>
        <v>120.5</v>
      </c>
      <c r="AB203" t="str">
        <f t="shared" si="39"/>
        <v>Good_user</v>
      </c>
      <c r="AE203" t="b">
        <f t="shared" si="40"/>
        <v>0</v>
      </c>
      <c r="AG203" t="b">
        <f t="shared" si="41"/>
        <v>0</v>
      </c>
      <c r="AI203" t="str">
        <f>IF(AND(Dataset!G203 &gt;5000,Dataset!H203&gt;7000),"ACTIVE_CONSUMER","INACTIVE_CONSUMER")</f>
        <v>ACTIVE_CONSUMER</v>
      </c>
      <c r="AN203" t="str">
        <f t="shared" si="42"/>
        <v>Not_eligible</v>
      </c>
      <c r="AQ203" t="str">
        <f>IF(AND(E203="M",F203="checking",Dataset!G203&gt;2000,Dataset!K203&gt;500),"good_client","bad_client")</f>
        <v>bad_client</v>
      </c>
      <c r="AT203" t="s">
        <v>482</v>
      </c>
      <c r="AU203" t="str">
        <f>IF(AND(Dataset!F203="Savings",Dataset!AT203="eligible"),"YES","NO")</f>
        <v>NO</v>
      </c>
      <c r="AW203" s="8"/>
      <c r="AX203" s="12" t="s">
        <v>486</v>
      </c>
      <c r="AY203" s="8" t="s">
        <v>489</v>
      </c>
      <c r="AZ203" s="8"/>
      <c r="BD203" t="str">
        <f t="shared" si="43"/>
        <v>yes</v>
      </c>
    </row>
    <row r="204" spans="1:56" x14ac:dyDescent="0.3">
      <c r="A204">
        <f t="shared" si="34"/>
        <v>203</v>
      </c>
      <c r="B204" s="3" t="s">
        <v>260</v>
      </c>
      <c r="C204" s="3" t="s">
        <v>35</v>
      </c>
      <c r="D204" s="2">
        <v>34</v>
      </c>
      <c r="E204" s="2" t="s">
        <v>21</v>
      </c>
      <c r="F204" s="2" t="s">
        <v>15</v>
      </c>
      <c r="G204" s="2">
        <v>2500</v>
      </c>
      <c r="H204" s="2">
        <v>53000</v>
      </c>
      <c r="I204" s="2" t="s">
        <v>16</v>
      </c>
      <c r="J204" s="2">
        <v>0</v>
      </c>
      <c r="K204" s="2">
        <v>690</v>
      </c>
      <c r="L204" s="2" t="s">
        <v>28</v>
      </c>
      <c r="M204" s="2" t="s">
        <v>81</v>
      </c>
      <c r="N204" s="2" t="s">
        <v>25</v>
      </c>
      <c r="O204">
        <v>5</v>
      </c>
      <c r="R204" t="e">
        <f t="shared" si="35"/>
        <v>#DIV/0!</v>
      </c>
      <c r="S204" t="str">
        <f t="shared" si="36"/>
        <v>DIVISION ERROR</v>
      </c>
      <c r="U204" t="b">
        <v>0</v>
      </c>
      <c r="W204" t="str">
        <f t="shared" si="37"/>
        <v>EVEN</v>
      </c>
      <c r="Y204">
        <f t="shared" si="38"/>
        <v>223.5</v>
      </c>
      <c r="AB204" t="str">
        <f t="shared" si="39"/>
        <v>Bad_user</v>
      </c>
      <c r="AE204" t="b">
        <f t="shared" si="40"/>
        <v>1</v>
      </c>
      <c r="AG204" t="b">
        <f t="shared" si="41"/>
        <v>0</v>
      </c>
      <c r="AI204" t="str">
        <f>IF(AND(Dataset!G204 &gt;5000,Dataset!H204&gt;7000),"ACTIVE_CONSUMER","INACTIVE_CONSUMER")</f>
        <v>INACTIVE_CONSUMER</v>
      </c>
      <c r="AN204" t="str">
        <f t="shared" si="42"/>
        <v>Not_eligible</v>
      </c>
      <c r="AQ204" t="str">
        <f>IF(AND(E204="M",F204="checking",Dataset!G204&gt;2000,Dataset!K204&gt;500),"good_client","bad_client")</f>
        <v>bad_client</v>
      </c>
      <c r="AT204" t="s">
        <v>482</v>
      </c>
      <c r="AU204" t="str">
        <f>IF(AND(Dataset!F204="Savings",Dataset!AT204="eligible"),"YES","NO")</f>
        <v>NO</v>
      </c>
      <c r="AW204" s="8"/>
      <c r="AX204" s="12" t="s">
        <v>487</v>
      </c>
      <c r="AY204" s="8" t="s">
        <v>490</v>
      </c>
      <c r="AZ204" s="8"/>
      <c r="BD204" t="str">
        <f t="shared" si="43"/>
        <v>yes</v>
      </c>
    </row>
    <row r="205" spans="1:56" x14ac:dyDescent="0.3">
      <c r="A205">
        <f t="shared" si="34"/>
        <v>204</v>
      </c>
      <c r="B205" s="3" t="s">
        <v>101</v>
      </c>
      <c r="C205" s="3" t="s">
        <v>55</v>
      </c>
      <c r="D205" s="2">
        <v>32</v>
      </c>
      <c r="E205" s="2" t="s">
        <v>14</v>
      </c>
      <c r="F205" s="2" t="s">
        <v>22</v>
      </c>
      <c r="G205" s="2">
        <v>12000</v>
      </c>
      <c r="H205" s="2">
        <v>68000</v>
      </c>
      <c r="I205" s="2" t="s">
        <v>23</v>
      </c>
      <c r="J205" s="2">
        <v>15000</v>
      </c>
      <c r="K205" s="2">
        <v>720</v>
      </c>
      <c r="L205" s="2" t="s">
        <v>31</v>
      </c>
      <c r="M205" s="2" t="s">
        <v>81</v>
      </c>
      <c r="N205" s="2" t="s">
        <v>18</v>
      </c>
      <c r="O205">
        <v>4</v>
      </c>
      <c r="R205">
        <f t="shared" si="35"/>
        <v>4.5333333333333332</v>
      </c>
      <c r="S205">
        <f t="shared" si="36"/>
        <v>4.5333333333333332</v>
      </c>
      <c r="U205" t="b">
        <v>1</v>
      </c>
      <c r="W205" t="str">
        <f t="shared" si="37"/>
        <v>EVEN</v>
      </c>
      <c r="Y205">
        <f t="shared" si="38"/>
        <v>60</v>
      </c>
      <c r="AB205" t="str">
        <f t="shared" si="39"/>
        <v>Good_user</v>
      </c>
      <c r="AE205" t="b">
        <f t="shared" si="40"/>
        <v>0</v>
      </c>
      <c r="AG205" t="b">
        <f t="shared" si="41"/>
        <v>0</v>
      </c>
      <c r="AI205" t="str">
        <f>IF(AND(Dataset!G205 &gt;5000,Dataset!H205&gt;7000),"ACTIVE_CONSUMER","INACTIVE_CONSUMER")</f>
        <v>ACTIVE_CONSUMER</v>
      </c>
      <c r="AN205" t="str">
        <f t="shared" si="42"/>
        <v>Not_eligible</v>
      </c>
      <c r="AQ205" t="str">
        <f>IF(AND(E205="M",F205="checking",Dataset!G205&gt;2000,Dataset!K205&gt;500),"good_client","bad_client")</f>
        <v>bad_client</v>
      </c>
      <c r="AT205" t="s">
        <v>482</v>
      </c>
      <c r="AU205" t="str">
        <f>IF(AND(Dataset!F205="Savings",Dataset!AT205="eligible"),"YES","NO")</f>
        <v>NO</v>
      </c>
      <c r="AW205" s="8"/>
      <c r="AX205" s="12" t="s">
        <v>487</v>
      </c>
      <c r="AY205" s="8" t="s">
        <v>489</v>
      </c>
      <c r="AZ205" s="8"/>
      <c r="BD205" t="str">
        <f t="shared" si="43"/>
        <v>yes</v>
      </c>
    </row>
    <row r="206" spans="1:56" x14ac:dyDescent="0.3">
      <c r="A206">
        <f t="shared" si="34"/>
        <v>205</v>
      </c>
      <c r="B206" s="3" t="s">
        <v>277</v>
      </c>
      <c r="C206" s="3" t="s">
        <v>181</v>
      </c>
      <c r="D206" s="2">
        <v>49</v>
      </c>
      <c r="E206" s="2" t="s">
        <v>21</v>
      </c>
      <c r="F206" s="2" t="s">
        <v>15</v>
      </c>
      <c r="G206" s="2">
        <v>7000</v>
      </c>
      <c r="H206" s="2">
        <v>71000</v>
      </c>
      <c r="I206" s="2" t="s">
        <v>16</v>
      </c>
      <c r="J206" s="2">
        <v>0</v>
      </c>
      <c r="K206" s="2">
        <v>680</v>
      </c>
      <c r="L206" s="2" t="s">
        <v>17</v>
      </c>
      <c r="M206" s="2" t="s">
        <v>81</v>
      </c>
      <c r="N206" s="2" t="s">
        <v>25</v>
      </c>
      <c r="O206">
        <v>6</v>
      </c>
      <c r="R206" t="e">
        <f t="shared" si="35"/>
        <v>#DIV/0!</v>
      </c>
      <c r="S206" t="str">
        <f t="shared" si="36"/>
        <v>DIVISION ERROR</v>
      </c>
      <c r="U206" t="b">
        <v>0</v>
      </c>
      <c r="W206" t="str">
        <f t="shared" si="37"/>
        <v>ODD</v>
      </c>
      <c r="Y206">
        <f t="shared" si="38"/>
        <v>286</v>
      </c>
      <c r="AB206" t="str">
        <f t="shared" si="39"/>
        <v>Bad_user</v>
      </c>
      <c r="AE206" t="b">
        <f t="shared" si="40"/>
        <v>1</v>
      </c>
      <c r="AG206" t="b">
        <f t="shared" si="41"/>
        <v>0</v>
      </c>
      <c r="AI206" t="str">
        <f>IF(AND(Dataset!G206 &gt;5000,Dataset!H206&gt;7000),"ACTIVE_CONSUMER","INACTIVE_CONSUMER")</f>
        <v>ACTIVE_CONSUMER</v>
      </c>
      <c r="AN206" t="str">
        <f t="shared" si="42"/>
        <v>Not_eligible</v>
      </c>
      <c r="AQ206" t="str">
        <f>IF(AND(E206="M",F206="checking",Dataset!G206&gt;2000,Dataset!K206&gt;500),"good_client","bad_client")</f>
        <v>bad_client</v>
      </c>
      <c r="AT206" t="s">
        <v>482</v>
      </c>
      <c r="AU206" t="str">
        <f>IF(AND(Dataset!F206="Savings",Dataset!AT206="eligible"),"YES","NO")</f>
        <v>NO</v>
      </c>
      <c r="AW206" s="8"/>
      <c r="AX206" s="12" t="s">
        <v>487</v>
      </c>
      <c r="AY206" s="8" t="s">
        <v>490</v>
      </c>
      <c r="AZ206" s="8"/>
      <c r="BD206" t="str">
        <f t="shared" si="43"/>
        <v>yes</v>
      </c>
    </row>
    <row r="207" spans="1:56" x14ac:dyDescent="0.3">
      <c r="A207">
        <f t="shared" si="34"/>
        <v>206</v>
      </c>
      <c r="B207" s="3" t="s">
        <v>224</v>
      </c>
      <c r="C207" s="3" t="s">
        <v>183</v>
      </c>
      <c r="D207" s="2">
        <v>24</v>
      </c>
      <c r="E207" s="2" t="s">
        <v>14</v>
      </c>
      <c r="F207" s="2" t="s">
        <v>22</v>
      </c>
      <c r="G207" s="2">
        <v>5000</v>
      </c>
      <c r="H207" s="2">
        <v>56000</v>
      </c>
      <c r="I207" s="2" t="s">
        <v>23</v>
      </c>
      <c r="J207" s="2">
        <v>10000</v>
      </c>
      <c r="K207" s="2">
        <v>700</v>
      </c>
      <c r="L207" s="2" t="s">
        <v>24</v>
      </c>
      <c r="M207" s="2" t="s">
        <v>81</v>
      </c>
      <c r="N207" s="2" t="s">
        <v>18</v>
      </c>
      <c r="O207">
        <v>5</v>
      </c>
      <c r="R207">
        <f t="shared" si="35"/>
        <v>5.6</v>
      </c>
      <c r="S207">
        <f t="shared" si="36"/>
        <v>5.6</v>
      </c>
      <c r="U207" t="b">
        <v>1</v>
      </c>
      <c r="W207" t="str">
        <f t="shared" si="37"/>
        <v>EVEN</v>
      </c>
      <c r="Y207">
        <f t="shared" si="38"/>
        <v>170</v>
      </c>
      <c r="AB207" t="str">
        <f t="shared" si="39"/>
        <v>Good_user</v>
      </c>
      <c r="AE207" t="b">
        <f t="shared" si="40"/>
        <v>0</v>
      </c>
      <c r="AG207" t="b">
        <f t="shared" si="41"/>
        <v>0</v>
      </c>
      <c r="AI207" t="str">
        <f>IF(AND(Dataset!G207 &gt;5000,Dataset!H207&gt;7000),"ACTIVE_CONSUMER","INACTIVE_CONSUMER")</f>
        <v>INACTIVE_CONSUMER</v>
      </c>
      <c r="AN207" t="str">
        <f t="shared" si="42"/>
        <v>Not_eligible</v>
      </c>
      <c r="AQ207" t="str">
        <f>IF(AND(E207="M",F207="checking",Dataset!G207&gt;2000,Dataset!K207&gt;500),"good_client","bad_client")</f>
        <v>bad_client</v>
      </c>
      <c r="AT207" t="s">
        <v>482</v>
      </c>
      <c r="AU207" t="str">
        <f>IF(AND(Dataset!F207="Savings",Dataset!AT207="eligible"),"YES","NO")</f>
        <v>NO</v>
      </c>
      <c r="AW207" s="8"/>
      <c r="AX207" s="12" t="s">
        <v>487</v>
      </c>
      <c r="AY207" s="8" t="s">
        <v>489</v>
      </c>
      <c r="AZ207" s="8"/>
      <c r="BD207" t="str">
        <f t="shared" si="43"/>
        <v>yes</v>
      </c>
    </row>
    <row r="208" spans="1:56" x14ac:dyDescent="0.3">
      <c r="A208">
        <f t="shared" si="34"/>
        <v>207</v>
      </c>
      <c r="B208" s="3" t="s">
        <v>103</v>
      </c>
      <c r="C208" s="3" t="s">
        <v>51</v>
      </c>
      <c r="D208" s="2">
        <v>29</v>
      </c>
      <c r="E208" s="2" t="s">
        <v>21</v>
      </c>
      <c r="F208" s="2" t="s">
        <v>15</v>
      </c>
      <c r="G208" s="2">
        <v>1500</v>
      </c>
      <c r="H208" s="2">
        <v>45000</v>
      </c>
      <c r="I208" s="2" t="s">
        <v>16</v>
      </c>
      <c r="J208" s="2">
        <v>0</v>
      </c>
      <c r="K208" s="2">
        <v>670</v>
      </c>
      <c r="L208" s="2" t="s">
        <v>28</v>
      </c>
      <c r="M208" s="2" t="s">
        <v>81</v>
      </c>
      <c r="N208" s="2" t="s">
        <v>25</v>
      </c>
      <c r="O208">
        <v>14</v>
      </c>
      <c r="R208" t="e">
        <f t="shared" si="35"/>
        <v>#DIV/0!</v>
      </c>
      <c r="S208" t="str">
        <f t="shared" si="36"/>
        <v>DIVISION ERROR</v>
      </c>
      <c r="U208" t="b">
        <v>0</v>
      </c>
      <c r="W208" t="str">
        <f t="shared" si="37"/>
        <v>ODD</v>
      </c>
      <c r="Y208">
        <f t="shared" si="38"/>
        <v>334</v>
      </c>
      <c r="AB208" t="str">
        <f t="shared" si="39"/>
        <v>Bad_user</v>
      </c>
      <c r="AE208" t="b">
        <f t="shared" si="40"/>
        <v>1</v>
      </c>
      <c r="AG208" t="b">
        <f t="shared" si="41"/>
        <v>0</v>
      </c>
      <c r="AI208" t="str">
        <f>IF(AND(Dataset!G208 &gt;5000,Dataset!H208&gt;7000),"ACTIVE_CONSUMER","INACTIVE_CONSUMER")</f>
        <v>INACTIVE_CONSUMER</v>
      </c>
      <c r="AN208" t="str">
        <f t="shared" si="42"/>
        <v>Not_eligible</v>
      </c>
      <c r="AQ208" t="str">
        <f>IF(AND(E208="M",F208="checking",Dataset!G208&gt;2000,Dataset!K208&gt;500),"good_client","bad_client")</f>
        <v>bad_client</v>
      </c>
      <c r="AT208" t="s">
        <v>482</v>
      </c>
      <c r="AU208" t="str">
        <f>IF(AND(Dataset!F208="Savings",Dataset!AT208="eligible"),"YES","NO")</f>
        <v>NO</v>
      </c>
      <c r="AW208" s="8"/>
      <c r="AX208" s="12" t="s">
        <v>487</v>
      </c>
      <c r="AY208" s="8" t="s">
        <v>490</v>
      </c>
      <c r="AZ208" s="8"/>
      <c r="BD208" t="str">
        <f t="shared" si="43"/>
        <v>yes</v>
      </c>
    </row>
    <row r="209" spans="1:56" x14ac:dyDescent="0.3">
      <c r="A209">
        <f t="shared" si="34"/>
        <v>208</v>
      </c>
      <c r="B209" s="3" t="s">
        <v>26</v>
      </c>
      <c r="C209" s="3" t="s">
        <v>151</v>
      </c>
      <c r="D209" s="2">
        <v>43</v>
      </c>
      <c r="E209" s="2" t="s">
        <v>14</v>
      </c>
      <c r="F209" s="2" t="s">
        <v>22</v>
      </c>
      <c r="G209" s="2">
        <v>11000</v>
      </c>
      <c r="H209" s="2">
        <v>74000</v>
      </c>
      <c r="I209" s="2" t="s">
        <v>23</v>
      </c>
      <c r="J209" s="2">
        <v>12000</v>
      </c>
      <c r="K209" s="2">
        <v>720</v>
      </c>
      <c r="L209" s="2" t="s">
        <v>31</v>
      </c>
      <c r="M209" s="2" t="s">
        <v>81</v>
      </c>
      <c r="N209" s="2" t="s">
        <v>18</v>
      </c>
      <c r="O209">
        <v>12</v>
      </c>
      <c r="R209">
        <f t="shared" si="35"/>
        <v>6.166666666666667</v>
      </c>
      <c r="S209">
        <f t="shared" si="36"/>
        <v>6.166666666666667</v>
      </c>
      <c r="U209" t="b">
        <v>1</v>
      </c>
      <c r="W209" t="str">
        <f t="shared" si="37"/>
        <v>ODD</v>
      </c>
      <c r="Y209">
        <f t="shared" si="38"/>
        <v>60</v>
      </c>
      <c r="AB209" t="str">
        <f t="shared" si="39"/>
        <v>Good_user</v>
      </c>
      <c r="AE209" t="b">
        <f t="shared" si="40"/>
        <v>0</v>
      </c>
      <c r="AG209" t="b">
        <f t="shared" si="41"/>
        <v>0</v>
      </c>
      <c r="AI209" t="str">
        <f>IF(AND(Dataset!G209 &gt;5000,Dataset!H209&gt;7000),"ACTIVE_CONSUMER","INACTIVE_CONSUMER")</f>
        <v>ACTIVE_CONSUMER</v>
      </c>
      <c r="AN209" t="str">
        <f t="shared" si="42"/>
        <v>Not_eligible</v>
      </c>
      <c r="AQ209" t="str">
        <f>IF(AND(E209="M",F209="checking",Dataset!G209&gt;2000,Dataset!K209&gt;500),"good_client","bad_client")</f>
        <v>bad_client</v>
      </c>
      <c r="AT209" t="s">
        <v>482</v>
      </c>
      <c r="AU209" t="str">
        <f>IF(AND(Dataset!F209="Savings",Dataset!AT209="eligible"),"YES","NO")</f>
        <v>NO</v>
      </c>
      <c r="AW209" s="8"/>
      <c r="AX209" s="12" t="s">
        <v>487</v>
      </c>
      <c r="AY209" s="8" t="s">
        <v>489</v>
      </c>
      <c r="AZ209" s="8"/>
      <c r="BD209" t="str">
        <f t="shared" si="43"/>
        <v>yes</v>
      </c>
    </row>
    <row r="210" spans="1:56" x14ac:dyDescent="0.3">
      <c r="A210">
        <f t="shared" si="34"/>
        <v>209</v>
      </c>
      <c r="B210" s="3" t="s">
        <v>278</v>
      </c>
      <c r="C210" s="3" t="s">
        <v>59</v>
      </c>
      <c r="D210" s="2">
        <v>36</v>
      </c>
      <c r="E210" s="2" t="s">
        <v>21</v>
      </c>
      <c r="F210" s="2" t="s">
        <v>15</v>
      </c>
      <c r="G210" s="2">
        <v>8000</v>
      </c>
      <c r="H210" s="2">
        <v>63000</v>
      </c>
      <c r="I210" s="2" t="s">
        <v>16</v>
      </c>
      <c r="J210" s="2">
        <v>0</v>
      </c>
      <c r="K210" s="2">
        <v>710</v>
      </c>
      <c r="L210" s="2" t="s">
        <v>17</v>
      </c>
      <c r="M210" s="2" t="s">
        <v>80</v>
      </c>
      <c r="N210" s="2" t="s">
        <v>25</v>
      </c>
      <c r="O210">
        <v>11</v>
      </c>
      <c r="R210" t="e">
        <f t="shared" si="35"/>
        <v>#DIV/0!</v>
      </c>
      <c r="S210" t="str">
        <f t="shared" si="36"/>
        <v>DIVISION ERROR</v>
      </c>
      <c r="U210" t="b">
        <v>0</v>
      </c>
      <c r="W210" t="str">
        <f t="shared" si="37"/>
        <v>EVEN</v>
      </c>
      <c r="Y210">
        <f t="shared" si="38"/>
        <v>120.5</v>
      </c>
      <c r="AB210" t="str">
        <f t="shared" si="39"/>
        <v>Bad_user</v>
      </c>
      <c r="AE210" t="b">
        <f t="shared" si="40"/>
        <v>1</v>
      </c>
      <c r="AG210" t="b">
        <f t="shared" si="41"/>
        <v>0</v>
      </c>
      <c r="AI210" t="str">
        <f>IF(AND(Dataset!G210 &gt;5000,Dataset!H210&gt;7000),"ACTIVE_CONSUMER","INACTIVE_CONSUMER")</f>
        <v>ACTIVE_CONSUMER</v>
      </c>
      <c r="AN210" t="str">
        <f t="shared" si="42"/>
        <v>Not_eligible</v>
      </c>
      <c r="AQ210" t="str">
        <f>IF(AND(E210="M",F210="checking",Dataset!G210&gt;2000,Dataset!K210&gt;500),"good_client","bad_client")</f>
        <v>bad_client</v>
      </c>
      <c r="AT210" t="s">
        <v>482</v>
      </c>
      <c r="AU210" t="str">
        <f>IF(AND(Dataset!F210="Savings",Dataset!AT210="eligible"),"YES","NO")</f>
        <v>NO</v>
      </c>
      <c r="AW210" s="8"/>
      <c r="AX210" s="12" t="s">
        <v>487</v>
      </c>
      <c r="AY210" s="8" t="s">
        <v>490</v>
      </c>
      <c r="AZ210" s="8"/>
      <c r="BD210" t="str">
        <f t="shared" si="43"/>
        <v>yes</v>
      </c>
    </row>
    <row r="211" spans="1:56" x14ac:dyDescent="0.3">
      <c r="A211">
        <f t="shared" si="34"/>
        <v>210</v>
      </c>
      <c r="B211" s="3" t="s">
        <v>279</v>
      </c>
      <c r="C211" s="3" t="s">
        <v>137</v>
      </c>
      <c r="D211" s="2">
        <v>28</v>
      </c>
      <c r="E211" s="2" t="s">
        <v>14</v>
      </c>
      <c r="F211" s="2" t="s">
        <v>22</v>
      </c>
      <c r="G211" s="2">
        <v>2000</v>
      </c>
      <c r="H211" s="2">
        <v>47000</v>
      </c>
      <c r="I211" s="2" t="s">
        <v>23</v>
      </c>
      <c r="J211" s="2">
        <v>5000</v>
      </c>
      <c r="K211" s="2">
        <v>680</v>
      </c>
      <c r="L211" s="2" t="s">
        <v>24</v>
      </c>
      <c r="M211" s="2" t="s">
        <v>80</v>
      </c>
      <c r="N211" s="2" t="s">
        <v>18</v>
      </c>
      <c r="O211">
        <v>8</v>
      </c>
      <c r="R211">
        <f t="shared" si="35"/>
        <v>9.4</v>
      </c>
      <c r="S211">
        <f t="shared" si="36"/>
        <v>9.4</v>
      </c>
      <c r="U211" t="b">
        <v>1</v>
      </c>
      <c r="W211" t="str">
        <f t="shared" si="37"/>
        <v>EVEN</v>
      </c>
      <c r="Y211">
        <f t="shared" si="38"/>
        <v>286</v>
      </c>
      <c r="AB211" t="str">
        <f t="shared" si="39"/>
        <v>Good_user</v>
      </c>
      <c r="AE211" t="b">
        <f t="shared" si="40"/>
        <v>0</v>
      </c>
      <c r="AG211" t="b">
        <f t="shared" si="41"/>
        <v>0</v>
      </c>
      <c r="AI211" t="str">
        <f>IF(AND(Dataset!G211 &gt;5000,Dataset!H211&gt;7000),"ACTIVE_CONSUMER","INACTIVE_CONSUMER")</f>
        <v>INACTIVE_CONSUMER</v>
      </c>
      <c r="AN211" t="str">
        <f t="shared" si="42"/>
        <v>Not_eligible</v>
      </c>
      <c r="AQ211" t="str">
        <f>IF(AND(E211="M",F211="checking",Dataset!G211&gt;2000,Dataset!K211&gt;500),"good_client","bad_client")</f>
        <v>bad_client</v>
      </c>
      <c r="AT211" t="s">
        <v>482</v>
      </c>
      <c r="AU211" t="str">
        <f>IF(AND(Dataset!F211="Savings",Dataset!AT211="eligible"),"YES","NO")</f>
        <v>NO</v>
      </c>
      <c r="AW211" s="8"/>
      <c r="AX211" s="12" t="s">
        <v>487</v>
      </c>
      <c r="AY211" s="8" t="s">
        <v>489</v>
      </c>
      <c r="AZ211" s="8"/>
      <c r="BD211" t="str">
        <f t="shared" si="43"/>
        <v>yes</v>
      </c>
    </row>
    <row r="212" spans="1:56" x14ac:dyDescent="0.3">
      <c r="A212">
        <f t="shared" si="34"/>
        <v>211</v>
      </c>
      <c r="B212" s="3" t="s">
        <v>252</v>
      </c>
      <c r="C212" s="3" t="s">
        <v>251</v>
      </c>
      <c r="D212" s="2">
        <v>31</v>
      </c>
      <c r="E212" s="2" t="s">
        <v>21</v>
      </c>
      <c r="F212" s="2" t="s">
        <v>15</v>
      </c>
      <c r="G212" s="2">
        <v>4000</v>
      </c>
      <c r="H212" s="2">
        <v>55000</v>
      </c>
      <c r="I212" s="2" t="s">
        <v>16</v>
      </c>
      <c r="J212" s="2">
        <v>0</v>
      </c>
      <c r="K212" s="2">
        <v>690</v>
      </c>
      <c r="L212" s="2" t="s">
        <v>28</v>
      </c>
      <c r="M212" s="2" t="s">
        <v>81</v>
      </c>
      <c r="N212" s="2" t="s">
        <v>25</v>
      </c>
      <c r="O212">
        <v>4</v>
      </c>
      <c r="R212" t="e">
        <f t="shared" si="35"/>
        <v>#DIV/0!</v>
      </c>
      <c r="S212" t="str">
        <f t="shared" si="36"/>
        <v>DIVISION ERROR</v>
      </c>
      <c r="U212" t="b">
        <v>0</v>
      </c>
      <c r="W212" t="str">
        <f t="shared" si="37"/>
        <v>ODD</v>
      </c>
      <c r="Y212">
        <f t="shared" si="38"/>
        <v>223.5</v>
      </c>
      <c r="AB212" t="str">
        <f t="shared" si="39"/>
        <v>Bad_user</v>
      </c>
      <c r="AE212" t="b">
        <f t="shared" si="40"/>
        <v>1</v>
      </c>
      <c r="AG212" t="b">
        <f t="shared" si="41"/>
        <v>0</v>
      </c>
      <c r="AI212" t="str">
        <f>IF(AND(Dataset!G212 &gt;5000,Dataset!H212&gt;7000),"ACTIVE_CONSUMER","INACTIVE_CONSUMER")</f>
        <v>INACTIVE_CONSUMER</v>
      </c>
      <c r="AN212" t="str">
        <f t="shared" si="42"/>
        <v>Not_eligible</v>
      </c>
      <c r="AQ212" t="str">
        <f>IF(AND(E212="M",F212="checking",Dataset!G212&gt;2000,Dataset!K212&gt;500),"good_client","bad_client")</f>
        <v>bad_client</v>
      </c>
      <c r="AT212" t="s">
        <v>482</v>
      </c>
      <c r="AU212" t="str">
        <f>IF(AND(Dataset!F212="Savings",Dataset!AT212="eligible"),"YES","NO")</f>
        <v>NO</v>
      </c>
      <c r="AW212" s="8"/>
      <c r="AX212" s="12" t="s">
        <v>487</v>
      </c>
      <c r="AY212" s="8" t="s">
        <v>490</v>
      </c>
      <c r="AZ212" s="8"/>
      <c r="BD212" t="str">
        <f t="shared" si="43"/>
        <v>yes</v>
      </c>
    </row>
    <row r="213" spans="1:56" x14ac:dyDescent="0.3">
      <c r="A213">
        <f t="shared" si="34"/>
        <v>212</v>
      </c>
      <c r="B213" s="3" t="s">
        <v>132</v>
      </c>
      <c r="C213" s="3" t="s">
        <v>53</v>
      </c>
      <c r="D213" s="2">
        <v>44</v>
      </c>
      <c r="E213" s="2" t="s">
        <v>14</v>
      </c>
      <c r="F213" s="2" t="s">
        <v>22</v>
      </c>
      <c r="G213" s="2">
        <v>6000</v>
      </c>
      <c r="H213" s="2">
        <v>62000</v>
      </c>
      <c r="I213" s="2" t="s">
        <v>23</v>
      </c>
      <c r="J213" s="2">
        <v>10000</v>
      </c>
      <c r="K213" s="2">
        <v>700</v>
      </c>
      <c r="L213" s="2" t="s">
        <v>31</v>
      </c>
      <c r="M213" s="2" t="s">
        <v>81</v>
      </c>
      <c r="N213" s="2" t="s">
        <v>18</v>
      </c>
      <c r="O213">
        <v>13</v>
      </c>
      <c r="R213">
        <f t="shared" si="35"/>
        <v>6.2</v>
      </c>
      <c r="S213">
        <f t="shared" si="36"/>
        <v>6.2</v>
      </c>
      <c r="U213" t="b">
        <v>1</v>
      </c>
      <c r="W213" t="str">
        <f t="shared" si="37"/>
        <v>EVEN</v>
      </c>
      <c r="Y213">
        <f t="shared" si="38"/>
        <v>170</v>
      </c>
      <c r="AB213" t="str">
        <f t="shared" si="39"/>
        <v>Good_user</v>
      </c>
      <c r="AE213" t="b">
        <f t="shared" si="40"/>
        <v>0</v>
      </c>
      <c r="AG213" t="b">
        <f t="shared" si="41"/>
        <v>0</v>
      </c>
      <c r="AI213" t="str">
        <f>IF(AND(Dataset!G213 &gt;5000,Dataset!H213&gt;7000),"ACTIVE_CONSUMER","INACTIVE_CONSUMER")</f>
        <v>ACTIVE_CONSUMER</v>
      </c>
      <c r="AN213" t="str">
        <f t="shared" si="42"/>
        <v>Not_eligible</v>
      </c>
      <c r="AQ213" t="str">
        <f>IF(AND(E213="M",F213="checking",Dataset!G213&gt;2000,Dataset!K213&gt;500),"good_client","bad_client")</f>
        <v>bad_client</v>
      </c>
      <c r="AT213" t="s">
        <v>482</v>
      </c>
      <c r="AU213" t="str">
        <f>IF(AND(Dataset!F213="Savings",Dataset!AT213="eligible"),"YES","NO")</f>
        <v>NO</v>
      </c>
      <c r="AW213" s="8"/>
      <c r="AX213" s="12" t="s">
        <v>487</v>
      </c>
      <c r="AY213" s="8" t="s">
        <v>489</v>
      </c>
      <c r="AZ213" s="8"/>
      <c r="BD213" t="str">
        <f t="shared" si="43"/>
        <v>yes</v>
      </c>
    </row>
    <row r="214" spans="1:56" x14ac:dyDescent="0.3">
      <c r="A214">
        <f t="shared" si="34"/>
        <v>213</v>
      </c>
      <c r="B214" s="3" t="s">
        <v>280</v>
      </c>
      <c r="C214" s="3" t="s">
        <v>151</v>
      </c>
      <c r="D214" s="2">
        <v>39</v>
      </c>
      <c r="E214" s="2" t="s">
        <v>21</v>
      </c>
      <c r="F214" s="2" t="s">
        <v>15</v>
      </c>
      <c r="G214" s="2">
        <v>9000</v>
      </c>
      <c r="H214" s="2">
        <v>67000</v>
      </c>
      <c r="I214" s="2" t="s">
        <v>16</v>
      </c>
      <c r="J214" s="2">
        <v>0</v>
      </c>
      <c r="K214" s="2">
        <v>720</v>
      </c>
      <c r="L214" s="2" t="s">
        <v>17</v>
      </c>
      <c r="M214" s="2" t="s">
        <v>81</v>
      </c>
      <c r="N214" s="2" t="s">
        <v>25</v>
      </c>
      <c r="O214">
        <v>7</v>
      </c>
      <c r="R214" t="e">
        <f t="shared" si="35"/>
        <v>#DIV/0!</v>
      </c>
      <c r="S214" t="str">
        <f t="shared" si="36"/>
        <v>DIVISION ERROR</v>
      </c>
      <c r="U214" t="b">
        <v>0</v>
      </c>
      <c r="W214" t="str">
        <f t="shared" si="37"/>
        <v>ODD</v>
      </c>
      <c r="Y214">
        <f t="shared" si="38"/>
        <v>60</v>
      </c>
      <c r="AB214" t="str">
        <f t="shared" si="39"/>
        <v>Bad_user</v>
      </c>
      <c r="AE214" t="b">
        <f t="shared" si="40"/>
        <v>1</v>
      </c>
      <c r="AG214" t="b">
        <f t="shared" si="41"/>
        <v>0</v>
      </c>
      <c r="AI214" t="str">
        <f>IF(AND(Dataset!G214 &gt;5000,Dataset!H214&gt;7000),"ACTIVE_CONSUMER","INACTIVE_CONSUMER")</f>
        <v>ACTIVE_CONSUMER</v>
      </c>
      <c r="AN214" t="str">
        <f t="shared" si="42"/>
        <v>Not_eligible</v>
      </c>
      <c r="AQ214" t="str">
        <f>IF(AND(E214="M",F214="checking",Dataset!G214&gt;2000,Dataset!K214&gt;500),"good_client","bad_client")</f>
        <v>bad_client</v>
      </c>
      <c r="AT214" t="s">
        <v>482</v>
      </c>
      <c r="AU214" t="str">
        <f>IF(AND(Dataset!F214="Savings",Dataset!AT214="eligible"),"YES","NO")</f>
        <v>NO</v>
      </c>
      <c r="AW214" s="8"/>
      <c r="AX214" s="12" t="s">
        <v>487</v>
      </c>
      <c r="AY214" s="8" t="s">
        <v>490</v>
      </c>
      <c r="AZ214" s="8"/>
      <c r="BD214" t="str">
        <f t="shared" si="43"/>
        <v>yes</v>
      </c>
    </row>
    <row r="215" spans="1:56" x14ac:dyDescent="0.3">
      <c r="A215">
        <f t="shared" si="34"/>
        <v>214</v>
      </c>
      <c r="B215" s="3" t="s">
        <v>256</v>
      </c>
      <c r="C215" s="3" t="s">
        <v>237</v>
      </c>
      <c r="D215" s="2">
        <v>27</v>
      </c>
      <c r="E215" s="2" t="s">
        <v>14</v>
      </c>
      <c r="F215" s="2" t="s">
        <v>22</v>
      </c>
      <c r="G215" s="2">
        <v>2500</v>
      </c>
      <c r="H215" s="2">
        <v>49000</v>
      </c>
      <c r="I215" s="2" t="s">
        <v>23</v>
      </c>
      <c r="J215" s="2">
        <v>7000</v>
      </c>
      <c r="K215" s="2">
        <v>680</v>
      </c>
      <c r="L215" s="2" t="s">
        <v>24</v>
      </c>
      <c r="M215" s="2" t="s">
        <v>82</v>
      </c>
      <c r="N215" s="2" t="s">
        <v>18</v>
      </c>
      <c r="O215">
        <v>4</v>
      </c>
      <c r="R215">
        <f t="shared" si="35"/>
        <v>7</v>
      </c>
      <c r="S215">
        <f t="shared" si="36"/>
        <v>7</v>
      </c>
      <c r="U215" t="b">
        <v>1</v>
      </c>
      <c r="W215" t="str">
        <f t="shared" si="37"/>
        <v>ODD</v>
      </c>
      <c r="Y215">
        <f t="shared" si="38"/>
        <v>286</v>
      </c>
      <c r="AB215" t="str">
        <f t="shared" si="39"/>
        <v>Good_user</v>
      </c>
      <c r="AE215" t="b">
        <f t="shared" si="40"/>
        <v>0</v>
      </c>
      <c r="AG215" t="b">
        <f t="shared" si="41"/>
        <v>0</v>
      </c>
      <c r="AI215" t="str">
        <f>IF(AND(Dataset!G215 &gt;5000,Dataset!H215&gt;7000),"ACTIVE_CONSUMER","INACTIVE_CONSUMER")</f>
        <v>INACTIVE_CONSUMER</v>
      </c>
      <c r="AN215" t="str">
        <f t="shared" si="42"/>
        <v>Not_eligible</v>
      </c>
      <c r="AQ215" t="str">
        <f>IF(AND(E215="M",F215="checking",Dataset!G215&gt;2000,Dataset!K215&gt;500),"good_client","bad_client")</f>
        <v>bad_client</v>
      </c>
      <c r="AT215" t="s">
        <v>482</v>
      </c>
      <c r="AU215" t="str">
        <f>IF(AND(Dataset!F215="Savings",Dataset!AT215="eligible"),"YES","NO")</f>
        <v>NO</v>
      </c>
      <c r="AW215" s="8"/>
      <c r="AX215" s="12" t="s">
        <v>486</v>
      </c>
      <c r="AY215" s="8" t="s">
        <v>489</v>
      </c>
      <c r="AZ215" s="8"/>
      <c r="BD215" t="str">
        <f t="shared" si="43"/>
        <v>yes</v>
      </c>
    </row>
    <row r="216" spans="1:56" x14ac:dyDescent="0.3">
      <c r="A216">
        <f t="shared" ref="A216:A279" si="44">ROW()-1</f>
        <v>215</v>
      </c>
      <c r="B216" s="3" t="s">
        <v>281</v>
      </c>
      <c r="C216" s="3" t="s">
        <v>157</v>
      </c>
      <c r="D216" s="2">
        <v>40</v>
      </c>
      <c r="E216" s="2" t="s">
        <v>21</v>
      </c>
      <c r="F216" s="2" t="s">
        <v>15</v>
      </c>
      <c r="G216" s="2">
        <v>7000</v>
      </c>
      <c r="H216" s="2">
        <v>71000</v>
      </c>
      <c r="I216" s="2" t="s">
        <v>16</v>
      </c>
      <c r="J216" s="2">
        <v>0</v>
      </c>
      <c r="K216" s="2">
        <v>710</v>
      </c>
      <c r="L216" s="2" t="s">
        <v>28</v>
      </c>
      <c r="M216" s="2" t="s">
        <v>82</v>
      </c>
      <c r="N216" s="2" t="s">
        <v>25</v>
      </c>
      <c r="O216">
        <v>14</v>
      </c>
      <c r="R216" t="e">
        <f t="shared" si="35"/>
        <v>#DIV/0!</v>
      </c>
      <c r="S216" t="str">
        <f t="shared" si="36"/>
        <v>DIVISION ERROR</v>
      </c>
      <c r="U216" t="b">
        <v>0</v>
      </c>
      <c r="W216" t="str">
        <f t="shared" si="37"/>
        <v>EVEN</v>
      </c>
      <c r="Y216">
        <f t="shared" si="38"/>
        <v>120.5</v>
      </c>
      <c r="AB216" t="str">
        <f t="shared" si="39"/>
        <v>Bad_user</v>
      </c>
      <c r="AE216" t="b">
        <f t="shared" si="40"/>
        <v>1</v>
      </c>
      <c r="AG216" t="b">
        <f t="shared" si="41"/>
        <v>0</v>
      </c>
      <c r="AI216" t="str">
        <f>IF(AND(Dataset!G216 &gt;5000,Dataset!H216&gt;7000),"ACTIVE_CONSUMER","INACTIVE_CONSUMER")</f>
        <v>ACTIVE_CONSUMER</v>
      </c>
      <c r="AN216" t="str">
        <f t="shared" si="42"/>
        <v>Not_eligible</v>
      </c>
      <c r="AQ216" t="str">
        <f>IF(AND(E216="M",F216="checking",Dataset!G216&gt;2000,Dataset!K216&gt;500),"good_client","bad_client")</f>
        <v>bad_client</v>
      </c>
      <c r="AT216" t="s">
        <v>482</v>
      </c>
      <c r="AU216" t="str">
        <f>IF(AND(Dataset!F216="Savings",Dataset!AT216="eligible"),"YES","NO")</f>
        <v>NO</v>
      </c>
      <c r="AW216" s="8"/>
      <c r="AX216" s="12" t="s">
        <v>486</v>
      </c>
      <c r="AY216" s="8" t="s">
        <v>490</v>
      </c>
      <c r="AZ216" s="8"/>
      <c r="BD216" t="str">
        <f t="shared" si="43"/>
        <v>yes</v>
      </c>
    </row>
    <row r="217" spans="1:56" x14ac:dyDescent="0.3">
      <c r="A217">
        <f t="shared" si="44"/>
        <v>216</v>
      </c>
      <c r="B217" s="3" t="s">
        <v>282</v>
      </c>
      <c r="C217" s="3" t="s">
        <v>179</v>
      </c>
      <c r="D217" s="2">
        <v>34</v>
      </c>
      <c r="E217" s="2" t="s">
        <v>14</v>
      </c>
      <c r="F217" s="2" t="s">
        <v>22</v>
      </c>
      <c r="G217" s="2">
        <v>15000</v>
      </c>
      <c r="H217" s="2">
        <v>73000</v>
      </c>
      <c r="I217" s="2" t="s">
        <v>23</v>
      </c>
      <c r="J217" s="2">
        <v>13000</v>
      </c>
      <c r="K217" s="2">
        <v>720</v>
      </c>
      <c r="L217" s="2" t="s">
        <v>31</v>
      </c>
      <c r="M217" s="2" t="s">
        <v>82</v>
      </c>
      <c r="N217" s="2" t="s">
        <v>18</v>
      </c>
      <c r="O217">
        <v>5</v>
      </c>
      <c r="R217">
        <f t="shared" si="35"/>
        <v>5.615384615384615</v>
      </c>
      <c r="S217">
        <f t="shared" si="36"/>
        <v>5.615384615384615</v>
      </c>
      <c r="U217" t="b">
        <v>1</v>
      </c>
      <c r="W217" t="str">
        <f t="shared" si="37"/>
        <v>EVEN</v>
      </c>
      <c r="Y217">
        <f t="shared" si="38"/>
        <v>60</v>
      </c>
      <c r="AB217" t="str">
        <f t="shared" si="39"/>
        <v>Good_user</v>
      </c>
      <c r="AE217" t="b">
        <f t="shared" si="40"/>
        <v>0</v>
      </c>
      <c r="AG217" t="b">
        <f t="shared" si="41"/>
        <v>0</v>
      </c>
      <c r="AI217" t="str">
        <f>IF(AND(Dataset!G217 &gt;5000,Dataset!H217&gt;7000),"ACTIVE_CONSUMER","INACTIVE_CONSUMER")</f>
        <v>ACTIVE_CONSUMER</v>
      </c>
      <c r="AN217" t="str">
        <f t="shared" si="42"/>
        <v>Not_eligible</v>
      </c>
      <c r="AQ217" t="str">
        <f>IF(AND(E217="M",F217="checking",Dataset!G217&gt;2000,Dataset!K217&gt;500),"good_client","bad_client")</f>
        <v>bad_client</v>
      </c>
      <c r="AT217" t="s">
        <v>482</v>
      </c>
      <c r="AU217" t="str">
        <f>IF(AND(Dataset!F217="Savings",Dataset!AT217="eligible"),"YES","NO")</f>
        <v>NO</v>
      </c>
      <c r="AW217" s="8"/>
      <c r="AX217" s="12" t="s">
        <v>486</v>
      </c>
      <c r="AY217" s="8" t="s">
        <v>489</v>
      </c>
      <c r="AZ217" s="8"/>
      <c r="BD217" t="str">
        <f t="shared" si="43"/>
        <v>yes</v>
      </c>
    </row>
    <row r="218" spans="1:56" x14ac:dyDescent="0.3">
      <c r="A218">
        <f t="shared" si="44"/>
        <v>217</v>
      </c>
      <c r="B218" s="3" t="s">
        <v>219</v>
      </c>
      <c r="C218" s="3" t="s">
        <v>165</v>
      </c>
      <c r="D218" s="2">
        <v>29</v>
      </c>
      <c r="E218" s="2" t="s">
        <v>21</v>
      </c>
      <c r="F218" s="2" t="s">
        <v>15</v>
      </c>
      <c r="G218" s="2">
        <v>2500</v>
      </c>
      <c r="H218" s="2">
        <v>47000</v>
      </c>
      <c r="I218" s="2" t="s">
        <v>16</v>
      </c>
      <c r="J218" s="2">
        <v>0</v>
      </c>
      <c r="K218" s="2">
        <v>680</v>
      </c>
      <c r="L218" s="2" t="s">
        <v>17</v>
      </c>
      <c r="M218" s="2" t="s">
        <v>80</v>
      </c>
      <c r="N218" s="2" t="s">
        <v>25</v>
      </c>
      <c r="O218">
        <v>10</v>
      </c>
      <c r="R218" t="e">
        <f t="shared" si="35"/>
        <v>#DIV/0!</v>
      </c>
      <c r="S218" t="str">
        <f t="shared" si="36"/>
        <v>DIVISION ERROR</v>
      </c>
      <c r="U218" t="b">
        <v>0</v>
      </c>
      <c r="W218" t="str">
        <f t="shared" si="37"/>
        <v>ODD</v>
      </c>
      <c r="Y218">
        <f t="shared" si="38"/>
        <v>286</v>
      </c>
      <c r="AB218" t="str">
        <f t="shared" si="39"/>
        <v>Bad_user</v>
      </c>
      <c r="AE218" t="b">
        <f t="shared" si="40"/>
        <v>1</v>
      </c>
      <c r="AG218" t="b">
        <f t="shared" si="41"/>
        <v>0</v>
      </c>
      <c r="AI218" t="str">
        <f>IF(AND(Dataset!G218 &gt;5000,Dataset!H218&gt;7000),"ACTIVE_CONSUMER","INACTIVE_CONSUMER")</f>
        <v>INACTIVE_CONSUMER</v>
      </c>
      <c r="AN218" t="str">
        <f t="shared" si="42"/>
        <v>Not_eligible</v>
      </c>
      <c r="AQ218" t="str">
        <f>IF(AND(E218="M",F218="checking",Dataset!G218&gt;2000,Dataset!K218&gt;500),"good_client","bad_client")</f>
        <v>bad_client</v>
      </c>
      <c r="AT218" t="s">
        <v>482</v>
      </c>
      <c r="AU218" t="str">
        <f>IF(AND(Dataset!F218="Savings",Dataset!AT218="eligible"),"YES","NO")</f>
        <v>NO</v>
      </c>
      <c r="AW218" s="8"/>
      <c r="AX218" s="12" t="s">
        <v>487</v>
      </c>
      <c r="AY218" s="8" t="s">
        <v>490</v>
      </c>
      <c r="AZ218" s="8"/>
      <c r="BD218" t="str">
        <f t="shared" si="43"/>
        <v>yes</v>
      </c>
    </row>
    <row r="219" spans="1:56" x14ac:dyDescent="0.3">
      <c r="A219">
        <f t="shared" si="44"/>
        <v>218</v>
      </c>
      <c r="B219" s="3" t="s">
        <v>162</v>
      </c>
      <c r="C219" s="3" t="s">
        <v>196</v>
      </c>
      <c r="D219" s="2">
        <v>31</v>
      </c>
      <c r="E219" s="2" t="s">
        <v>14</v>
      </c>
      <c r="F219" s="2" t="s">
        <v>22</v>
      </c>
      <c r="G219" s="2">
        <v>5000</v>
      </c>
      <c r="H219" s="2">
        <v>53000</v>
      </c>
      <c r="I219" s="2" t="s">
        <v>23</v>
      </c>
      <c r="J219" s="2">
        <v>8000</v>
      </c>
      <c r="K219" s="2">
        <v>690</v>
      </c>
      <c r="L219" s="2" t="s">
        <v>24</v>
      </c>
      <c r="M219" s="2" t="s">
        <v>80</v>
      </c>
      <c r="N219" s="2" t="s">
        <v>18</v>
      </c>
      <c r="O219">
        <v>10</v>
      </c>
      <c r="R219">
        <f t="shared" si="35"/>
        <v>6.625</v>
      </c>
      <c r="S219">
        <f t="shared" si="36"/>
        <v>6.625</v>
      </c>
      <c r="U219" t="b">
        <v>1</v>
      </c>
      <c r="W219" t="str">
        <f t="shared" si="37"/>
        <v>ODD</v>
      </c>
      <c r="Y219">
        <f t="shared" si="38"/>
        <v>223.5</v>
      </c>
      <c r="AB219" t="str">
        <f t="shared" si="39"/>
        <v>Good_user</v>
      </c>
      <c r="AE219" t="b">
        <f t="shared" si="40"/>
        <v>0</v>
      </c>
      <c r="AG219" t="b">
        <f t="shared" si="41"/>
        <v>0</v>
      </c>
      <c r="AI219" t="str">
        <f>IF(AND(Dataset!G219 &gt;5000,Dataset!H219&gt;7000),"ACTIVE_CONSUMER","INACTIVE_CONSUMER")</f>
        <v>INACTIVE_CONSUMER</v>
      </c>
      <c r="AN219" t="str">
        <f t="shared" si="42"/>
        <v>Not_eligible</v>
      </c>
      <c r="AQ219" t="str">
        <f>IF(AND(E219="M",F219="checking",Dataset!G219&gt;2000,Dataset!K219&gt;500),"good_client","bad_client")</f>
        <v>bad_client</v>
      </c>
      <c r="AT219" t="s">
        <v>482</v>
      </c>
      <c r="AU219" t="str">
        <f>IF(AND(Dataset!F219="Savings",Dataset!AT219="eligible"),"YES","NO")</f>
        <v>NO</v>
      </c>
      <c r="AW219" s="8"/>
      <c r="AX219" s="12" t="s">
        <v>487</v>
      </c>
      <c r="AY219" s="8" t="s">
        <v>489</v>
      </c>
      <c r="AZ219" s="8"/>
      <c r="BD219" t="str">
        <f t="shared" si="43"/>
        <v>yes</v>
      </c>
    </row>
    <row r="220" spans="1:56" x14ac:dyDescent="0.3">
      <c r="A220">
        <f t="shared" si="44"/>
        <v>219</v>
      </c>
      <c r="B220" s="3" t="s">
        <v>168</v>
      </c>
      <c r="C220" s="3" t="s">
        <v>151</v>
      </c>
      <c r="D220" s="2">
        <v>42</v>
      </c>
      <c r="E220" s="2" t="s">
        <v>21</v>
      </c>
      <c r="F220" s="2" t="s">
        <v>15</v>
      </c>
      <c r="G220" s="2">
        <v>6000</v>
      </c>
      <c r="H220" s="2">
        <v>69000</v>
      </c>
      <c r="I220" s="2" t="s">
        <v>16</v>
      </c>
      <c r="J220" s="2">
        <v>0</v>
      </c>
      <c r="K220" s="2">
        <v>720</v>
      </c>
      <c r="L220" s="2" t="s">
        <v>28</v>
      </c>
      <c r="M220" s="2" t="s">
        <v>80</v>
      </c>
      <c r="N220" s="2" t="s">
        <v>25</v>
      </c>
      <c r="O220">
        <v>7</v>
      </c>
      <c r="R220" t="e">
        <f t="shared" si="35"/>
        <v>#DIV/0!</v>
      </c>
      <c r="S220" t="str">
        <f t="shared" si="36"/>
        <v>DIVISION ERROR</v>
      </c>
      <c r="U220" t="b">
        <v>0</v>
      </c>
      <c r="W220" t="str">
        <f t="shared" si="37"/>
        <v>EVEN</v>
      </c>
      <c r="Y220">
        <f t="shared" si="38"/>
        <v>60</v>
      </c>
      <c r="AB220" t="str">
        <f t="shared" si="39"/>
        <v>Bad_user</v>
      </c>
      <c r="AE220" t="b">
        <f t="shared" si="40"/>
        <v>1</v>
      </c>
      <c r="AG220" t="b">
        <f t="shared" si="41"/>
        <v>0</v>
      </c>
      <c r="AI220" t="str">
        <f>IF(AND(Dataset!G220 &gt;5000,Dataset!H220&gt;7000),"ACTIVE_CONSUMER","INACTIVE_CONSUMER")</f>
        <v>ACTIVE_CONSUMER</v>
      </c>
      <c r="AN220" t="str">
        <f t="shared" si="42"/>
        <v>Not_eligible</v>
      </c>
      <c r="AQ220" t="str">
        <f>IF(AND(E220="M",F220="checking",Dataset!G220&gt;2000,Dataset!K220&gt;500),"good_client","bad_client")</f>
        <v>bad_client</v>
      </c>
      <c r="AT220" t="s">
        <v>482</v>
      </c>
      <c r="AU220" t="str">
        <f>IF(AND(Dataset!F220="Savings",Dataset!AT220="eligible"),"YES","NO")</f>
        <v>NO</v>
      </c>
      <c r="AW220" s="8"/>
      <c r="AX220" s="12" t="s">
        <v>487</v>
      </c>
      <c r="AY220" s="8" t="s">
        <v>490</v>
      </c>
      <c r="AZ220" s="8"/>
      <c r="BD220" t="str">
        <f t="shared" si="43"/>
        <v>yes</v>
      </c>
    </row>
    <row r="221" spans="1:56" x14ac:dyDescent="0.3">
      <c r="A221">
        <f t="shared" si="44"/>
        <v>220</v>
      </c>
      <c r="B221" s="3" t="s">
        <v>77</v>
      </c>
      <c r="C221" s="3" t="s">
        <v>167</v>
      </c>
      <c r="D221" s="2">
        <v>36</v>
      </c>
      <c r="E221" s="2" t="s">
        <v>14</v>
      </c>
      <c r="F221" s="2" t="s">
        <v>22</v>
      </c>
      <c r="G221" s="2">
        <v>2000</v>
      </c>
      <c r="H221" s="2">
        <v>45000</v>
      </c>
      <c r="I221" s="2" t="s">
        <v>23</v>
      </c>
      <c r="J221" s="2">
        <v>5000</v>
      </c>
      <c r="K221" s="2">
        <v>700</v>
      </c>
      <c r="L221" s="2" t="s">
        <v>31</v>
      </c>
      <c r="M221" s="2" t="s">
        <v>80</v>
      </c>
      <c r="N221" s="2" t="s">
        <v>18</v>
      </c>
      <c r="O221">
        <v>5</v>
      </c>
      <c r="R221">
        <f t="shared" si="35"/>
        <v>9</v>
      </c>
      <c r="S221">
        <f t="shared" si="36"/>
        <v>9</v>
      </c>
      <c r="U221" t="b">
        <v>1</v>
      </c>
      <c r="W221" t="str">
        <f t="shared" si="37"/>
        <v>EVEN</v>
      </c>
      <c r="Y221">
        <f t="shared" si="38"/>
        <v>170</v>
      </c>
      <c r="AB221" t="str">
        <f t="shared" si="39"/>
        <v>Good_user</v>
      </c>
      <c r="AE221" t="b">
        <f t="shared" si="40"/>
        <v>0</v>
      </c>
      <c r="AG221" t="b">
        <f t="shared" si="41"/>
        <v>0</v>
      </c>
      <c r="AI221" t="str">
        <f>IF(AND(Dataset!G221 &gt;5000,Dataset!H221&gt;7000),"ACTIVE_CONSUMER","INACTIVE_CONSUMER")</f>
        <v>INACTIVE_CONSUMER</v>
      </c>
      <c r="AN221" t="str">
        <f t="shared" si="42"/>
        <v>Not_eligible</v>
      </c>
      <c r="AQ221" t="str">
        <f>IF(AND(E221="M",F221="checking",Dataset!G221&gt;2000,Dataset!K221&gt;500),"good_client","bad_client")</f>
        <v>bad_client</v>
      </c>
      <c r="AT221" t="s">
        <v>482</v>
      </c>
      <c r="AU221" t="str">
        <f>IF(AND(Dataset!F221="Savings",Dataset!AT221="eligible"),"YES","NO")</f>
        <v>NO</v>
      </c>
      <c r="AW221" s="8"/>
      <c r="AX221" s="12" t="s">
        <v>487</v>
      </c>
      <c r="AY221" s="8" t="s">
        <v>489</v>
      </c>
      <c r="AZ221" s="8"/>
      <c r="BD221" t="str">
        <f t="shared" si="43"/>
        <v>yes</v>
      </c>
    </row>
    <row r="222" spans="1:56" x14ac:dyDescent="0.3">
      <c r="A222">
        <f t="shared" si="44"/>
        <v>221</v>
      </c>
      <c r="B222" s="3" t="s">
        <v>283</v>
      </c>
      <c r="C222" s="3" t="s">
        <v>63</v>
      </c>
      <c r="D222" s="2">
        <v>48</v>
      </c>
      <c r="E222" s="2" t="s">
        <v>21</v>
      </c>
      <c r="F222" s="2" t="s">
        <v>15</v>
      </c>
      <c r="G222" s="2">
        <v>8000</v>
      </c>
      <c r="H222" s="2">
        <v>74000</v>
      </c>
      <c r="I222" s="2" t="s">
        <v>16</v>
      </c>
      <c r="J222" s="2">
        <v>0</v>
      </c>
      <c r="K222" s="2">
        <v>680</v>
      </c>
      <c r="L222" s="2" t="s">
        <v>17</v>
      </c>
      <c r="M222" s="2" t="s">
        <v>81</v>
      </c>
      <c r="N222" s="2" t="s">
        <v>25</v>
      </c>
      <c r="O222">
        <v>15</v>
      </c>
      <c r="R222" t="e">
        <f t="shared" si="35"/>
        <v>#DIV/0!</v>
      </c>
      <c r="S222" t="str">
        <f t="shared" si="36"/>
        <v>DIVISION ERROR</v>
      </c>
      <c r="U222" t="b">
        <v>0</v>
      </c>
      <c r="W222" t="str">
        <f t="shared" si="37"/>
        <v>EVEN</v>
      </c>
      <c r="Y222">
        <f t="shared" si="38"/>
        <v>286</v>
      </c>
      <c r="AB222" t="str">
        <f t="shared" si="39"/>
        <v>Bad_user</v>
      </c>
      <c r="AE222" t="b">
        <f t="shared" si="40"/>
        <v>1</v>
      </c>
      <c r="AG222" t="b">
        <f t="shared" si="41"/>
        <v>0</v>
      </c>
      <c r="AI222" t="str">
        <f>IF(AND(Dataset!G222 &gt;5000,Dataset!H222&gt;7000),"ACTIVE_CONSUMER","INACTIVE_CONSUMER")</f>
        <v>ACTIVE_CONSUMER</v>
      </c>
      <c r="AN222" t="str">
        <f t="shared" si="42"/>
        <v>Not_eligible</v>
      </c>
      <c r="AQ222" t="str">
        <f>IF(AND(E222="M",F222="checking",Dataset!G222&gt;2000,Dataset!K222&gt;500),"good_client","bad_client")</f>
        <v>bad_client</v>
      </c>
      <c r="AT222" t="s">
        <v>482</v>
      </c>
      <c r="AU222" t="str">
        <f>IF(AND(Dataset!F222="Savings",Dataset!AT222="eligible"),"YES","NO")</f>
        <v>NO</v>
      </c>
      <c r="AW222" s="8"/>
      <c r="AX222" s="12" t="s">
        <v>487</v>
      </c>
      <c r="AY222" s="8" t="s">
        <v>490</v>
      </c>
      <c r="AZ222" s="8"/>
      <c r="BD222" t="str">
        <f t="shared" si="43"/>
        <v>yes</v>
      </c>
    </row>
    <row r="223" spans="1:56" x14ac:dyDescent="0.3">
      <c r="A223">
        <f t="shared" si="44"/>
        <v>222</v>
      </c>
      <c r="B223" s="3" t="s">
        <v>265</v>
      </c>
      <c r="C223" s="3" t="s">
        <v>45</v>
      </c>
      <c r="D223" s="2">
        <v>33</v>
      </c>
      <c r="E223" s="2" t="s">
        <v>14</v>
      </c>
      <c r="F223" s="2" t="s">
        <v>22</v>
      </c>
      <c r="G223" s="2">
        <v>4000</v>
      </c>
      <c r="H223" s="2">
        <v>60000</v>
      </c>
      <c r="I223" s="2" t="s">
        <v>23</v>
      </c>
      <c r="J223" s="2">
        <v>8000</v>
      </c>
      <c r="K223" s="2">
        <v>720</v>
      </c>
      <c r="L223" s="2" t="s">
        <v>24</v>
      </c>
      <c r="M223" s="2" t="s">
        <v>81</v>
      </c>
      <c r="N223" s="2" t="s">
        <v>18</v>
      </c>
      <c r="O223">
        <v>4</v>
      </c>
      <c r="R223">
        <f t="shared" si="35"/>
        <v>7.5</v>
      </c>
      <c r="S223">
        <f t="shared" si="36"/>
        <v>7.5</v>
      </c>
      <c r="U223" t="b">
        <v>1</v>
      </c>
      <c r="W223" t="str">
        <f t="shared" si="37"/>
        <v>ODD</v>
      </c>
      <c r="Y223">
        <f t="shared" si="38"/>
        <v>60</v>
      </c>
      <c r="AB223" t="str">
        <f t="shared" si="39"/>
        <v>Good_user</v>
      </c>
      <c r="AE223" t="b">
        <f t="shared" si="40"/>
        <v>0</v>
      </c>
      <c r="AG223" t="b">
        <f t="shared" si="41"/>
        <v>0</v>
      </c>
      <c r="AI223" t="str">
        <f>IF(AND(Dataset!G223 &gt;5000,Dataset!H223&gt;7000),"ACTIVE_CONSUMER","INACTIVE_CONSUMER")</f>
        <v>INACTIVE_CONSUMER</v>
      </c>
      <c r="AN223" t="str">
        <f t="shared" si="42"/>
        <v>Not_eligible</v>
      </c>
      <c r="AQ223" t="str">
        <f>IF(AND(E223="M",F223="checking",Dataset!G223&gt;2000,Dataset!K223&gt;500),"good_client","bad_client")</f>
        <v>bad_client</v>
      </c>
      <c r="AT223" t="s">
        <v>482</v>
      </c>
      <c r="AU223" t="str">
        <f>IF(AND(Dataset!F223="Savings",Dataset!AT223="eligible"),"YES","NO")</f>
        <v>NO</v>
      </c>
      <c r="AW223" s="8"/>
      <c r="AX223" s="12" t="s">
        <v>487</v>
      </c>
      <c r="AY223" s="8" t="s">
        <v>489</v>
      </c>
      <c r="AZ223" s="8"/>
      <c r="BD223" t="str">
        <f t="shared" si="43"/>
        <v>yes</v>
      </c>
    </row>
    <row r="224" spans="1:56" x14ac:dyDescent="0.3">
      <c r="A224">
        <f t="shared" si="44"/>
        <v>223</v>
      </c>
      <c r="B224" s="3" t="s">
        <v>284</v>
      </c>
      <c r="C224" s="3" t="s">
        <v>38</v>
      </c>
      <c r="D224" s="2">
        <v>29</v>
      </c>
      <c r="E224" s="2" t="s">
        <v>21</v>
      </c>
      <c r="F224" s="2" t="s">
        <v>15</v>
      </c>
      <c r="G224" s="2">
        <v>3500</v>
      </c>
      <c r="H224" s="2">
        <v>55000</v>
      </c>
      <c r="I224" s="2" t="s">
        <v>16</v>
      </c>
      <c r="J224" s="2">
        <v>0</v>
      </c>
      <c r="K224" s="2">
        <v>690</v>
      </c>
      <c r="L224" s="2" t="s">
        <v>28</v>
      </c>
      <c r="M224" s="2" t="s">
        <v>81</v>
      </c>
      <c r="N224" s="2" t="s">
        <v>25</v>
      </c>
      <c r="O224">
        <v>15</v>
      </c>
      <c r="R224" t="e">
        <f t="shared" si="35"/>
        <v>#DIV/0!</v>
      </c>
      <c r="S224" t="str">
        <f t="shared" si="36"/>
        <v>DIVISION ERROR</v>
      </c>
      <c r="U224" t="b">
        <v>0</v>
      </c>
      <c r="W224" t="str">
        <f t="shared" si="37"/>
        <v>ODD</v>
      </c>
      <c r="Y224">
        <f t="shared" si="38"/>
        <v>223.5</v>
      </c>
      <c r="AB224" t="str">
        <f t="shared" si="39"/>
        <v>Bad_user</v>
      </c>
      <c r="AE224" t="b">
        <f t="shared" si="40"/>
        <v>1</v>
      </c>
      <c r="AG224" t="b">
        <f t="shared" si="41"/>
        <v>0</v>
      </c>
      <c r="AI224" t="str">
        <f>IF(AND(Dataset!G224 &gt;5000,Dataset!H224&gt;7000),"ACTIVE_CONSUMER","INACTIVE_CONSUMER")</f>
        <v>INACTIVE_CONSUMER</v>
      </c>
      <c r="AN224" t="str">
        <f t="shared" si="42"/>
        <v>Not_eligible</v>
      </c>
      <c r="AQ224" t="str">
        <f>IF(AND(E224="M",F224="checking",Dataset!G224&gt;2000,Dataset!K224&gt;500),"good_client","bad_client")</f>
        <v>bad_client</v>
      </c>
      <c r="AT224" t="s">
        <v>482</v>
      </c>
      <c r="AU224" t="str">
        <f>IF(AND(Dataset!F224="Savings",Dataset!AT224="eligible"),"YES","NO")</f>
        <v>NO</v>
      </c>
      <c r="AW224" s="8"/>
      <c r="AX224" s="12" t="s">
        <v>487</v>
      </c>
      <c r="AY224" s="8" t="s">
        <v>490</v>
      </c>
      <c r="AZ224" s="8"/>
      <c r="BD224" t="str">
        <f t="shared" si="43"/>
        <v>yes</v>
      </c>
    </row>
    <row r="225" spans="1:56" x14ac:dyDescent="0.3">
      <c r="A225">
        <f t="shared" si="44"/>
        <v>224</v>
      </c>
      <c r="B225" s="3" t="s">
        <v>285</v>
      </c>
      <c r="C225" s="3" t="s">
        <v>171</v>
      </c>
      <c r="D225" s="2">
        <v>37</v>
      </c>
      <c r="E225" s="2" t="s">
        <v>14</v>
      </c>
      <c r="F225" s="2" t="s">
        <v>15</v>
      </c>
      <c r="G225" s="2">
        <v>10000</v>
      </c>
      <c r="H225" s="2">
        <v>67000</v>
      </c>
      <c r="I225" s="2" t="s">
        <v>23</v>
      </c>
      <c r="J225" s="2">
        <v>12000</v>
      </c>
      <c r="K225" s="2">
        <v>710</v>
      </c>
      <c r="L225" s="2" t="s">
        <v>31</v>
      </c>
      <c r="M225" s="2" t="s">
        <v>81</v>
      </c>
      <c r="N225" s="2" t="s">
        <v>18</v>
      </c>
      <c r="O225">
        <v>3</v>
      </c>
      <c r="R225">
        <f t="shared" si="35"/>
        <v>5.583333333333333</v>
      </c>
      <c r="S225">
        <f t="shared" si="36"/>
        <v>5.583333333333333</v>
      </c>
      <c r="U225" t="b">
        <v>1</v>
      </c>
      <c r="W225" t="str">
        <f t="shared" si="37"/>
        <v>ODD</v>
      </c>
      <c r="Y225">
        <f t="shared" si="38"/>
        <v>120.5</v>
      </c>
      <c r="AB225" t="str">
        <f t="shared" si="39"/>
        <v>Good_user</v>
      </c>
      <c r="AE225" t="b">
        <f t="shared" si="40"/>
        <v>0</v>
      </c>
      <c r="AG225" t="b">
        <f t="shared" si="41"/>
        <v>0</v>
      </c>
      <c r="AI225" t="str">
        <f>IF(AND(Dataset!G225 &gt;5000,Dataset!H225&gt;7000),"ACTIVE_CONSUMER","INACTIVE_CONSUMER")</f>
        <v>ACTIVE_CONSUMER</v>
      </c>
      <c r="AN225" t="str">
        <f t="shared" si="42"/>
        <v>Not_eligible</v>
      </c>
      <c r="AQ225" t="str">
        <f>IF(AND(E225="M",F225="checking",Dataset!G225&gt;2000,Dataset!K225&gt;500),"good_client","bad_client")</f>
        <v>good_client</v>
      </c>
      <c r="AT225" t="s">
        <v>482</v>
      </c>
      <c r="AU225" t="str">
        <f>IF(AND(Dataset!F225="Savings",Dataset!AT225="eligible"),"YES","NO")</f>
        <v>NO</v>
      </c>
      <c r="AW225" s="8"/>
      <c r="AX225" s="12" t="s">
        <v>487</v>
      </c>
      <c r="AY225" s="8" t="s">
        <v>489</v>
      </c>
      <c r="AZ225" s="8"/>
      <c r="BD225" t="str">
        <f t="shared" si="43"/>
        <v>yes</v>
      </c>
    </row>
    <row r="226" spans="1:56" x14ac:dyDescent="0.3">
      <c r="A226">
        <f t="shared" si="44"/>
        <v>225</v>
      </c>
      <c r="B226" s="3" t="s">
        <v>286</v>
      </c>
      <c r="C226" s="3" t="s">
        <v>237</v>
      </c>
      <c r="D226" s="2">
        <v>34</v>
      </c>
      <c r="E226" s="2" t="s">
        <v>21</v>
      </c>
      <c r="F226" s="2" t="s">
        <v>15</v>
      </c>
      <c r="G226" s="2">
        <v>3000</v>
      </c>
      <c r="H226" s="2">
        <v>48000</v>
      </c>
      <c r="I226" s="2" t="s">
        <v>16</v>
      </c>
      <c r="J226" s="2">
        <v>0</v>
      </c>
      <c r="K226" s="2">
        <v>680</v>
      </c>
      <c r="L226" s="2" t="s">
        <v>17</v>
      </c>
      <c r="M226" s="2" t="s">
        <v>82</v>
      </c>
      <c r="N226" s="2" t="s">
        <v>25</v>
      </c>
      <c r="O226">
        <v>14</v>
      </c>
      <c r="R226" t="e">
        <f t="shared" si="35"/>
        <v>#DIV/0!</v>
      </c>
      <c r="S226" t="str">
        <f t="shared" si="36"/>
        <v>DIVISION ERROR</v>
      </c>
      <c r="U226" t="b">
        <v>0</v>
      </c>
      <c r="W226" t="str">
        <f t="shared" si="37"/>
        <v>EVEN</v>
      </c>
      <c r="Y226">
        <f t="shared" si="38"/>
        <v>286</v>
      </c>
      <c r="AB226" t="str">
        <f t="shared" si="39"/>
        <v>Bad_user</v>
      </c>
      <c r="AE226" t="b">
        <f t="shared" si="40"/>
        <v>1</v>
      </c>
      <c r="AG226" t="b">
        <f t="shared" si="41"/>
        <v>0</v>
      </c>
      <c r="AI226" t="str">
        <f>IF(AND(Dataset!G226 &gt;5000,Dataset!H226&gt;7000),"ACTIVE_CONSUMER","INACTIVE_CONSUMER")</f>
        <v>INACTIVE_CONSUMER</v>
      </c>
      <c r="AN226" t="str">
        <f t="shared" si="42"/>
        <v>Not_eligible</v>
      </c>
      <c r="AQ226" t="str">
        <f>IF(AND(E226="M",F226="checking",Dataset!G226&gt;2000,Dataset!K226&gt;500),"good_client","bad_client")</f>
        <v>bad_client</v>
      </c>
      <c r="AT226" t="s">
        <v>482</v>
      </c>
      <c r="AU226" t="str">
        <f>IF(AND(Dataset!F226="Savings",Dataset!AT226="eligible"),"YES","NO")</f>
        <v>NO</v>
      </c>
      <c r="AW226" s="8"/>
      <c r="AX226" s="12" t="s">
        <v>486</v>
      </c>
      <c r="AY226" s="8" t="s">
        <v>490</v>
      </c>
      <c r="AZ226" s="8"/>
      <c r="BD226" t="str">
        <f t="shared" si="43"/>
        <v>yes</v>
      </c>
    </row>
    <row r="227" spans="1:56" x14ac:dyDescent="0.3">
      <c r="A227">
        <f t="shared" si="44"/>
        <v>226</v>
      </c>
      <c r="B227" s="3" t="s">
        <v>287</v>
      </c>
      <c r="C227" s="3" t="s">
        <v>71</v>
      </c>
      <c r="D227" s="2">
        <v>45</v>
      </c>
      <c r="E227" s="2" t="s">
        <v>14</v>
      </c>
      <c r="F227" s="2" t="s">
        <v>15</v>
      </c>
      <c r="G227" s="2">
        <v>6000</v>
      </c>
      <c r="H227" s="2">
        <v>70000</v>
      </c>
      <c r="I227" s="2" t="s">
        <v>23</v>
      </c>
      <c r="J227" s="2">
        <v>15000</v>
      </c>
      <c r="K227" s="2">
        <v>690</v>
      </c>
      <c r="L227" s="2" t="s">
        <v>24</v>
      </c>
      <c r="M227" s="2" t="s">
        <v>82</v>
      </c>
      <c r="N227" s="2" t="s">
        <v>18</v>
      </c>
      <c r="O227">
        <v>8</v>
      </c>
      <c r="R227">
        <f t="shared" si="35"/>
        <v>4.666666666666667</v>
      </c>
      <c r="S227">
        <f t="shared" si="36"/>
        <v>4.666666666666667</v>
      </c>
      <c r="U227" t="b">
        <v>1</v>
      </c>
      <c r="W227" t="str">
        <f t="shared" si="37"/>
        <v>ODD</v>
      </c>
      <c r="Y227">
        <f t="shared" si="38"/>
        <v>223.5</v>
      </c>
      <c r="AB227" t="str">
        <f t="shared" si="39"/>
        <v>Good_user</v>
      </c>
      <c r="AE227" t="b">
        <f t="shared" si="40"/>
        <v>0</v>
      </c>
      <c r="AG227" t="b">
        <f t="shared" si="41"/>
        <v>0</v>
      </c>
      <c r="AI227" t="str">
        <f>IF(AND(Dataset!G227 &gt;5000,Dataset!H227&gt;7000),"ACTIVE_CONSUMER","INACTIVE_CONSUMER")</f>
        <v>ACTIVE_CONSUMER</v>
      </c>
      <c r="AN227" t="str">
        <f t="shared" si="42"/>
        <v>Not_eligible</v>
      </c>
      <c r="AQ227" t="str">
        <f>IF(AND(E227="M",F227="checking",Dataset!G227&gt;2000,Dataset!K227&gt;500),"good_client","bad_client")</f>
        <v>good_client</v>
      </c>
      <c r="AT227" t="s">
        <v>482</v>
      </c>
      <c r="AU227" t="str">
        <f>IF(AND(Dataset!F227="Savings",Dataset!AT227="eligible"),"YES","NO")</f>
        <v>NO</v>
      </c>
      <c r="AW227" s="8"/>
      <c r="AX227" s="12" t="s">
        <v>486</v>
      </c>
      <c r="AY227" s="8" t="s">
        <v>489</v>
      </c>
      <c r="AZ227" s="8"/>
      <c r="BD227" t="str">
        <f t="shared" si="43"/>
        <v>yes</v>
      </c>
    </row>
    <row r="228" spans="1:56" x14ac:dyDescent="0.3">
      <c r="A228">
        <f t="shared" si="44"/>
        <v>227</v>
      </c>
      <c r="B228" s="3" t="s">
        <v>288</v>
      </c>
      <c r="C228" s="3" t="s">
        <v>39</v>
      </c>
      <c r="D228" s="2">
        <v>28</v>
      </c>
      <c r="E228" s="2" t="s">
        <v>21</v>
      </c>
      <c r="F228" s="2" t="s">
        <v>15</v>
      </c>
      <c r="G228" s="2">
        <v>5500</v>
      </c>
      <c r="H228" s="2">
        <v>62000</v>
      </c>
      <c r="I228" s="2" t="s">
        <v>16</v>
      </c>
      <c r="J228" s="2">
        <v>0</v>
      </c>
      <c r="K228" s="2">
        <v>700</v>
      </c>
      <c r="L228" s="2" t="s">
        <v>28</v>
      </c>
      <c r="M228" s="2" t="s">
        <v>82</v>
      </c>
      <c r="N228" s="2" t="s">
        <v>25</v>
      </c>
      <c r="O228">
        <v>15</v>
      </c>
      <c r="R228" t="e">
        <f t="shared" si="35"/>
        <v>#DIV/0!</v>
      </c>
      <c r="S228" t="str">
        <f t="shared" si="36"/>
        <v>DIVISION ERROR</v>
      </c>
      <c r="U228" t="b">
        <v>0</v>
      </c>
      <c r="W228" t="str">
        <f t="shared" si="37"/>
        <v>EVEN</v>
      </c>
      <c r="Y228">
        <f t="shared" si="38"/>
        <v>170</v>
      </c>
      <c r="AB228" t="str">
        <f t="shared" si="39"/>
        <v>Bad_user</v>
      </c>
      <c r="AE228" t="b">
        <f t="shared" si="40"/>
        <v>1</v>
      </c>
      <c r="AG228" t="b">
        <f t="shared" si="41"/>
        <v>0</v>
      </c>
      <c r="AI228" t="str">
        <f>IF(AND(Dataset!G228 &gt;5000,Dataset!H228&gt;7000),"ACTIVE_CONSUMER","INACTIVE_CONSUMER")</f>
        <v>ACTIVE_CONSUMER</v>
      </c>
      <c r="AN228" t="str">
        <f t="shared" si="42"/>
        <v>Not_eligible</v>
      </c>
      <c r="AQ228" t="str">
        <f>IF(AND(E228="M",F228="checking",Dataset!G228&gt;2000,Dataset!K228&gt;500),"good_client","bad_client")</f>
        <v>bad_client</v>
      </c>
      <c r="AT228" t="s">
        <v>482</v>
      </c>
      <c r="AU228" t="str">
        <f>IF(AND(Dataset!F228="Savings",Dataset!AT228="eligible"),"YES","NO")</f>
        <v>NO</v>
      </c>
      <c r="AW228" s="8"/>
      <c r="AX228" s="12" t="s">
        <v>486</v>
      </c>
      <c r="AY228" s="8" t="s">
        <v>490</v>
      </c>
      <c r="AZ228" s="8"/>
      <c r="BD228" t="str">
        <f t="shared" si="43"/>
        <v>yes</v>
      </c>
    </row>
    <row r="229" spans="1:56" x14ac:dyDescent="0.3">
      <c r="A229">
        <f t="shared" si="44"/>
        <v>228</v>
      </c>
      <c r="B229" s="3" t="s">
        <v>200</v>
      </c>
      <c r="C229" s="3" t="s">
        <v>213</v>
      </c>
      <c r="D229" s="2">
        <v>42</v>
      </c>
      <c r="E229" s="2" t="s">
        <v>14</v>
      </c>
      <c r="F229" s="2" t="s">
        <v>22</v>
      </c>
      <c r="G229" s="2">
        <v>8000</v>
      </c>
      <c r="H229" s="2">
        <v>73000</v>
      </c>
      <c r="I229" s="2" t="s">
        <v>23</v>
      </c>
      <c r="J229" s="2">
        <v>10000</v>
      </c>
      <c r="K229" s="2">
        <v>720</v>
      </c>
      <c r="L229" s="2" t="s">
        <v>31</v>
      </c>
      <c r="M229" s="2" t="s">
        <v>82</v>
      </c>
      <c r="N229" s="2" t="s">
        <v>18</v>
      </c>
      <c r="O229">
        <v>9</v>
      </c>
      <c r="R229">
        <f t="shared" si="35"/>
        <v>7.3</v>
      </c>
      <c r="S229">
        <f t="shared" si="36"/>
        <v>7.3</v>
      </c>
      <c r="U229" t="b">
        <v>1</v>
      </c>
      <c r="W229" t="str">
        <f t="shared" si="37"/>
        <v>EVEN</v>
      </c>
      <c r="Y229">
        <f t="shared" si="38"/>
        <v>60</v>
      </c>
      <c r="AB229" t="str">
        <f t="shared" si="39"/>
        <v>Good_user</v>
      </c>
      <c r="AE229" t="b">
        <f t="shared" si="40"/>
        <v>0</v>
      </c>
      <c r="AG229" t="b">
        <f t="shared" si="41"/>
        <v>0</v>
      </c>
      <c r="AI229" t="str">
        <f>IF(AND(Dataset!G229 &gt;5000,Dataset!H229&gt;7000),"ACTIVE_CONSUMER","INACTIVE_CONSUMER")</f>
        <v>ACTIVE_CONSUMER</v>
      </c>
      <c r="AN229" t="str">
        <f t="shared" si="42"/>
        <v>Not_eligible</v>
      </c>
      <c r="AQ229" t="str">
        <f>IF(AND(E229="M",F229="checking",Dataset!G229&gt;2000,Dataset!K229&gt;500),"good_client","bad_client")</f>
        <v>bad_client</v>
      </c>
      <c r="AT229" t="s">
        <v>482</v>
      </c>
      <c r="AU229" t="str">
        <f>IF(AND(Dataset!F229="Savings",Dataset!AT229="eligible"),"YES","NO")</f>
        <v>NO</v>
      </c>
      <c r="AW229" s="8"/>
      <c r="AX229" s="12" t="s">
        <v>486</v>
      </c>
      <c r="AY229" s="8" t="s">
        <v>489</v>
      </c>
      <c r="AZ229" s="8"/>
      <c r="BD229" t="str">
        <f t="shared" si="43"/>
        <v>yes</v>
      </c>
    </row>
    <row r="230" spans="1:56" x14ac:dyDescent="0.3">
      <c r="A230">
        <f t="shared" si="44"/>
        <v>229</v>
      </c>
      <c r="B230" s="3" t="s">
        <v>289</v>
      </c>
      <c r="C230" s="3" t="s">
        <v>179</v>
      </c>
      <c r="D230" s="2">
        <v>31</v>
      </c>
      <c r="E230" s="2" t="s">
        <v>21</v>
      </c>
      <c r="F230" s="2" t="s">
        <v>15</v>
      </c>
      <c r="G230" s="2">
        <v>1500</v>
      </c>
      <c r="H230" s="2">
        <v>51000</v>
      </c>
      <c r="I230" s="2" t="s">
        <v>16</v>
      </c>
      <c r="J230" s="2">
        <v>0</v>
      </c>
      <c r="K230" s="2">
        <v>680</v>
      </c>
      <c r="L230" s="2" t="s">
        <v>17</v>
      </c>
      <c r="M230" s="2" t="s">
        <v>80</v>
      </c>
      <c r="N230" s="2" t="s">
        <v>25</v>
      </c>
      <c r="O230">
        <v>4</v>
      </c>
      <c r="R230" t="e">
        <f t="shared" si="35"/>
        <v>#DIV/0!</v>
      </c>
      <c r="S230" t="str">
        <f t="shared" si="36"/>
        <v>DIVISION ERROR</v>
      </c>
      <c r="U230" t="b">
        <v>0</v>
      </c>
      <c r="W230" t="str">
        <f t="shared" si="37"/>
        <v>ODD</v>
      </c>
      <c r="Y230">
        <f t="shared" si="38"/>
        <v>286</v>
      </c>
      <c r="AB230" t="str">
        <f t="shared" si="39"/>
        <v>Bad_user</v>
      </c>
      <c r="AE230" t="b">
        <f t="shared" si="40"/>
        <v>1</v>
      </c>
      <c r="AG230" t="b">
        <f t="shared" si="41"/>
        <v>0</v>
      </c>
      <c r="AI230" t="str">
        <f>IF(AND(Dataset!G230 &gt;5000,Dataset!H230&gt;7000),"ACTIVE_CONSUMER","INACTIVE_CONSUMER")</f>
        <v>INACTIVE_CONSUMER</v>
      </c>
      <c r="AN230" t="str">
        <f t="shared" si="42"/>
        <v>Not_eligible</v>
      </c>
      <c r="AQ230" t="str">
        <f>IF(AND(E230="M",F230="checking",Dataset!G230&gt;2000,Dataset!K230&gt;500),"good_client","bad_client")</f>
        <v>bad_client</v>
      </c>
      <c r="AT230" t="s">
        <v>482</v>
      </c>
      <c r="AU230" t="str">
        <f>IF(AND(Dataset!F230="Savings",Dataset!AT230="eligible"),"YES","NO")</f>
        <v>NO</v>
      </c>
      <c r="AW230" s="8"/>
      <c r="AX230" s="12" t="s">
        <v>487</v>
      </c>
      <c r="AY230" s="8" t="s">
        <v>490</v>
      </c>
      <c r="AZ230" s="8"/>
      <c r="BD230" t="str">
        <f t="shared" si="43"/>
        <v>yes</v>
      </c>
    </row>
    <row r="231" spans="1:56" x14ac:dyDescent="0.3">
      <c r="A231">
        <f t="shared" si="44"/>
        <v>230</v>
      </c>
      <c r="B231" s="3" t="s">
        <v>141</v>
      </c>
      <c r="C231" s="3" t="s">
        <v>163</v>
      </c>
      <c r="D231" s="2">
        <v>29</v>
      </c>
      <c r="E231" s="2" t="s">
        <v>14</v>
      </c>
      <c r="F231" s="2" t="s">
        <v>22</v>
      </c>
      <c r="G231" s="2">
        <v>5000</v>
      </c>
      <c r="H231" s="2">
        <v>53000</v>
      </c>
      <c r="I231" s="2" t="s">
        <v>23</v>
      </c>
      <c r="J231" s="2">
        <v>7000</v>
      </c>
      <c r="K231" s="2">
        <v>690</v>
      </c>
      <c r="L231" s="2" t="s">
        <v>24</v>
      </c>
      <c r="M231" s="2" t="s">
        <v>80</v>
      </c>
      <c r="N231" s="2" t="s">
        <v>18</v>
      </c>
      <c r="O231">
        <v>13</v>
      </c>
      <c r="R231">
        <f t="shared" si="35"/>
        <v>7.5714285714285712</v>
      </c>
      <c r="S231">
        <f t="shared" si="36"/>
        <v>7.5714285714285712</v>
      </c>
      <c r="U231" t="b">
        <v>1</v>
      </c>
      <c r="W231" t="str">
        <f t="shared" si="37"/>
        <v>ODD</v>
      </c>
      <c r="Y231">
        <f t="shared" si="38"/>
        <v>223.5</v>
      </c>
      <c r="AB231" t="str">
        <f t="shared" si="39"/>
        <v>Good_user</v>
      </c>
      <c r="AE231" t="b">
        <f t="shared" si="40"/>
        <v>0</v>
      </c>
      <c r="AG231" t="b">
        <f t="shared" si="41"/>
        <v>0</v>
      </c>
      <c r="AI231" t="str">
        <f>IF(AND(Dataset!G231 &gt;5000,Dataset!H231&gt;7000),"ACTIVE_CONSUMER","INACTIVE_CONSUMER")</f>
        <v>INACTIVE_CONSUMER</v>
      </c>
      <c r="AN231" t="str">
        <f t="shared" si="42"/>
        <v>Not_eligible</v>
      </c>
      <c r="AQ231" t="str">
        <f>IF(AND(E231="M",F231="checking",Dataset!G231&gt;2000,Dataset!K231&gt;500),"good_client","bad_client")</f>
        <v>bad_client</v>
      </c>
      <c r="AT231" t="s">
        <v>482</v>
      </c>
      <c r="AU231" t="str">
        <f>IF(AND(Dataset!F231="Savings",Dataset!AT231="eligible"),"YES","NO")</f>
        <v>NO</v>
      </c>
      <c r="AW231" s="8"/>
      <c r="AX231" s="12" t="s">
        <v>487</v>
      </c>
      <c r="AY231" s="8" t="s">
        <v>489</v>
      </c>
      <c r="AZ231" s="8"/>
      <c r="BD231" t="str">
        <f t="shared" si="43"/>
        <v>yes</v>
      </c>
    </row>
    <row r="232" spans="1:56" x14ac:dyDescent="0.3">
      <c r="A232">
        <f t="shared" si="44"/>
        <v>231</v>
      </c>
      <c r="B232" s="3" t="s">
        <v>290</v>
      </c>
      <c r="C232" s="3" t="s">
        <v>119</v>
      </c>
      <c r="D232" s="2">
        <v>36</v>
      </c>
      <c r="E232" s="2" t="s">
        <v>21</v>
      </c>
      <c r="F232" s="2" t="s">
        <v>15</v>
      </c>
      <c r="G232" s="2">
        <v>6000</v>
      </c>
      <c r="H232" s="2">
        <v>67000</v>
      </c>
      <c r="I232" s="2" t="s">
        <v>16</v>
      </c>
      <c r="J232" s="2">
        <v>0</v>
      </c>
      <c r="K232" s="2">
        <v>710</v>
      </c>
      <c r="L232" s="2" t="s">
        <v>28</v>
      </c>
      <c r="M232" s="2" t="s">
        <v>80</v>
      </c>
      <c r="N232" s="2" t="s">
        <v>25</v>
      </c>
      <c r="O232">
        <v>5</v>
      </c>
      <c r="R232" t="e">
        <f t="shared" si="35"/>
        <v>#DIV/0!</v>
      </c>
      <c r="S232" t="str">
        <f t="shared" si="36"/>
        <v>DIVISION ERROR</v>
      </c>
      <c r="U232" t="b">
        <v>0</v>
      </c>
      <c r="W232" t="str">
        <f t="shared" si="37"/>
        <v>EVEN</v>
      </c>
      <c r="Y232">
        <f t="shared" si="38"/>
        <v>120.5</v>
      </c>
      <c r="AB232" t="str">
        <f t="shared" si="39"/>
        <v>Bad_user</v>
      </c>
      <c r="AE232" t="b">
        <f t="shared" si="40"/>
        <v>1</v>
      </c>
      <c r="AG232" t="b">
        <f t="shared" si="41"/>
        <v>0</v>
      </c>
      <c r="AI232" t="str">
        <f>IF(AND(Dataset!G232 &gt;5000,Dataset!H232&gt;7000),"ACTIVE_CONSUMER","INACTIVE_CONSUMER")</f>
        <v>ACTIVE_CONSUMER</v>
      </c>
      <c r="AN232" t="str">
        <f t="shared" si="42"/>
        <v>Not_eligible</v>
      </c>
      <c r="AQ232" t="str">
        <f>IF(AND(E232="M",F232="checking",Dataset!G232&gt;2000,Dataset!K232&gt;500),"good_client","bad_client")</f>
        <v>bad_client</v>
      </c>
      <c r="AT232" t="s">
        <v>482</v>
      </c>
      <c r="AU232" t="str">
        <f>IF(AND(Dataset!F232="Savings",Dataset!AT232="eligible"),"YES","NO")</f>
        <v>NO</v>
      </c>
      <c r="AW232" s="8"/>
      <c r="AX232" s="12" t="s">
        <v>487</v>
      </c>
      <c r="AY232" s="8" t="s">
        <v>490</v>
      </c>
      <c r="AZ232" s="8"/>
      <c r="BD232" t="str">
        <f t="shared" si="43"/>
        <v>yes</v>
      </c>
    </row>
    <row r="233" spans="1:56" x14ac:dyDescent="0.3">
      <c r="A233">
        <f t="shared" si="44"/>
        <v>232</v>
      </c>
      <c r="B233" s="3" t="s">
        <v>262</v>
      </c>
      <c r="C233" s="3" t="s">
        <v>173</v>
      </c>
      <c r="D233" s="2">
        <v>43</v>
      </c>
      <c r="E233" s="2" t="s">
        <v>14</v>
      </c>
      <c r="F233" s="2" t="s">
        <v>15</v>
      </c>
      <c r="G233" s="2">
        <v>4000</v>
      </c>
      <c r="H233" s="2">
        <v>46000</v>
      </c>
      <c r="I233" s="2" t="s">
        <v>23</v>
      </c>
      <c r="J233" s="2">
        <v>6000</v>
      </c>
      <c r="K233" s="2">
        <v>720</v>
      </c>
      <c r="L233" s="2" t="s">
        <v>31</v>
      </c>
      <c r="M233" s="2" t="s">
        <v>81</v>
      </c>
      <c r="N233" s="2" t="s">
        <v>18</v>
      </c>
      <c r="O233">
        <v>11</v>
      </c>
      <c r="R233">
        <f t="shared" si="35"/>
        <v>7.666666666666667</v>
      </c>
      <c r="S233">
        <f t="shared" si="36"/>
        <v>7.666666666666667</v>
      </c>
      <c r="U233" t="b">
        <v>1</v>
      </c>
      <c r="W233" t="str">
        <f t="shared" si="37"/>
        <v>ODD</v>
      </c>
      <c r="Y233">
        <f t="shared" si="38"/>
        <v>60</v>
      </c>
      <c r="AB233" t="str">
        <f t="shared" si="39"/>
        <v>Good_user</v>
      </c>
      <c r="AE233" t="b">
        <f t="shared" si="40"/>
        <v>0</v>
      </c>
      <c r="AG233" t="b">
        <f t="shared" si="41"/>
        <v>0</v>
      </c>
      <c r="AI233" t="str">
        <f>IF(AND(Dataset!G233 &gt;5000,Dataset!H233&gt;7000),"ACTIVE_CONSUMER","INACTIVE_CONSUMER")</f>
        <v>INACTIVE_CONSUMER</v>
      </c>
      <c r="AN233" t="str">
        <f t="shared" si="42"/>
        <v>Not_eligible</v>
      </c>
      <c r="AQ233" t="str">
        <f>IF(AND(E233="M",F233="checking",Dataset!G233&gt;2000,Dataset!K233&gt;500),"good_client","bad_client")</f>
        <v>good_client</v>
      </c>
      <c r="AT233" t="s">
        <v>482</v>
      </c>
      <c r="AU233" t="str">
        <f>IF(AND(Dataset!F233="Savings",Dataset!AT233="eligible"),"YES","NO")</f>
        <v>NO</v>
      </c>
      <c r="AW233" s="8"/>
      <c r="AX233" s="12" t="s">
        <v>487</v>
      </c>
      <c r="AY233" s="8" t="s">
        <v>489</v>
      </c>
      <c r="AZ233" s="8"/>
      <c r="BD233" t="str">
        <f t="shared" si="43"/>
        <v>yes</v>
      </c>
    </row>
    <row r="234" spans="1:56" x14ac:dyDescent="0.3">
      <c r="A234">
        <f t="shared" si="44"/>
        <v>233</v>
      </c>
      <c r="B234" s="3" t="s">
        <v>142</v>
      </c>
      <c r="C234" s="3" t="s">
        <v>220</v>
      </c>
      <c r="D234" s="2">
        <v>27</v>
      </c>
      <c r="E234" s="2" t="s">
        <v>21</v>
      </c>
      <c r="F234" s="2" t="s">
        <v>15</v>
      </c>
      <c r="G234" s="2">
        <v>2500</v>
      </c>
      <c r="H234" s="2">
        <v>47000</v>
      </c>
      <c r="I234" s="2" t="s">
        <v>16</v>
      </c>
      <c r="J234" s="2">
        <v>0</v>
      </c>
      <c r="K234" s="2">
        <v>670</v>
      </c>
      <c r="L234" s="2" t="s">
        <v>17</v>
      </c>
      <c r="M234" s="2" t="s">
        <v>81</v>
      </c>
      <c r="N234" s="2" t="s">
        <v>25</v>
      </c>
      <c r="O234">
        <v>4</v>
      </c>
      <c r="R234" t="e">
        <f t="shared" si="35"/>
        <v>#DIV/0!</v>
      </c>
      <c r="S234" t="str">
        <f t="shared" si="36"/>
        <v>DIVISION ERROR</v>
      </c>
      <c r="U234" t="b">
        <v>0</v>
      </c>
      <c r="W234" t="str">
        <f t="shared" si="37"/>
        <v>ODD</v>
      </c>
      <c r="Y234">
        <f t="shared" si="38"/>
        <v>334</v>
      </c>
      <c r="AB234" t="str">
        <f t="shared" si="39"/>
        <v>Bad_user</v>
      </c>
      <c r="AE234" t="b">
        <f t="shared" si="40"/>
        <v>1</v>
      </c>
      <c r="AG234" t="b">
        <f t="shared" si="41"/>
        <v>0</v>
      </c>
      <c r="AI234" t="str">
        <f>IF(AND(Dataset!G234 &gt;5000,Dataset!H234&gt;7000),"ACTIVE_CONSUMER","INACTIVE_CONSUMER")</f>
        <v>INACTIVE_CONSUMER</v>
      </c>
      <c r="AN234" t="str">
        <f t="shared" si="42"/>
        <v>Not_eligible</v>
      </c>
      <c r="AQ234" t="str">
        <f>IF(AND(E234="M",F234="checking",Dataset!G234&gt;2000,Dataset!K234&gt;500),"good_client","bad_client")</f>
        <v>bad_client</v>
      </c>
      <c r="AT234" t="s">
        <v>482</v>
      </c>
      <c r="AU234" t="str">
        <f>IF(AND(Dataset!F234="Savings",Dataset!AT234="eligible"),"YES","NO")</f>
        <v>NO</v>
      </c>
      <c r="AW234" s="8"/>
      <c r="AX234" s="12" t="s">
        <v>487</v>
      </c>
      <c r="AY234" s="8" t="s">
        <v>490</v>
      </c>
      <c r="AZ234" s="8"/>
      <c r="BD234" t="str">
        <f t="shared" si="43"/>
        <v>yes</v>
      </c>
    </row>
    <row r="235" spans="1:56" x14ac:dyDescent="0.3">
      <c r="A235">
        <f t="shared" si="44"/>
        <v>234</v>
      </c>
      <c r="B235" s="3" t="s">
        <v>291</v>
      </c>
      <c r="C235" s="3" t="s">
        <v>155</v>
      </c>
      <c r="D235" s="2">
        <v>39</v>
      </c>
      <c r="E235" s="2" t="s">
        <v>14</v>
      </c>
      <c r="F235" s="2" t="s">
        <v>22</v>
      </c>
      <c r="G235" s="2">
        <v>9000</v>
      </c>
      <c r="H235" s="2">
        <v>70000</v>
      </c>
      <c r="I235" s="2" t="s">
        <v>23</v>
      </c>
      <c r="J235" s="2">
        <v>12000</v>
      </c>
      <c r="K235" s="2">
        <v>700</v>
      </c>
      <c r="L235" s="2" t="s">
        <v>24</v>
      </c>
      <c r="M235" s="2" t="s">
        <v>81</v>
      </c>
      <c r="N235" s="2" t="s">
        <v>18</v>
      </c>
      <c r="O235">
        <v>14</v>
      </c>
      <c r="R235">
        <f t="shared" si="35"/>
        <v>5.833333333333333</v>
      </c>
      <c r="S235">
        <f t="shared" si="36"/>
        <v>5.833333333333333</v>
      </c>
      <c r="U235" t="b">
        <v>1</v>
      </c>
      <c r="W235" t="str">
        <f t="shared" si="37"/>
        <v>ODD</v>
      </c>
      <c r="Y235">
        <f t="shared" si="38"/>
        <v>170</v>
      </c>
      <c r="AB235" t="str">
        <f t="shared" si="39"/>
        <v>Good_user</v>
      </c>
      <c r="AE235" t="b">
        <f t="shared" si="40"/>
        <v>0</v>
      </c>
      <c r="AG235" t="b">
        <f t="shared" si="41"/>
        <v>0</v>
      </c>
      <c r="AI235" t="str">
        <f>IF(AND(Dataset!G235 &gt;5000,Dataset!H235&gt;7000),"ACTIVE_CONSUMER","INACTIVE_CONSUMER")</f>
        <v>ACTIVE_CONSUMER</v>
      </c>
      <c r="AN235" t="str">
        <f t="shared" si="42"/>
        <v>Not_eligible</v>
      </c>
      <c r="AQ235" t="str">
        <f>IF(AND(E235="M",F235="checking",Dataset!G235&gt;2000,Dataset!K235&gt;500),"good_client","bad_client")</f>
        <v>bad_client</v>
      </c>
      <c r="AT235" t="s">
        <v>482</v>
      </c>
      <c r="AU235" t="str">
        <f>IF(AND(Dataset!F235="Savings",Dataset!AT235="eligible"),"YES","NO")</f>
        <v>NO</v>
      </c>
      <c r="AW235" s="8"/>
      <c r="AX235" s="12" t="s">
        <v>487</v>
      </c>
      <c r="AY235" s="8" t="s">
        <v>489</v>
      </c>
      <c r="AZ235" s="8"/>
      <c r="BD235" t="str">
        <f t="shared" si="43"/>
        <v>yes</v>
      </c>
    </row>
    <row r="236" spans="1:56" x14ac:dyDescent="0.3">
      <c r="A236">
        <f t="shared" si="44"/>
        <v>235</v>
      </c>
      <c r="B236" s="3" t="s">
        <v>281</v>
      </c>
      <c r="C236" s="3" t="s">
        <v>153</v>
      </c>
      <c r="D236" s="2">
        <v>31</v>
      </c>
      <c r="E236" s="2" t="s">
        <v>21</v>
      </c>
      <c r="F236" s="2" t="s">
        <v>15</v>
      </c>
      <c r="G236" s="2">
        <v>5000</v>
      </c>
      <c r="H236" s="2">
        <v>56000</v>
      </c>
      <c r="I236" s="2" t="s">
        <v>16</v>
      </c>
      <c r="J236" s="2">
        <v>0</v>
      </c>
      <c r="K236" s="2">
        <v>680</v>
      </c>
      <c r="L236" s="2" t="s">
        <v>28</v>
      </c>
      <c r="M236" s="2" t="s">
        <v>82</v>
      </c>
      <c r="N236" s="2" t="s">
        <v>25</v>
      </c>
      <c r="O236">
        <v>7</v>
      </c>
      <c r="R236" t="e">
        <f t="shared" si="35"/>
        <v>#DIV/0!</v>
      </c>
      <c r="S236" t="str">
        <f t="shared" si="36"/>
        <v>DIVISION ERROR</v>
      </c>
      <c r="U236" t="b">
        <v>0</v>
      </c>
      <c r="W236" t="str">
        <f t="shared" si="37"/>
        <v>ODD</v>
      </c>
      <c r="Y236">
        <f t="shared" si="38"/>
        <v>286</v>
      </c>
      <c r="AB236" t="str">
        <f t="shared" si="39"/>
        <v>Bad_user</v>
      </c>
      <c r="AE236" t="b">
        <f t="shared" si="40"/>
        <v>1</v>
      </c>
      <c r="AG236" t="b">
        <f t="shared" si="41"/>
        <v>0</v>
      </c>
      <c r="AI236" t="str">
        <f>IF(AND(Dataset!G236 &gt;5000,Dataset!H236&gt;7000),"ACTIVE_CONSUMER","INACTIVE_CONSUMER")</f>
        <v>INACTIVE_CONSUMER</v>
      </c>
      <c r="AN236" t="str">
        <f t="shared" si="42"/>
        <v>Not_eligible</v>
      </c>
      <c r="AQ236" t="str">
        <f>IF(AND(E236="M",F236="checking",Dataset!G236&gt;2000,Dataset!K236&gt;500),"good_client","bad_client")</f>
        <v>bad_client</v>
      </c>
      <c r="AT236" t="s">
        <v>482</v>
      </c>
      <c r="AU236" t="str">
        <f>IF(AND(Dataset!F236="Savings",Dataset!AT236="eligible"),"YES","NO")</f>
        <v>NO</v>
      </c>
      <c r="AW236" s="8"/>
      <c r="AX236" s="12" t="s">
        <v>486</v>
      </c>
      <c r="AY236" s="8" t="s">
        <v>490</v>
      </c>
      <c r="AZ236" s="8"/>
      <c r="BD236" t="str">
        <f t="shared" si="43"/>
        <v>yes</v>
      </c>
    </row>
    <row r="237" spans="1:56" x14ac:dyDescent="0.3">
      <c r="A237">
        <f t="shared" si="44"/>
        <v>236</v>
      </c>
      <c r="B237" s="3" t="s">
        <v>292</v>
      </c>
      <c r="C237" s="3" t="s">
        <v>183</v>
      </c>
      <c r="D237" s="2">
        <v>28</v>
      </c>
      <c r="E237" s="2" t="s">
        <v>14</v>
      </c>
      <c r="F237" s="2" t="s">
        <v>22</v>
      </c>
      <c r="G237" s="2">
        <v>2000</v>
      </c>
      <c r="H237" s="2">
        <v>47000</v>
      </c>
      <c r="I237" s="2" t="s">
        <v>23</v>
      </c>
      <c r="J237" s="2">
        <v>5000</v>
      </c>
      <c r="K237" s="2">
        <v>690</v>
      </c>
      <c r="L237" s="2" t="s">
        <v>31</v>
      </c>
      <c r="M237" s="2" t="s">
        <v>82</v>
      </c>
      <c r="N237" s="2" t="s">
        <v>18</v>
      </c>
      <c r="O237">
        <v>6</v>
      </c>
      <c r="R237">
        <f t="shared" si="35"/>
        <v>9.4</v>
      </c>
      <c r="S237">
        <f t="shared" si="36"/>
        <v>9.4</v>
      </c>
      <c r="U237" t="b">
        <v>1</v>
      </c>
      <c r="W237" t="str">
        <f t="shared" si="37"/>
        <v>EVEN</v>
      </c>
      <c r="Y237">
        <f t="shared" si="38"/>
        <v>223.5</v>
      </c>
      <c r="AB237" t="str">
        <f t="shared" si="39"/>
        <v>Good_user</v>
      </c>
      <c r="AE237" t="b">
        <f t="shared" si="40"/>
        <v>0</v>
      </c>
      <c r="AG237" t="b">
        <f t="shared" si="41"/>
        <v>0</v>
      </c>
      <c r="AI237" t="str">
        <f>IF(AND(Dataset!G237 &gt;5000,Dataset!H237&gt;7000),"ACTIVE_CONSUMER","INACTIVE_CONSUMER")</f>
        <v>INACTIVE_CONSUMER</v>
      </c>
      <c r="AN237" t="str">
        <f t="shared" si="42"/>
        <v>Not_eligible</v>
      </c>
      <c r="AQ237" t="str">
        <f>IF(AND(E237="M",F237="checking",Dataset!G237&gt;2000,Dataset!K237&gt;500),"good_client","bad_client")</f>
        <v>bad_client</v>
      </c>
      <c r="AT237" t="s">
        <v>482</v>
      </c>
      <c r="AU237" t="str">
        <f>IF(AND(Dataset!F237="Savings",Dataset!AT237="eligible"),"YES","NO")</f>
        <v>NO</v>
      </c>
      <c r="AW237" s="8"/>
      <c r="AX237" s="12" t="s">
        <v>486</v>
      </c>
      <c r="AY237" s="8" t="s">
        <v>489</v>
      </c>
      <c r="AZ237" s="8"/>
      <c r="BD237" t="str">
        <f t="shared" si="43"/>
        <v>yes</v>
      </c>
    </row>
    <row r="238" spans="1:56" x14ac:dyDescent="0.3">
      <c r="A238">
        <f t="shared" si="44"/>
        <v>237</v>
      </c>
      <c r="B238" s="3" t="s">
        <v>148</v>
      </c>
      <c r="C238" s="3" t="s">
        <v>161</v>
      </c>
      <c r="D238" s="2">
        <v>40</v>
      </c>
      <c r="E238" s="2" t="s">
        <v>21</v>
      </c>
      <c r="F238" s="2" t="s">
        <v>15</v>
      </c>
      <c r="G238" s="2">
        <v>7000</v>
      </c>
      <c r="H238" s="2">
        <v>68000</v>
      </c>
      <c r="I238" s="2" t="s">
        <v>16</v>
      </c>
      <c r="J238" s="2">
        <v>0</v>
      </c>
      <c r="K238" s="2">
        <v>710</v>
      </c>
      <c r="L238" s="2" t="s">
        <v>17</v>
      </c>
      <c r="M238" s="2" t="s">
        <v>82</v>
      </c>
      <c r="N238" s="2" t="s">
        <v>25</v>
      </c>
      <c r="O238">
        <v>4</v>
      </c>
      <c r="R238" t="e">
        <f t="shared" si="35"/>
        <v>#DIV/0!</v>
      </c>
      <c r="S238" t="str">
        <f t="shared" si="36"/>
        <v>DIVISION ERROR</v>
      </c>
      <c r="U238" t="b">
        <v>0</v>
      </c>
      <c r="W238" t="str">
        <f t="shared" si="37"/>
        <v>EVEN</v>
      </c>
      <c r="Y238">
        <f t="shared" si="38"/>
        <v>120.5</v>
      </c>
      <c r="AB238" t="str">
        <f t="shared" si="39"/>
        <v>Bad_user</v>
      </c>
      <c r="AE238" t="b">
        <f t="shared" si="40"/>
        <v>1</v>
      </c>
      <c r="AG238" t="b">
        <f t="shared" si="41"/>
        <v>0</v>
      </c>
      <c r="AI238" t="str">
        <f>IF(AND(Dataset!G238 &gt;5000,Dataset!H238&gt;7000),"ACTIVE_CONSUMER","INACTIVE_CONSUMER")</f>
        <v>ACTIVE_CONSUMER</v>
      </c>
      <c r="AN238" t="str">
        <f t="shared" si="42"/>
        <v>Not_eligible</v>
      </c>
      <c r="AQ238" t="str">
        <f>IF(AND(E238="M",F238="checking",Dataset!G238&gt;2000,Dataset!K238&gt;500),"good_client","bad_client")</f>
        <v>bad_client</v>
      </c>
      <c r="AT238" t="s">
        <v>482</v>
      </c>
      <c r="AU238" t="str">
        <f>IF(AND(Dataset!F238="Savings",Dataset!AT238="eligible"),"YES","NO")</f>
        <v>NO</v>
      </c>
      <c r="AW238" s="8"/>
      <c r="AX238" s="12" t="s">
        <v>486</v>
      </c>
      <c r="AY238" s="8" t="s">
        <v>490</v>
      </c>
      <c r="AZ238" s="8"/>
      <c r="BD238" t="str">
        <f t="shared" si="43"/>
        <v>yes</v>
      </c>
    </row>
    <row r="239" spans="1:56" x14ac:dyDescent="0.3">
      <c r="A239">
        <f t="shared" si="44"/>
        <v>238</v>
      </c>
      <c r="B239" s="3" t="s">
        <v>293</v>
      </c>
      <c r="C239" s="3" t="s">
        <v>179</v>
      </c>
      <c r="D239" s="2">
        <v>36</v>
      </c>
      <c r="E239" s="2" t="s">
        <v>14</v>
      </c>
      <c r="F239" s="2" t="s">
        <v>22</v>
      </c>
      <c r="G239" s="2">
        <v>3000</v>
      </c>
      <c r="H239" s="2">
        <v>49000</v>
      </c>
      <c r="I239" s="2" t="s">
        <v>23</v>
      </c>
      <c r="J239" s="2">
        <v>6000</v>
      </c>
      <c r="K239" s="2">
        <v>700</v>
      </c>
      <c r="L239" s="2" t="s">
        <v>24</v>
      </c>
      <c r="M239" s="2" t="s">
        <v>80</v>
      </c>
      <c r="N239" s="2" t="s">
        <v>18</v>
      </c>
      <c r="O239">
        <v>7</v>
      </c>
      <c r="R239">
        <f t="shared" si="35"/>
        <v>8.1666666666666661</v>
      </c>
      <c r="S239">
        <f t="shared" si="36"/>
        <v>8.1666666666666661</v>
      </c>
      <c r="U239" t="b">
        <v>1</v>
      </c>
      <c r="W239" t="str">
        <f t="shared" si="37"/>
        <v>EVEN</v>
      </c>
      <c r="Y239">
        <f t="shared" si="38"/>
        <v>170</v>
      </c>
      <c r="AB239" t="str">
        <f t="shared" si="39"/>
        <v>Good_user</v>
      </c>
      <c r="AE239" t="b">
        <f t="shared" si="40"/>
        <v>0</v>
      </c>
      <c r="AG239" t="b">
        <f t="shared" si="41"/>
        <v>0</v>
      </c>
      <c r="AI239" t="str">
        <f>IF(AND(Dataset!G239 &gt;5000,Dataset!H239&gt;7000),"ACTIVE_CONSUMER","INACTIVE_CONSUMER")</f>
        <v>INACTIVE_CONSUMER</v>
      </c>
      <c r="AN239" t="str">
        <f t="shared" si="42"/>
        <v>Not_eligible</v>
      </c>
      <c r="AQ239" t="str">
        <f>IF(AND(E239="M",F239="checking",Dataset!G239&gt;2000,Dataset!K239&gt;500),"good_client","bad_client")</f>
        <v>bad_client</v>
      </c>
      <c r="AT239" t="s">
        <v>482</v>
      </c>
      <c r="AU239" t="str">
        <f>IF(AND(Dataset!F239="Savings",Dataset!AT239="eligible"),"YES","NO")</f>
        <v>NO</v>
      </c>
      <c r="AW239" s="8"/>
      <c r="AX239" s="12" t="s">
        <v>487</v>
      </c>
      <c r="AY239" s="8" t="s">
        <v>489</v>
      </c>
      <c r="AZ239" s="8"/>
      <c r="BD239" t="str">
        <f t="shared" si="43"/>
        <v>yes</v>
      </c>
    </row>
    <row r="240" spans="1:56" x14ac:dyDescent="0.3">
      <c r="A240">
        <f t="shared" si="44"/>
        <v>239</v>
      </c>
      <c r="B240" s="3" t="s">
        <v>70</v>
      </c>
      <c r="C240" s="3" t="s">
        <v>227</v>
      </c>
      <c r="D240" s="2">
        <v>29</v>
      </c>
      <c r="E240" s="2" t="s">
        <v>21</v>
      </c>
      <c r="F240" s="2" t="s">
        <v>15</v>
      </c>
      <c r="G240" s="2">
        <v>2000</v>
      </c>
      <c r="H240" s="2">
        <v>45000</v>
      </c>
      <c r="I240" s="2" t="s">
        <v>16</v>
      </c>
      <c r="J240" s="2">
        <v>0</v>
      </c>
      <c r="K240" s="2">
        <v>670</v>
      </c>
      <c r="L240" s="2" t="s">
        <v>28</v>
      </c>
      <c r="M240" s="2" t="s">
        <v>80</v>
      </c>
      <c r="N240" s="2" t="s">
        <v>25</v>
      </c>
      <c r="O240">
        <v>13</v>
      </c>
      <c r="R240" t="e">
        <f t="shared" si="35"/>
        <v>#DIV/0!</v>
      </c>
      <c r="S240" t="str">
        <f t="shared" si="36"/>
        <v>DIVISION ERROR</v>
      </c>
      <c r="U240" t="b">
        <v>0</v>
      </c>
      <c r="W240" t="str">
        <f t="shared" si="37"/>
        <v>ODD</v>
      </c>
      <c r="Y240">
        <f t="shared" si="38"/>
        <v>334</v>
      </c>
      <c r="AB240" t="str">
        <f t="shared" si="39"/>
        <v>Bad_user</v>
      </c>
      <c r="AE240" t="b">
        <f t="shared" si="40"/>
        <v>1</v>
      </c>
      <c r="AG240" t="b">
        <f t="shared" si="41"/>
        <v>0</v>
      </c>
      <c r="AI240" t="str">
        <f>IF(AND(Dataset!G240 &gt;5000,Dataset!H240&gt;7000),"ACTIVE_CONSUMER","INACTIVE_CONSUMER")</f>
        <v>INACTIVE_CONSUMER</v>
      </c>
      <c r="AN240" t="str">
        <f t="shared" si="42"/>
        <v>Not_eligible</v>
      </c>
      <c r="AQ240" t="str">
        <f>IF(AND(E240="M",F240="checking",Dataset!G240&gt;2000,Dataset!K240&gt;500),"good_client","bad_client")</f>
        <v>bad_client</v>
      </c>
      <c r="AT240" t="s">
        <v>482</v>
      </c>
      <c r="AU240" t="str">
        <f>IF(AND(Dataset!F240="Savings",Dataset!AT240="eligible"),"YES","NO")</f>
        <v>NO</v>
      </c>
      <c r="AW240" s="8"/>
      <c r="AX240" s="12" t="s">
        <v>487</v>
      </c>
      <c r="AY240" s="8" t="s">
        <v>490</v>
      </c>
      <c r="AZ240" s="8"/>
      <c r="BD240" t="str">
        <f t="shared" si="43"/>
        <v>yes</v>
      </c>
    </row>
    <row r="241" spans="1:56" x14ac:dyDescent="0.3">
      <c r="A241">
        <f t="shared" si="44"/>
        <v>240</v>
      </c>
      <c r="B241" s="3" t="s">
        <v>294</v>
      </c>
      <c r="C241" s="3" t="s">
        <v>208</v>
      </c>
      <c r="D241" s="2">
        <v>38</v>
      </c>
      <c r="E241" s="2" t="s">
        <v>14</v>
      </c>
      <c r="F241" s="2" t="s">
        <v>22</v>
      </c>
      <c r="G241" s="2">
        <v>6000</v>
      </c>
      <c r="H241" s="2">
        <v>71000</v>
      </c>
      <c r="I241" s="2" t="s">
        <v>23</v>
      </c>
      <c r="J241" s="2">
        <v>12000</v>
      </c>
      <c r="K241" s="2">
        <v>720</v>
      </c>
      <c r="L241" s="2" t="s">
        <v>31</v>
      </c>
      <c r="M241" s="2" t="s">
        <v>80</v>
      </c>
      <c r="N241" s="2" t="s">
        <v>18</v>
      </c>
      <c r="O241">
        <v>4</v>
      </c>
      <c r="R241">
        <f t="shared" si="35"/>
        <v>5.916666666666667</v>
      </c>
      <c r="S241">
        <f t="shared" si="36"/>
        <v>5.916666666666667</v>
      </c>
      <c r="U241" t="b">
        <v>1</v>
      </c>
      <c r="W241" t="str">
        <f t="shared" si="37"/>
        <v>EVEN</v>
      </c>
      <c r="Y241">
        <f t="shared" si="38"/>
        <v>60</v>
      </c>
      <c r="AB241" t="str">
        <f t="shared" si="39"/>
        <v>Good_user</v>
      </c>
      <c r="AE241" t="b">
        <f t="shared" si="40"/>
        <v>0</v>
      </c>
      <c r="AG241" t="b">
        <f t="shared" si="41"/>
        <v>0</v>
      </c>
      <c r="AI241" t="str">
        <f>IF(AND(Dataset!G241 &gt;5000,Dataset!H241&gt;7000),"ACTIVE_CONSUMER","INACTIVE_CONSUMER")</f>
        <v>ACTIVE_CONSUMER</v>
      </c>
      <c r="AN241" t="str">
        <f t="shared" si="42"/>
        <v>Not_eligible</v>
      </c>
      <c r="AQ241" t="str">
        <f>IF(AND(E241="M",F241="checking",Dataset!G241&gt;2000,Dataset!K241&gt;500),"good_client","bad_client")</f>
        <v>bad_client</v>
      </c>
      <c r="AT241" t="s">
        <v>482</v>
      </c>
      <c r="AU241" t="str">
        <f>IF(AND(Dataset!F241="Savings",Dataset!AT241="eligible"),"YES","NO")</f>
        <v>NO</v>
      </c>
      <c r="AW241" s="8"/>
      <c r="AX241" s="12" t="s">
        <v>487</v>
      </c>
      <c r="AY241" s="8" t="s">
        <v>489</v>
      </c>
      <c r="AZ241" s="8"/>
      <c r="BD241" t="str">
        <f t="shared" si="43"/>
        <v>yes</v>
      </c>
    </row>
    <row r="242" spans="1:56" x14ac:dyDescent="0.3">
      <c r="A242">
        <f t="shared" si="44"/>
        <v>241</v>
      </c>
      <c r="B242" s="3" t="s">
        <v>168</v>
      </c>
      <c r="C242" s="3" t="s">
        <v>63</v>
      </c>
      <c r="D242" s="2">
        <v>34</v>
      </c>
      <c r="E242" s="2" t="s">
        <v>14</v>
      </c>
      <c r="F242" s="2" t="s">
        <v>15</v>
      </c>
      <c r="G242" s="2">
        <v>2500</v>
      </c>
      <c r="H242" s="2">
        <v>55000</v>
      </c>
      <c r="I242" s="2" t="s">
        <v>16</v>
      </c>
      <c r="J242" s="2">
        <v>0</v>
      </c>
      <c r="K242" s="2">
        <v>720</v>
      </c>
      <c r="L242" s="2" t="s">
        <v>17</v>
      </c>
      <c r="M242" s="2" t="s">
        <v>80</v>
      </c>
      <c r="N242" s="2" t="s">
        <v>18</v>
      </c>
      <c r="O242">
        <v>15</v>
      </c>
      <c r="R242" t="e">
        <f t="shared" si="35"/>
        <v>#DIV/0!</v>
      </c>
      <c r="S242" t="str">
        <f t="shared" si="36"/>
        <v>DIVISION ERROR</v>
      </c>
      <c r="U242" t="b">
        <v>0</v>
      </c>
      <c r="W242" t="str">
        <f t="shared" si="37"/>
        <v>EVEN</v>
      </c>
      <c r="Y242">
        <f t="shared" si="38"/>
        <v>60</v>
      </c>
      <c r="AB242" t="str">
        <f t="shared" si="39"/>
        <v>Good_user</v>
      </c>
      <c r="AE242" t="b">
        <f t="shared" si="40"/>
        <v>1</v>
      </c>
      <c r="AG242" t="b">
        <f t="shared" si="41"/>
        <v>0</v>
      </c>
      <c r="AI242" t="str">
        <f>IF(AND(Dataset!G242 &gt;5000,Dataset!H242&gt;7000),"ACTIVE_CONSUMER","INACTIVE_CONSUMER")</f>
        <v>INACTIVE_CONSUMER</v>
      </c>
      <c r="AN242" t="str">
        <f t="shared" si="42"/>
        <v>Not_eligible</v>
      </c>
      <c r="AQ242" t="str">
        <f>IF(AND(E242="M",F242="checking",Dataset!G242&gt;2000,Dataset!K242&gt;500),"good_client","bad_client")</f>
        <v>good_client</v>
      </c>
      <c r="AT242" t="s">
        <v>482</v>
      </c>
      <c r="AU242" t="str">
        <f>IF(AND(Dataset!F242="Savings",Dataset!AT242="eligible"),"YES","NO")</f>
        <v>NO</v>
      </c>
      <c r="AW242" s="8"/>
      <c r="AX242" s="12" t="s">
        <v>487</v>
      </c>
      <c r="AY242" s="8" t="s">
        <v>489</v>
      </c>
      <c r="AZ242" s="8"/>
      <c r="BD242" t="str">
        <f t="shared" si="43"/>
        <v>yes</v>
      </c>
    </row>
    <row r="243" spans="1:56" x14ac:dyDescent="0.3">
      <c r="A243">
        <f t="shared" si="44"/>
        <v>242</v>
      </c>
      <c r="B243" s="3" t="s">
        <v>125</v>
      </c>
      <c r="C243" s="3" t="s">
        <v>165</v>
      </c>
      <c r="D243" s="2">
        <v>29</v>
      </c>
      <c r="E243" s="2" t="s">
        <v>21</v>
      </c>
      <c r="F243" s="2" t="s">
        <v>22</v>
      </c>
      <c r="G243" s="2">
        <v>8000</v>
      </c>
      <c r="H243" s="2">
        <v>62000</v>
      </c>
      <c r="I243" s="2" t="s">
        <v>23</v>
      </c>
      <c r="J243" s="2">
        <v>15000</v>
      </c>
      <c r="K243" s="2">
        <v>680</v>
      </c>
      <c r="L243" s="2" t="s">
        <v>24</v>
      </c>
      <c r="M243" s="2" t="s">
        <v>81</v>
      </c>
      <c r="N243" s="2" t="s">
        <v>25</v>
      </c>
      <c r="O243">
        <v>4</v>
      </c>
      <c r="R243">
        <f t="shared" si="35"/>
        <v>4.1333333333333337</v>
      </c>
      <c r="S243">
        <f t="shared" si="36"/>
        <v>4.1333333333333337</v>
      </c>
      <c r="U243" t="b">
        <v>1</v>
      </c>
      <c r="W243" t="str">
        <f t="shared" si="37"/>
        <v>ODD</v>
      </c>
      <c r="Y243">
        <f t="shared" si="38"/>
        <v>286</v>
      </c>
      <c r="AB243" t="str">
        <f t="shared" si="39"/>
        <v>Bad_user</v>
      </c>
      <c r="AE243" t="b">
        <f t="shared" si="40"/>
        <v>0</v>
      </c>
      <c r="AG243" t="b">
        <f t="shared" si="41"/>
        <v>0</v>
      </c>
      <c r="AI243" t="str">
        <f>IF(AND(Dataset!G243 &gt;5000,Dataset!H243&gt;7000),"ACTIVE_CONSUMER","INACTIVE_CONSUMER")</f>
        <v>ACTIVE_CONSUMER</v>
      </c>
      <c r="AN243" t="str">
        <f t="shared" si="42"/>
        <v>Not_eligible</v>
      </c>
      <c r="AQ243" t="str">
        <f>IF(AND(E243="M",F243="checking",Dataset!G243&gt;2000,Dataset!K243&gt;500),"good_client","bad_client")</f>
        <v>bad_client</v>
      </c>
      <c r="AT243" t="s">
        <v>482</v>
      </c>
      <c r="AU243" t="str">
        <f>IF(AND(Dataset!F243="Savings",Dataset!AT243="eligible"),"YES","NO")</f>
        <v>NO</v>
      </c>
      <c r="AW243" s="8"/>
      <c r="AX243" s="12" t="s">
        <v>487</v>
      </c>
      <c r="AY243" s="8" t="s">
        <v>490</v>
      </c>
      <c r="AZ243" s="8"/>
      <c r="BD243" t="str">
        <f t="shared" si="43"/>
        <v>yes</v>
      </c>
    </row>
    <row r="244" spans="1:56" x14ac:dyDescent="0.3">
      <c r="A244">
        <f t="shared" si="44"/>
        <v>243</v>
      </c>
      <c r="B244" s="3" t="s">
        <v>215</v>
      </c>
      <c r="C244" s="3" t="s">
        <v>262</v>
      </c>
      <c r="D244" s="2">
        <v>45</v>
      </c>
      <c r="E244" s="2" t="s">
        <v>21</v>
      </c>
      <c r="F244" s="2" t="s">
        <v>15</v>
      </c>
      <c r="G244" s="2">
        <v>12000</v>
      </c>
      <c r="H244" s="2">
        <v>75000</v>
      </c>
      <c r="I244" s="2" t="s">
        <v>16</v>
      </c>
      <c r="J244" s="2">
        <v>0</v>
      </c>
      <c r="K244" s="2">
        <v>750</v>
      </c>
      <c r="L244" s="2" t="s">
        <v>28</v>
      </c>
      <c r="M244" s="2" t="s">
        <v>82</v>
      </c>
      <c r="N244" s="2" t="s">
        <v>18</v>
      </c>
      <c r="O244">
        <v>15</v>
      </c>
      <c r="R244" t="e">
        <f t="shared" si="35"/>
        <v>#DIV/0!</v>
      </c>
      <c r="S244" t="str">
        <f t="shared" si="36"/>
        <v>DIVISION ERROR</v>
      </c>
      <c r="U244" t="b">
        <v>0</v>
      </c>
      <c r="W244" t="str">
        <f t="shared" si="37"/>
        <v>ODD</v>
      </c>
      <c r="Y244">
        <f t="shared" si="38"/>
        <v>3</v>
      </c>
      <c r="AB244" t="str">
        <f t="shared" si="39"/>
        <v>Good_user</v>
      </c>
      <c r="AE244" t="b">
        <f t="shared" si="40"/>
        <v>1</v>
      </c>
      <c r="AG244" t="b">
        <f t="shared" si="41"/>
        <v>0</v>
      </c>
      <c r="AI244" t="str">
        <f>IF(AND(Dataset!G244 &gt;5000,Dataset!H244&gt;7000),"ACTIVE_CONSUMER","INACTIVE_CONSUMER")</f>
        <v>ACTIVE_CONSUMER</v>
      </c>
      <c r="AN244" t="str">
        <f t="shared" si="42"/>
        <v>Not_eligible</v>
      </c>
      <c r="AQ244" t="str">
        <f>IF(AND(E244="M",F244="checking",Dataset!G244&gt;2000,Dataset!K244&gt;500),"good_client","bad_client")</f>
        <v>bad_client</v>
      </c>
      <c r="AT244" t="s">
        <v>482</v>
      </c>
      <c r="AU244" t="str">
        <f>IF(AND(Dataset!F244="Savings",Dataset!AT244="eligible"),"YES","NO")</f>
        <v>NO</v>
      </c>
      <c r="AW244" s="8"/>
      <c r="AX244" s="12" t="s">
        <v>486</v>
      </c>
      <c r="AY244" s="8" t="s">
        <v>489</v>
      </c>
      <c r="AZ244" s="8"/>
      <c r="BD244" t="str">
        <f t="shared" si="43"/>
        <v>yes</v>
      </c>
    </row>
    <row r="245" spans="1:56" x14ac:dyDescent="0.3">
      <c r="A245">
        <f t="shared" si="44"/>
        <v>244</v>
      </c>
      <c r="B245" s="3" t="s">
        <v>182</v>
      </c>
      <c r="C245" s="3" t="s">
        <v>190</v>
      </c>
      <c r="D245" s="2">
        <v>52</v>
      </c>
      <c r="E245" s="2" t="s">
        <v>14</v>
      </c>
      <c r="F245" s="2" t="s">
        <v>22</v>
      </c>
      <c r="G245" s="2">
        <v>3000</v>
      </c>
      <c r="H245" s="2">
        <v>48000</v>
      </c>
      <c r="I245" s="2" t="s">
        <v>23</v>
      </c>
      <c r="J245" s="2">
        <v>5000</v>
      </c>
      <c r="K245" s="2">
        <v>690</v>
      </c>
      <c r="L245" s="2" t="s">
        <v>31</v>
      </c>
      <c r="M245" s="2" t="s">
        <v>80</v>
      </c>
      <c r="N245" s="2" t="s">
        <v>18</v>
      </c>
      <c r="O245">
        <v>14</v>
      </c>
      <c r="R245">
        <f t="shared" si="35"/>
        <v>9.6</v>
      </c>
      <c r="S245">
        <f t="shared" si="36"/>
        <v>9.6</v>
      </c>
      <c r="U245" t="b">
        <v>1</v>
      </c>
      <c r="W245" t="str">
        <f t="shared" si="37"/>
        <v>EVEN</v>
      </c>
      <c r="Y245">
        <f t="shared" si="38"/>
        <v>223.5</v>
      </c>
      <c r="AB245" t="str">
        <f t="shared" si="39"/>
        <v>Good_user</v>
      </c>
      <c r="AE245" t="b">
        <f t="shared" si="40"/>
        <v>0</v>
      </c>
      <c r="AG245" t="b">
        <f t="shared" si="41"/>
        <v>0</v>
      </c>
      <c r="AI245" t="str">
        <f>IF(AND(Dataset!G245 &gt;5000,Dataset!H245&gt;7000),"ACTIVE_CONSUMER","INACTIVE_CONSUMER")</f>
        <v>INACTIVE_CONSUMER</v>
      </c>
      <c r="AN245" t="str">
        <f t="shared" si="42"/>
        <v>Not_eligible</v>
      </c>
      <c r="AQ245" t="str">
        <f>IF(AND(E245="M",F245="checking",Dataset!G245&gt;2000,Dataset!K245&gt;500),"good_client","bad_client")</f>
        <v>bad_client</v>
      </c>
      <c r="AT245" t="s">
        <v>482</v>
      </c>
      <c r="AU245" t="str">
        <f>IF(AND(Dataset!F245="Savings",Dataset!AT245="eligible"),"YES","NO")</f>
        <v>NO</v>
      </c>
      <c r="AW245" s="8"/>
      <c r="AX245" s="12" t="s">
        <v>487</v>
      </c>
      <c r="AY245" s="8" t="s">
        <v>489</v>
      </c>
      <c r="AZ245" s="8"/>
      <c r="BD245" t="str">
        <f t="shared" si="43"/>
        <v>yes</v>
      </c>
    </row>
    <row r="246" spans="1:56" x14ac:dyDescent="0.3">
      <c r="A246">
        <f t="shared" si="44"/>
        <v>245</v>
      </c>
      <c r="B246" s="3" t="s">
        <v>226</v>
      </c>
      <c r="C246" s="3" t="s">
        <v>51</v>
      </c>
      <c r="D246" s="2">
        <v>37</v>
      </c>
      <c r="E246" s="2" t="s">
        <v>21</v>
      </c>
      <c r="F246" s="2" t="s">
        <v>15</v>
      </c>
      <c r="G246" s="2">
        <v>5000</v>
      </c>
      <c r="H246" s="2">
        <v>58000</v>
      </c>
      <c r="I246" s="2" t="s">
        <v>16</v>
      </c>
      <c r="J246" s="2">
        <v>0</v>
      </c>
      <c r="K246" s="2">
        <v>710</v>
      </c>
      <c r="L246" s="2" t="s">
        <v>17</v>
      </c>
      <c r="M246" s="2" t="s">
        <v>80</v>
      </c>
      <c r="N246" s="2" t="s">
        <v>25</v>
      </c>
      <c r="O246">
        <v>10</v>
      </c>
      <c r="R246" t="e">
        <f t="shared" si="35"/>
        <v>#DIV/0!</v>
      </c>
      <c r="S246" t="str">
        <f t="shared" si="36"/>
        <v>DIVISION ERROR</v>
      </c>
      <c r="U246" t="b">
        <v>0</v>
      </c>
      <c r="W246" t="str">
        <f t="shared" si="37"/>
        <v>ODD</v>
      </c>
      <c r="Y246">
        <f t="shared" si="38"/>
        <v>120.5</v>
      </c>
      <c r="AB246" t="str">
        <f t="shared" si="39"/>
        <v>Bad_user</v>
      </c>
      <c r="AE246" t="b">
        <f t="shared" si="40"/>
        <v>1</v>
      </c>
      <c r="AG246" t="b">
        <f t="shared" si="41"/>
        <v>0</v>
      </c>
      <c r="AI246" t="str">
        <f>IF(AND(Dataset!G246 &gt;5000,Dataset!H246&gt;7000),"ACTIVE_CONSUMER","INACTIVE_CONSUMER")</f>
        <v>INACTIVE_CONSUMER</v>
      </c>
      <c r="AN246" t="str">
        <f t="shared" si="42"/>
        <v>Not_eligible</v>
      </c>
      <c r="AQ246" t="str">
        <f>IF(AND(E246="M",F246="checking",Dataset!G246&gt;2000,Dataset!K246&gt;500),"good_client","bad_client")</f>
        <v>bad_client</v>
      </c>
      <c r="AT246" t="s">
        <v>482</v>
      </c>
      <c r="AU246" t="str">
        <f>IF(AND(Dataset!F246="Savings",Dataset!AT246="eligible"),"YES","NO")</f>
        <v>NO</v>
      </c>
      <c r="AW246" s="8"/>
      <c r="AX246" s="12" t="s">
        <v>487</v>
      </c>
      <c r="AY246" s="8" t="s">
        <v>490</v>
      </c>
      <c r="AZ246" s="8"/>
      <c r="BD246" t="str">
        <f t="shared" si="43"/>
        <v>yes</v>
      </c>
    </row>
    <row r="247" spans="1:56" x14ac:dyDescent="0.3">
      <c r="A247">
        <f t="shared" si="44"/>
        <v>246</v>
      </c>
      <c r="B247" s="3" t="s">
        <v>107</v>
      </c>
      <c r="C247" s="3" t="s">
        <v>216</v>
      </c>
      <c r="D247" s="2">
        <v>30</v>
      </c>
      <c r="E247" s="2" t="s">
        <v>14</v>
      </c>
      <c r="F247" s="2" t="s">
        <v>22</v>
      </c>
      <c r="G247" s="2">
        <v>6000</v>
      </c>
      <c r="H247" s="2">
        <v>70000</v>
      </c>
      <c r="I247" s="2" t="s">
        <v>23</v>
      </c>
      <c r="J247" s="2">
        <v>20000</v>
      </c>
      <c r="K247" s="2">
        <v>700</v>
      </c>
      <c r="L247" s="2" t="s">
        <v>24</v>
      </c>
      <c r="M247" s="2" t="s">
        <v>80</v>
      </c>
      <c r="N247" s="2" t="s">
        <v>18</v>
      </c>
      <c r="O247">
        <v>14</v>
      </c>
      <c r="R247">
        <f t="shared" si="35"/>
        <v>3.5</v>
      </c>
      <c r="S247">
        <f t="shared" si="36"/>
        <v>3.5</v>
      </c>
      <c r="U247" t="b">
        <v>1</v>
      </c>
      <c r="W247" t="str">
        <f t="shared" si="37"/>
        <v>EVEN</v>
      </c>
      <c r="Y247">
        <f t="shared" si="38"/>
        <v>170</v>
      </c>
      <c r="AB247" t="str">
        <f t="shared" si="39"/>
        <v>Good_user</v>
      </c>
      <c r="AE247" t="b">
        <f t="shared" si="40"/>
        <v>0</v>
      </c>
      <c r="AG247" t="b">
        <f t="shared" si="41"/>
        <v>0</v>
      </c>
      <c r="AI247" t="str">
        <f>IF(AND(Dataset!G247 &gt;5000,Dataset!H247&gt;7000),"ACTIVE_CONSUMER","INACTIVE_CONSUMER")</f>
        <v>ACTIVE_CONSUMER</v>
      </c>
      <c r="AN247" t="str">
        <f t="shared" si="42"/>
        <v>Not_eligible</v>
      </c>
      <c r="AQ247" t="str">
        <f>IF(AND(E247="M",F247="checking",Dataset!G247&gt;2000,Dataset!K247&gt;500),"good_client","bad_client")</f>
        <v>bad_client</v>
      </c>
      <c r="AT247" t="s">
        <v>482</v>
      </c>
      <c r="AU247" t="str">
        <f>IF(AND(Dataset!F247="Savings",Dataset!AT247="eligible"),"YES","NO")</f>
        <v>NO</v>
      </c>
      <c r="AW247" s="8"/>
      <c r="AX247" s="12" t="s">
        <v>487</v>
      </c>
      <c r="AY247" s="8" t="s">
        <v>489</v>
      </c>
      <c r="AZ247" s="8"/>
      <c r="BD247" t="str">
        <f t="shared" si="43"/>
        <v>yes</v>
      </c>
    </row>
    <row r="248" spans="1:56" x14ac:dyDescent="0.3">
      <c r="A248">
        <f t="shared" si="44"/>
        <v>247</v>
      </c>
      <c r="B248" s="3" t="s">
        <v>138</v>
      </c>
      <c r="C248" s="3" t="s">
        <v>190</v>
      </c>
      <c r="D248" s="2">
        <v>40</v>
      </c>
      <c r="E248" s="2" t="s">
        <v>21</v>
      </c>
      <c r="F248" s="2" t="s">
        <v>15</v>
      </c>
      <c r="G248" s="2">
        <v>15000</v>
      </c>
      <c r="H248" s="2">
        <v>82000</v>
      </c>
      <c r="I248" s="2" t="s">
        <v>16</v>
      </c>
      <c r="J248" s="2">
        <v>0</v>
      </c>
      <c r="K248" s="2">
        <v>730</v>
      </c>
      <c r="L248" s="2" t="s">
        <v>28</v>
      </c>
      <c r="M248" s="2" t="s">
        <v>80</v>
      </c>
      <c r="N248" s="2" t="s">
        <v>25</v>
      </c>
      <c r="O248">
        <v>15</v>
      </c>
      <c r="R248" t="e">
        <f t="shared" si="35"/>
        <v>#DIV/0!</v>
      </c>
      <c r="S248" t="str">
        <f t="shared" si="36"/>
        <v>DIVISION ERROR</v>
      </c>
      <c r="U248" t="b">
        <v>0</v>
      </c>
      <c r="W248" t="str">
        <f t="shared" si="37"/>
        <v>EVEN</v>
      </c>
      <c r="Y248">
        <f t="shared" si="38"/>
        <v>23</v>
      </c>
      <c r="AB248" t="str">
        <f t="shared" si="39"/>
        <v>Bad_user</v>
      </c>
      <c r="AE248" t="b">
        <f t="shared" si="40"/>
        <v>1</v>
      </c>
      <c r="AG248" t="b">
        <f t="shared" si="41"/>
        <v>0</v>
      </c>
      <c r="AI248" t="str">
        <f>IF(AND(Dataset!G248 &gt;5000,Dataset!H248&gt;7000),"ACTIVE_CONSUMER","INACTIVE_CONSUMER")</f>
        <v>ACTIVE_CONSUMER</v>
      </c>
      <c r="AN248" t="str">
        <f t="shared" si="42"/>
        <v>Not_eligible</v>
      </c>
      <c r="AQ248" t="str">
        <f>IF(AND(E248="M",F248="checking",Dataset!G248&gt;2000,Dataset!K248&gt;500),"good_client","bad_client")</f>
        <v>bad_client</v>
      </c>
      <c r="AT248" t="s">
        <v>482</v>
      </c>
      <c r="AU248" t="str">
        <f>IF(AND(Dataset!F248="Savings",Dataset!AT248="eligible"),"YES","NO")</f>
        <v>NO</v>
      </c>
      <c r="AW248" s="8"/>
      <c r="AX248" s="12" t="s">
        <v>487</v>
      </c>
      <c r="AY248" s="8" t="s">
        <v>490</v>
      </c>
      <c r="AZ248" s="8"/>
      <c r="BD248" t="str">
        <f t="shared" si="43"/>
        <v>yes</v>
      </c>
    </row>
    <row r="249" spans="1:56" x14ac:dyDescent="0.3">
      <c r="A249">
        <f t="shared" si="44"/>
        <v>248</v>
      </c>
      <c r="B249" s="3" t="s">
        <v>32</v>
      </c>
      <c r="C249" s="3" t="s">
        <v>67</v>
      </c>
      <c r="D249" s="2">
        <v>25</v>
      </c>
      <c r="E249" s="2" t="s">
        <v>14</v>
      </c>
      <c r="F249" s="2" t="s">
        <v>22</v>
      </c>
      <c r="G249" s="2">
        <v>2000</v>
      </c>
      <c r="H249" s="2">
        <v>43000</v>
      </c>
      <c r="I249" s="2" t="s">
        <v>16</v>
      </c>
      <c r="J249" s="2">
        <v>0</v>
      </c>
      <c r="K249" s="2">
        <v>670</v>
      </c>
      <c r="L249" s="2" t="s">
        <v>31</v>
      </c>
      <c r="M249" s="2" t="s">
        <v>81</v>
      </c>
      <c r="N249" s="2" t="s">
        <v>18</v>
      </c>
      <c r="O249">
        <v>13</v>
      </c>
      <c r="R249" t="e">
        <f t="shared" si="35"/>
        <v>#DIV/0!</v>
      </c>
      <c r="S249" t="str">
        <f t="shared" si="36"/>
        <v>DIVISION ERROR</v>
      </c>
      <c r="U249" t="b">
        <v>0</v>
      </c>
      <c r="W249" t="str">
        <f t="shared" si="37"/>
        <v>ODD</v>
      </c>
      <c r="Y249">
        <f t="shared" si="38"/>
        <v>334</v>
      </c>
      <c r="AB249" t="str">
        <f t="shared" si="39"/>
        <v>Good_user</v>
      </c>
      <c r="AE249" t="b">
        <f t="shared" si="40"/>
        <v>1</v>
      </c>
      <c r="AG249" t="b">
        <f t="shared" si="41"/>
        <v>0</v>
      </c>
      <c r="AI249" t="str">
        <f>IF(AND(Dataset!G249 &gt;5000,Dataset!H249&gt;7000),"ACTIVE_CONSUMER","INACTIVE_CONSUMER")</f>
        <v>INACTIVE_CONSUMER</v>
      </c>
      <c r="AN249" t="str">
        <f t="shared" si="42"/>
        <v>Not_eligible</v>
      </c>
      <c r="AQ249" t="str">
        <f>IF(AND(E249="M",F249="checking",Dataset!G249&gt;2000,Dataset!K249&gt;500),"good_client","bad_client")</f>
        <v>bad_client</v>
      </c>
      <c r="AT249" t="s">
        <v>482</v>
      </c>
      <c r="AU249" t="str">
        <f>IF(AND(Dataset!F249="Savings",Dataset!AT249="eligible"),"YES","NO")</f>
        <v>NO</v>
      </c>
      <c r="AW249" s="8"/>
      <c r="AX249" s="12" t="s">
        <v>487</v>
      </c>
      <c r="AY249" s="8" t="s">
        <v>489</v>
      </c>
      <c r="AZ249" s="8"/>
      <c r="BD249" t="str">
        <f t="shared" si="43"/>
        <v>yes</v>
      </c>
    </row>
    <row r="250" spans="1:56" x14ac:dyDescent="0.3">
      <c r="A250">
        <f t="shared" si="44"/>
        <v>249</v>
      </c>
      <c r="B250" s="3" t="s">
        <v>127</v>
      </c>
      <c r="C250" s="3" t="s">
        <v>149</v>
      </c>
      <c r="D250" s="2">
        <v>31</v>
      </c>
      <c r="E250" s="2" t="s">
        <v>21</v>
      </c>
      <c r="F250" s="2" t="s">
        <v>15</v>
      </c>
      <c r="G250" s="2">
        <v>7000</v>
      </c>
      <c r="H250" s="2">
        <v>55000</v>
      </c>
      <c r="I250" s="2" t="s">
        <v>23</v>
      </c>
      <c r="J250" s="2">
        <v>10000</v>
      </c>
      <c r="K250" s="2">
        <v>720</v>
      </c>
      <c r="L250" s="2" t="s">
        <v>17</v>
      </c>
      <c r="M250" s="2" t="s">
        <v>81</v>
      </c>
      <c r="N250" s="2" t="s">
        <v>18</v>
      </c>
      <c r="O250">
        <v>7</v>
      </c>
      <c r="R250">
        <f t="shared" si="35"/>
        <v>5.5</v>
      </c>
      <c r="S250">
        <f t="shared" si="36"/>
        <v>5.5</v>
      </c>
      <c r="U250" t="b">
        <v>1</v>
      </c>
      <c r="W250" t="str">
        <f t="shared" si="37"/>
        <v>ODD</v>
      </c>
      <c r="Y250">
        <f t="shared" si="38"/>
        <v>60</v>
      </c>
      <c r="AB250" t="str">
        <f t="shared" si="39"/>
        <v>Good_user</v>
      </c>
      <c r="AE250" t="b">
        <f t="shared" si="40"/>
        <v>0</v>
      </c>
      <c r="AG250" t="b">
        <f t="shared" si="41"/>
        <v>0</v>
      </c>
      <c r="AI250" t="str">
        <f>IF(AND(Dataset!G250 &gt;5000,Dataset!H250&gt;7000),"ACTIVE_CONSUMER","INACTIVE_CONSUMER")</f>
        <v>ACTIVE_CONSUMER</v>
      </c>
      <c r="AN250" t="str">
        <f t="shared" si="42"/>
        <v>Not_eligible</v>
      </c>
      <c r="AQ250" t="str">
        <f>IF(AND(E250="M",F250="checking",Dataset!G250&gt;2000,Dataset!K250&gt;500),"good_client","bad_client")</f>
        <v>bad_client</v>
      </c>
      <c r="AT250" t="s">
        <v>482</v>
      </c>
      <c r="AU250" t="str">
        <f>IF(AND(Dataset!F250="Savings",Dataset!AT250="eligible"),"YES","NO")</f>
        <v>NO</v>
      </c>
      <c r="AW250" s="8"/>
      <c r="AX250" s="12" t="s">
        <v>487</v>
      </c>
      <c r="AY250" s="8" t="s">
        <v>489</v>
      </c>
      <c r="AZ250" s="8"/>
      <c r="BD250" t="str">
        <f t="shared" si="43"/>
        <v>yes</v>
      </c>
    </row>
    <row r="251" spans="1:56" x14ac:dyDescent="0.3">
      <c r="A251">
        <f t="shared" si="44"/>
        <v>250</v>
      </c>
      <c r="B251" s="3" t="s">
        <v>295</v>
      </c>
      <c r="C251" s="3" t="s">
        <v>179</v>
      </c>
      <c r="D251" s="2">
        <v>44</v>
      </c>
      <c r="E251" s="2" t="s">
        <v>14</v>
      </c>
      <c r="F251" s="2" t="s">
        <v>22</v>
      </c>
      <c r="G251" s="2">
        <v>11000</v>
      </c>
      <c r="H251" s="2">
        <v>65000</v>
      </c>
      <c r="I251" s="2" t="s">
        <v>16</v>
      </c>
      <c r="J251" s="2">
        <v>0</v>
      </c>
      <c r="K251" s="2">
        <v>740</v>
      </c>
      <c r="L251" s="2" t="s">
        <v>24</v>
      </c>
      <c r="M251" s="2" t="s">
        <v>82</v>
      </c>
      <c r="N251" s="2" t="s">
        <v>25</v>
      </c>
      <c r="O251">
        <v>5</v>
      </c>
      <c r="R251" t="e">
        <f t="shared" si="35"/>
        <v>#DIV/0!</v>
      </c>
      <c r="S251" t="str">
        <f t="shared" si="36"/>
        <v>DIVISION ERROR</v>
      </c>
      <c r="U251" t="b">
        <v>0</v>
      </c>
      <c r="W251" t="str">
        <f t="shared" si="37"/>
        <v>EVEN</v>
      </c>
      <c r="Y251">
        <f t="shared" si="38"/>
        <v>13</v>
      </c>
      <c r="AB251" t="str">
        <f t="shared" si="39"/>
        <v>Bad_user</v>
      </c>
      <c r="AE251" t="b">
        <f t="shared" si="40"/>
        <v>1</v>
      </c>
      <c r="AG251" t="b">
        <f t="shared" si="41"/>
        <v>0</v>
      </c>
      <c r="AI251" t="str">
        <f>IF(AND(Dataset!G251 &gt;5000,Dataset!H251&gt;7000),"ACTIVE_CONSUMER","INACTIVE_CONSUMER")</f>
        <v>ACTIVE_CONSUMER</v>
      </c>
      <c r="AN251" t="str">
        <f t="shared" si="42"/>
        <v>Not_eligible</v>
      </c>
      <c r="AQ251" t="str">
        <f>IF(AND(E251="M",F251="checking",Dataset!G251&gt;2000,Dataset!K251&gt;500),"good_client","bad_client")</f>
        <v>bad_client</v>
      </c>
      <c r="AT251" t="s">
        <v>482</v>
      </c>
      <c r="AU251" t="str">
        <f>IF(AND(Dataset!F251="Savings",Dataset!AT251="eligible"),"YES","NO")</f>
        <v>NO</v>
      </c>
      <c r="AW251" s="8"/>
      <c r="AX251" s="12" t="s">
        <v>486</v>
      </c>
      <c r="AY251" s="8" t="s">
        <v>490</v>
      </c>
      <c r="AZ251" s="8"/>
      <c r="BD251" t="str">
        <f t="shared" si="43"/>
        <v>yes</v>
      </c>
    </row>
    <row r="252" spans="1:56" x14ac:dyDescent="0.3">
      <c r="A252">
        <f t="shared" si="44"/>
        <v>251</v>
      </c>
      <c r="B252" s="3" t="s">
        <v>296</v>
      </c>
      <c r="C252" s="3" t="s">
        <v>227</v>
      </c>
      <c r="D252" s="2">
        <v>28</v>
      </c>
      <c r="E252" s="2" t="s">
        <v>21</v>
      </c>
      <c r="F252" s="2" t="s">
        <v>15</v>
      </c>
      <c r="G252" s="2">
        <v>4500</v>
      </c>
      <c r="H252" s="2">
        <v>47000</v>
      </c>
      <c r="I252" s="2" t="s">
        <v>16</v>
      </c>
      <c r="J252" s="2">
        <v>0</v>
      </c>
      <c r="K252" s="2">
        <v>690</v>
      </c>
      <c r="L252" s="2" t="s">
        <v>28</v>
      </c>
      <c r="M252" s="2" t="s">
        <v>80</v>
      </c>
      <c r="N252" s="2" t="s">
        <v>18</v>
      </c>
      <c r="O252">
        <v>3</v>
      </c>
      <c r="R252" t="e">
        <f t="shared" si="35"/>
        <v>#DIV/0!</v>
      </c>
      <c r="S252" t="str">
        <f t="shared" si="36"/>
        <v>DIVISION ERROR</v>
      </c>
      <c r="U252" t="b">
        <v>0</v>
      </c>
      <c r="W252" t="str">
        <f t="shared" si="37"/>
        <v>EVEN</v>
      </c>
      <c r="Y252">
        <f t="shared" si="38"/>
        <v>223.5</v>
      </c>
      <c r="AB252" t="str">
        <f t="shared" si="39"/>
        <v>Good_user</v>
      </c>
      <c r="AE252" t="b">
        <f t="shared" si="40"/>
        <v>1</v>
      </c>
      <c r="AG252" t="b">
        <f t="shared" si="41"/>
        <v>0</v>
      </c>
      <c r="AI252" t="str">
        <f>IF(AND(Dataset!G252 &gt;5000,Dataset!H252&gt;7000),"ACTIVE_CONSUMER","INACTIVE_CONSUMER")</f>
        <v>INACTIVE_CONSUMER</v>
      </c>
      <c r="AN252" t="str">
        <f t="shared" si="42"/>
        <v>Not_eligible</v>
      </c>
      <c r="AQ252" t="str">
        <f>IF(AND(E252="M",F252="checking",Dataset!G252&gt;2000,Dataset!K252&gt;500),"good_client","bad_client")</f>
        <v>bad_client</v>
      </c>
      <c r="AT252" t="s">
        <v>482</v>
      </c>
      <c r="AU252" t="str">
        <f>IF(AND(Dataset!F252="Savings",Dataset!AT252="eligible"),"YES","NO")</f>
        <v>NO</v>
      </c>
      <c r="AW252" s="8"/>
      <c r="AX252" s="12" t="s">
        <v>487</v>
      </c>
      <c r="AY252" s="8" t="s">
        <v>489</v>
      </c>
      <c r="AZ252" s="8"/>
      <c r="BD252" t="str">
        <f t="shared" si="43"/>
        <v>yes</v>
      </c>
    </row>
    <row r="253" spans="1:56" x14ac:dyDescent="0.3">
      <c r="A253">
        <f t="shared" si="44"/>
        <v>252</v>
      </c>
      <c r="B253" s="3" t="s">
        <v>200</v>
      </c>
      <c r="C253" s="3" t="s">
        <v>227</v>
      </c>
      <c r="D253" s="2">
        <v>39</v>
      </c>
      <c r="E253" s="2" t="s">
        <v>14</v>
      </c>
      <c r="F253" s="2" t="s">
        <v>22</v>
      </c>
      <c r="G253" s="2">
        <v>10000</v>
      </c>
      <c r="H253" s="2">
        <v>72000</v>
      </c>
      <c r="I253" s="2" t="s">
        <v>23</v>
      </c>
      <c r="J253" s="2">
        <v>12000</v>
      </c>
      <c r="K253" s="2">
        <v>700</v>
      </c>
      <c r="L253" s="2" t="s">
        <v>31</v>
      </c>
      <c r="M253" s="2" t="s">
        <v>82</v>
      </c>
      <c r="N253" s="2" t="s">
        <v>18</v>
      </c>
      <c r="O253">
        <v>8</v>
      </c>
      <c r="R253">
        <f t="shared" si="35"/>
        <v>6</v>
      </c>
      <c r="S253">
        <f t="shared" si="36"/>
        <v>6</v>
      </c>
      <c r="U253" t="b">
        <v>1</v>
      </c>
      <c r="W253" t="str">
        <f t="shared" si="37"/>
        <v>ODD</v>
      </c>
      <c r="Y253">
        <f t="shared" si="38"/>
        <v>170</v>
      </c>
      <c r="AB253" t="str">
        <f t="shared" si="39"/>
        <v>Good_user</v>
      </c>
      <c r="AE253" t="b">
        <f t="shared" si="40"/>
        <v>0</v>
      </c>
      <c r="AG253" t="b">
        <f t="shared" si="41"/>
        <v>0</v>
      </c>
      <c r="AI253" t="str">
        <f>IF(AND(Dataset!G253 &gt;5000,Dataset!H253&gt;7000),"ACTIVE_CONSUMER","INACTIVE_CONSUMER")</f>
        <v>ACTIVE_CONSUMER</v>
      </c>
      <c r="AN253" t="str">
        <f t="shared" si="42"/>
        <v>Not_eligible</v>
      </c>
      <c r="AQ253" t="str">
        <f>IF(AND(E253="M",F253="checking",Dataset!G253&gt;2000,Dataset!K253&gt;500),"good_client","bad_client")</f>
        <v>bad_client</v>
      </c>
      <c r="AT253" t="s">
        <v>482</v>
      </c>
      <c r="AU253" t="str">
        <f>IF(AND(Dataset!F253="Savings",Dataset!AT253="eligible"),"YES","NO")</f>
        <v>NO</v>
      </c>
      <c r="AW253" s="8"/>
      <c r="AX253" s="12" t="s">
        <v>486</v>
      </c>
      <c r="AY253" s="8" t="s">
        <v>489</v>
      </c>
      <c r="AZ253" s="8"/>
      <c r="BD253" t="str">
        <f t="shared" si="43"/>
        <v>yes</v>
      </c>
    </row>
    <row r="254" spans="1:56" x14ac:dyDescent="0.3">
      <c r="A254">
        <f t="shared" si="44"/>
        <v>253</v>
      </c>
      <c r="B254" s="3" t="s">
        <v>146</v>
      </c>
      <c r="C254" s="3" t="s">
        <v>222</v>
      </c>
      <c r="D254" s="2">
        <v>26</v>
      </c>
      <c r="E254" s="2" t="s">
        <v>21</v>
      </c>
      <c r="F254" s="2" t="s">
        <v>15</v>
      </c>
      <c r="G254" s="2">
        <v>3500</v>
      </c>
      <c r="H254" s="2">
        <v>53000</v>
      </c>
      <c r="I254" s="2" t="s">
        <v>16</v>
      </c>
      <c r="J254" s="2">
        <v>0</v>
      </c>
      <c r="K254" s="2">
        <v>680</v>
      </c>
      <c r="L254" s="2" t="s">
        <v>17</v>
      </c>
      <c r="M254" s="2" t="s">
        <v>81</v>
      </c>
      <c r="N254" s="2" t="s">
        <v>25</v>
      </c>
      <c r="O254">
        <v>4</v>
      </c>
      <c r="R254" t="e">
        <f t="shared" si="35"/>
        <v>#DIV/0!</v>
      </c>
      <c r="S254" t="str">
        <f t="shared" si="36"/>
        <v>DIVISION ERROR</v>
      </c>
      <c r="U254" t="b">
        <v>0</v>
      </c>
      <c r="W254" t="str">
        <f t="shared" si="37"/>
        <v>EVEN</v>
      </c>
      <c r="Y254">
        <f t="shared" si="38"/>
        <v>286</v>
      </c>
      <c r="AB254" t="str">
        <f t="shared" si="39"/>
        <v>Bad_user</v>
      </c>
      <c r="AE254" t="b">
        <f t="shared" si="40"/>
        <v>1</v>
      </c>
      <c r="AG254" t="b">
        <f t="shared" si="41"/>
        <v>0</v>
      </c>
      <c r="AI254" t="str">
        <f>IF(AND(Dataset!G254 &gt;5000,Dataset!H254&gt;7000),"ACTIVE_CONSUMER","INACTIVE_CONSUMER")</f>
        <v>INACTIVE_CONSUMER</v>
      </c>
      <c r="AN254" t="str">
        <f t="shared" si="42"/>
        <v>Not_eligible</v>
      </c>
      <c r="AQ254" t="str">
        <f>IF(AND(E254="M",F254="checking",Dataset!G254&gt;2000,Dataset!K254&gt;500),"good_client","bad_client")</f>
        <v>bad_client</v>
      </c>
      <c r="AT254" t="s">
        <v>482</v>
      </c>
      <c r="AU254" t="str">
        <f>IF(AND(Dataset!F254="Savings",Dataset!AT254="eligible"),"YES","NO")</f>
        <v>NO</v>
      </c>
      <c r="AW254" s="8"/>
      <c r="AX254" s="12" t="s">
        <v>487</v>
      </c>
      <c r="AY254" s="8" t="s">
        <v>490</v>
      </c>
      <c r="AZ254" s="8"/>
      <c r="BD254" t="str">
        <f t="shared" si="43"/>
        <v>yes</v>
      </c>
    </row>
    <row r="255" spans="1:56" x14ac:dyDescent="0.3">
      <c r="A255">
        <f t="shared" si="44"/>
        <v>254</v>
      </c>
      <c r="B255" s="3" t="s">
        <v>297</v>
      </c>
      <c r="C255" s="3" t="s">
        <v>151</v>
      </c>
      <c r="D255" s="2">
        <v>33</v>
      </c>
      <c r="E255" s="2" t="s">
        <v>14</v>
      </c>
      <c r="F255" s="2" t="s">
        <v>22</v>
      </c>
      <c r="G255" s="2">
        <v>8000</v>
      </c>
      <c r="H255" s="2">
        <v>60000</v>
      </c>
      <c r="I255" s="2" t="s">
        <v>23</v>
      </c>
      <c r="J255" s="2">
        <v>8000</v>
      </c>
      <c r="K255" s="2">
        <v>710</v>
      </c>
      <c r="L255" s="2" t="s">
        <v>24</v>
      </c>
      <c r="M255" s="2" t="s">
        <v>80</v>
      </c>
      <c r="N255" s="2" t="s">
        <v>18</v>
      </c>
      <c r="O255">
        <v>3</v>
      </c>
      <c r="R255">
        <f t="shared" si="35"/>
        <v>7.5</v>
      </c>
      <c r="S255">
        <f t="shared" si="36"/>
        <v>7.5</v>
      </c>
      <c r="U255" t="b">
        <v>1</v>
      </c>
      <c r="W255" t="str">
        <f t="shared" si="37"/>
        <v>ODD</v>
      </c>
      <c r="Y255">
        <f t="shared" si="38"/>
        <v>120.5</v>
      </c>
      <c r="AB255" t="str">
        <f t="shared" si="39"/>
        <v>Good_user</v>
      </c>
      <c r="AE255" t="b">
        <f t="shared" si="40"/>
        <v>0</v>
      </c>
      <c r="AG255" t="b">
        <f t="shared" si="41"/>
        <v>0</v>
      </c>
      <c r="AI255" t="str">
        <f>IF(AND(Dataset!G255 &gt;5000,Dataset!H255&gt;7000),"ACTIVE_CONSUMER","INACTIVE_CONSUMER")</f>
        <v>ACTIVE_CONSUMER</v>
      </c>
      <c r="AN255" t="str">
        <f t="shared" si="42"/>
        <v>Not_eligible</v>
      </c>
      <c r="AQ255" t="str">
        <f>IF(AND(E255="M",F255="checking",Dataset!G255&gt;2000,Dataset!K255&gt;500),"good_client","bad_client")</f>
        <v>bad_client</v>
      </c>
      <c r="AT255" t="s">
        <v>482</v>
      </c>
      <c r="AU255" t="str">
        <f>IF(AND(Dataset!F255="Savings",Dataset!AT255="eligible"),"YES","NO")</f>
        <v>NO</v>
      </c>
      <c r="AW255" s="8"/>
      <c r="AX255" s="12" t="s">
        <v>487</v>
      </c>
      <c r="AY255" s="8" t="s">
        <v>489</v>
      </c>
      <c r="AZ255" s="8"/>
      <c r="BD255" t="str">
        <f t="shared" si="43"/>
        <v>yes</v>
      </c>
    </row>
    <row r="256" spans="1:56" x14ac:dyDescent="0.3">
      <c r="A256">
        <f t="shared" si="44"/>
        <v>255</v>
      </c>
      <c r="B256" s="3" t="s">
        <v>130</v>
      </c>
      <c r="C256" s="3" t="s">
        <v>27</v>
      </c>
      <c r="D256" s="2">
        <v>46</v>
      </c>
      <c r="E256" s="2" t="s">
        <v>21</v>
      </c>
      <c r="F256" s="2" t="s">
        <v>15</v>
      </c>
      <c r="G256" s="2">
        <v>13000</v>
      </c>
      <c r="H256" s="2">
        <v>85000</v>
      </c>
      <c r="I256" s="2" t="s">
        <v>16</v>
      </c>
      <c r="J256" s="2">
        <v>0</v>
      </c>
      <c r="K256" s="2">
        <v>740</v>
      </c>
      <c r="L256" s="2" t="s">
        <v>28</v>
      </c>
      <c r="M256" s="2" t="s">
        <v>82</v>
      </c>
      <c r="N256" s="2" t="s">
        <v>25</v>
      </c>
      <c r="O256">
        <v>7</v>
      </c>
      <c r="R256" t="e">
        <f t="shared" si="35"/>
        <v>#DIV/0!</v>
      </c>
      <c r="S256" t="str">
        <f t="shared" si="36"/>
        <v>DIVISION ERROR</v>
      </c>
      <c r="U256" t="b">
        <v>0</v>
      </c>
      <c r="W256" t="str">
        <f t="shared" si="37"/>
        <v>EVEN</v>
      </c>
      <c r="Y256">
        <f t="shared" si="38"/>
        <v>13</v>
      </c>
      <c r="AB256" t="str">
        <f t="shared" si="39"/>
        <v>Bad_user</v>
      </c>
      <c r="AE256" t="b">
        <f t="shared" si="40"/>
        <v>1</v>
      </c>
      <c r="AG256" t="b">
        <f t="shared" si="41"/>
        <v>0</v>
      </c>
      <c r="AI256" t="str">
        <f>IF(AND(Dataset!G256 &gt;5000,Dataset!H256&gt;7000),"ACTIVE_CONSUMER","INACTIVE_CONSUMER")</f>
        <v>ACTIVE_CONSUMER</v>
      </c>
      <c r="AN256" t="str">
        <f t="shared" si="42"/>
        <v>Not_eligible</v>
      </c>
      <c r="AQ256" t="str">
        <f>IF(AND(E256="M",F256="checking",Dataset!G256&gt;2000,Dataset!K256&gt;500),"good_client","bad_client")</f>
        <v>bad_client</v>
      </c>
      <c r="AT256" t="s">
        <v>482</v>
      </c>
      <c r="AU256" t="str">
        <f>IF(AND(Dataset!F256="Savings",Dataset!AT256="eligible"),"YES","NO")</f>
        <v>NO</v>
      </c>
      <c r="AW256" s="8"/>
      <c r="AX256" s="12" t="s">
        <v>486</v>
      </c>
      <c r="AY256" s="8" t="s">
        <v>490</v>
      </c>
      <c r="AZ256" s="8"/>
      <c r="BD256" t="str">
        <f t="shared" si="43"/>
        <v>yes</v>
      </c>
    </row>
    <row r="257" spans="1:56" x14ac:dyDescent="0.3">
      <c r="A257">
        <f t="shared" si="44"/>
        <v>256</v>
      </c>
      <c r="B257" s="3" t="s">
        <v>101</v>
      </c>
      <c r="C257" s="3" t="s">
        <v>223</v>
      </c>
      <c r="D257" s="2">
        <v>52</v>
      </c>
      <c r="E257" s="2" t="s">
        <v>14</v>
      </c>
      <c r="F257" s="2" t="s">
        <v>22</v>
      </c>
      <c r="G257" s="2">
        <v>4000</v>
      </c>
      <c r="H257" s="2">
        <v>49000</v>
      </c>
      <c r="I257" s="2" t="s">
        <v>23</v>
      </c>
      <c r="J257" s="2">
        <v>7000</v>
      </c>
      <c r="K257" s="2">
        <v>690</v>
      </c>
      <c r="L257" s="2" t="s">
        <v>31</v>
      </c>
      <c r="M257" s="2" t="s">
        <v>80</v>
      </c>
      <c r="N257" s="2" t="s">
        <v>18</v>
      </c>
      <c r="O257">
        <v>12</v>
      </c>
      <c r="R257">
        <f t="shared" si="35"/>
        <v>7</v>
      </c>
      <c r="S257">
        <f t="shared" si="36"/>
        <v>7</v>
      </c>
      <c r="U257" t="b">
        <v>1</v>
      </c>
      <c r="W257" t="str">
        <f t="shared" si="37"/>
        <v>EVEN</v>
      </c>
      <c r="Y257">
        <f t="shared" si="38"/>
        <v>223.5</v>
      </c>
      <c r="AB257" t="str">
        <f t="shared" si="39"/>
        <v>Good_user</v>
      </c>
      <c r="AE257" t="b">
        <f t="shared" si="40"/>
        <v>0</v>
      </c>
      <c r="AG257" t="b">
        <f t="shared" si="41"/>
        <v>0</v>
      </c>
      <c r="AI257" t="str">
        <f>IF(AND(Dataset!G257 &gt;5000,Dataset!H257&gt;7000),"ACTIVE_CONSUMER","INACTIVE_CONSUMER")</f>
        <v>INACTIVE_CONSUMER</v>
      </c>
      <c r="AN257" t="str">
        <f t="shared" si="42"/>
        <v>Not_eligible</v>
      </c>
      <c r="AQ257" t="str">
        <f>IF(AND(E257="M",F257="checking",Dataset!G257&gt;2000,Dataset!K257&gt;500),"good_client","bad_client")</f>
        <v>bad_client</v>
      </c>
      <c r="AT257" t="s">
        <v>482</v>
      </c>
      <c r="AU257" t="str">
        <f>IF(AND(Dataset!F257="Savings",Dataset!AT257="eligible"),"YES","NO")</f>
        <v>NO</v>
      </c>
      <c r="AW257" s="8"/>
      <c r="AX257" s="12" t="s">
        <v>487</v>
      </c>
      <c r="AY257" s="8" t="s">
        <v>489</v>
      </c>
      <c r="AZ257" s="8"/>
      <c r="BD257" t="str">
        <f t="shared" si="43"/>
        <v>yes</v>
      </c>
    </row>
    <row r="258" spans="1:56" x14ac:dyDescent="0.3">
      <c r="A258">
        <f t="shared" si="44"/>
        <v>257</v>
      </c>
      <c r="B258" s="3" t="s">
        <v>202</v>
      </c>
      <c r="C258" s="3" t="s">
        <v>181</v>
      </c>
      <c r="D258" s="2">
        <v>24</v>
      </c>
      <c r="E258" s="2" t="s">
        <v>14</v>
      </c>
      <c r="F258" s="2" t="s">
        <v>15</v>
      </c>
      <c r="G258" s="2">
        <v>2200</v>
      </c>
      <c r="H258" s="2">
        <v>45000</v>
      </c>
      <c r="I258" s="2" t="s">
        <v>16</v>
      </c>
      <c r="J258" s="2">
        <v>0</v>
      </c>
      <c r="K258" s="2">
        <v>670</v>
      </c>
      <c r="L258" s="2" t="s">
        <v>17</v>
      </c>
      <c r="M258" s="2" t="s">
        <v>81</v>
      </c>
      <c r="N258" s="2" t="s">
        <v>25</v>
      </c>
      <c r="O258">
        <v>11</v>
      </c>
      <c r="R258" t="e">
        <f t="shared" si="35"/>
        <v>#DIV/0!</v>
      </c>
      <c r="S258" t="str">
        <f t="shared" si="36"/>
        <v>DIVISION ERROR</v>
      </c>
      <c r="U258" t="b">
        <v>0</v>
      </c>
      <c r="W258" t="str">
        <f t="shared" si="37"/>
        <v>EVEN</v>
      </c>
      <c r="Y258">
        <f t="shared" si="38"/>
        <v>334</v>
      </c>
      <c r="AB258" t="str">
        <f t="shared" si="39"/>
        <v>Bad_user</v>
      </c>
      <c r="AE258" t="b">
        <f t="shared" si="40"/>
        <v>1</v>
      </c>
      <c r="AG258" t="b">
        <f t="shared" si="41"/>
        <v>0</v>
      </c>
      <c r="AI258" t="str">
        <f>IF(AND(Dataset!G258 &gt;5000,Dataset!H258&gt;7000),"ACTIVE_CONSUMER","INACTIVE_CONSUMER")</f>
        <v>INACTIVE_CONSUMER</v>
      </c>
      <c r="AN258" t="str">
        <f t="shared" si="42"/>
        <v>Not_eligible</v>
      </c>
      <c r="AQ258" t="str">
        <f>IF(AND(E258="M",F258="checking",Dataset!G258&gt;2000,Dataset!K258&gt;500),"good_client","bad_client")</f>
        <v>good_client</v>
      </c>
      <c r="AT258" t="s">
        <v>482</v>
      </c>
      <c r="AU258" t="str">
        <f>IF(AND(Dataset!F258="Savings",Dataset!AT258="eligible"),"YES","NO")</f>
        <v>NO</v>
      </c>
      <c r="AW258" s="8"/>
      <c r="AX258" s="12" t="s">
        <v>487</v>
      </c>
      <c r="AY258" s="8" t="s">
        <v>490</v>
      </c>
      <c r="AZ258" s="8"/>
      <c r="BD258" t="str">
        <f t="shared" si="43"/>
        <v>yes</v>
      </c>
    </row>
    <row r="259" spans="1:56" x14ac:dyDescent="0.3">
      <c r="A259">
        <f t="shared" si="44"/>
        <v>258</v>
      </c>
      <c r="B259" s="3" t="s">
        <v>118</v>
      </c>
      <c r="C259" s="3" t="s">
        <v>165</v>
      </c>
      <c r="D259" s="2">
        <v>38</v>
      </c>
      <c r="E259" s="2" t="s">
        <v>14</v>
      </c>
      <c r="F259" s="2" t="s">
        <v>22</v>
      </c>
      <c r="G259" s="2">
        <v>15000</v>
      </c>
      <c r="H259" s="2">
        <v>77000</v>
      </c>
      <c r="I259" s="2" t="s">
        <v>23</v>
      </c>
      <c r="J259" s="2">
        <v>15000</v>
      </c>
      <c r="K259" s="2">
        <v>720</v>
      </c>
      <c r="L259" s="2" t="s">
        <v>24</v>
      </c>
      <c r="M259" s="2" t="s">
        <v>82</v>
      </c>
      <c r="N259" s="2" t="s">
        <v>18</v>
      </c>
      <c r="O259">
        <v>3</v>
      </c>
      <c r="R259">
        <f t="shared" ref="R259:R322" si="45">H259/J259</f>
        <v>5.1333333333333337</v>
      </c>
      <c r="S259">
        <f t="shared" ref="S259:S322" si="46">IFERROR(R259,"DIVISION ERROR")</f>
        <v>5.1333333333333337</v>
      </c>
      <c r="U259" t="b">
        <v>1</v>
      </c>
      <c r="W259" t="str">
        <f t="shared" ref="W259:W322" si="47">IF(ISODD(D259),"ODD","EVEN")</f>
        <v>EVEN</v>
      </c>
      <c r="Y259">
        <f t="shared" ref="Y259:Y322" si="48">_xlfn.RANK.AVG(K259,$K$2:$K$350,0)</f>
        <v>60</v>
      </c>
      <c r="AB259" t="str">
        <f t="shared" ref="AB259:AB322" si="49">IF(N259="Active","Good_user","Bad_user")</f>
        <v>Good_user</v>
      </c>
      <c r="AE259" t="b">
        <f t="shared" ref="AE259:AE322" si="50">ISERROR(R259)</f>
        <v>0</v>
      </c>
      <c r="AG259" t="b">
        <f t="shared" ref="AG259:AG322" si="51">ISTEXT(O259)</f>
        <v>0</v>
      </c>
      <c r="AI259" t="str">
        <f>IF(AND(Dataset!G259 &gt;5000,Dataset!H259&gt;7000),"ACTIVE_CONSUMER","INACTIVE_CONSUMER")</f>
        <v>ACTIVE_CONSUMER</v>
      </c>
      <c r="AN259" t="str">
        <f t="shared" ref="AN259:AN322" si="52">IF(AND(D259&gt;40,H259&lt;8000,K259&lt;300),"Eligible","Not_eligible")</f>
        <v>Not_eligible</v>
      </c>
      <c r="AQ259" t="str">
        <f>IF(AND(E259="M",F259="checking",Dataset!G259&gt;2000,Dataset!K259&gt;500),"good_client","bad_client")</f>
        <v>bad_client</v>
      </c>
      <c r="AT259" t="s">
        <v>482</v>
      </c>
      <c r="AU259" t="str">
        <f>IF(AND(Dataset!F259="Savings",Dataset!AT259="eligible"),"YES","NO")</f>
        <v>NO</v>
      </c>
      <c r="AW259" s="8"/>
      <c r="AX259" s="12" t="s">
        <v>486</v>
      </c>
      <c r="AY259" s="8" t="s">
        <v>489</v>
      </c>
      <c r="AZ259" s="8"/>
      <c r="BD259" t="str">
        <f t="shared" ref="BD259:BD322" si="53">IF(H259&gt;6000,"yes","no")</f>
        <v>yes</v>
      </c>
    </row>
    <row r="260" spans="1:56" x14ac:dyDescent="0.3">
      <c r="A260">
        <f t="shared" si="44"/>
        <v>259</v>
      </c>
      <c r="B260" s="3" t="s">
        <v>122</v>
      </c>
      <c r="C260" s="3" t="s">
        <v>41</v>
      </c>
      <c r="D260" s="2">
        <v>27</v>
      </c>
      <c r="E260" s="2" t="s">
        <v>21</v>
      </c>
      <c r="F260" s="2" t="s">
        <v>15</v>
      </c>
      <c r="G260" s="2">
        <v>4000</v>
      </c>
      <c r="H260" s="2">
        <v>50000</v>
      </c>
      <c r="I260" s="2" t="s">
        <v>16</v>
      </c>
      <c r="J260" s="2">
        <v>0</v>
      </c>
      <c r="K260" s="2">
        <v>680</v>
      </c>
      <c r="L260" s="2" t="s">
        <v>28</v>
      </c>
      <c r="M260" s="2" t="s">
        <v>80</v>
      </c>
      <c r="N260" s="2" t="s">
        <v>25</v>
      </c>
      <c r="O260">
        <v>5</v>
      </c>
      <c r="R260" t="e">
        <f t="shared" si="45"/>
        <v>#DIV/0!</v>
      </c>
      <c r="S260" t="str">
        <f t="shared" si="46"/>
        <v>DIVISION ERROR</v>
      </c>
      <c r="U260" t="b">
        <v>0</v>
      </c>
      <c r="W260" t="str">
        <f t="shared" si="47"/>
        <v>ODD</v>
      </c>
      <c r="Y260">
        <f t="shared" si="48"/>
        <v>286</v>
      </c>
      <c r="AB260" t="str">
        <f t="shared" si="49"/>
        <v>Bad_user</v>
      </c>
      <c r="AE260" t="b">
        <f t="shared" si="50"/>
        <v>1</v>
      </c>
      <c r="AG260" t="b">
        <f t="shared" si="51"/>
        <v>0</v>
      </c>
      <c r="AI260" t="str">
        <f>IF(AND(Dataset!G260 &gt;5000,Dataset!H260&gt;7000),"ACTIVE_CONSUMER","INACTIVE_CONSUMER")</f>
        <v>INACTIVE_CONSUMER</v>
      </c>
      <c r="AN260" t="str">
        <f t="shared" si="52"/>
        <v>Not_eligible</v>
      </c>
      <c r="AQ260" t="str">
        <f>IF(AND(E260="M",F260="checking",Dataset!G260&gt;2000,Dataset!K260&gt;500),"good_client","bad_client")</f>
        <v>bad_client</v>
      </c>
      <c r="AT260" t="s">
        <v>482</v>
      </c>
      <c r="AU260" t="str">
        <f>IF(AND(Dataset!F260="Savings",Dataset!AT260="eligible"),"YES","NO")</f>
        <v>NO</v>
      </c>
      <c r="AW260" s="8"/>
      <c r="AX260" s="12" t="s">
        <v>487</v>
      </c>
      <c r="AY260" s="8" t="s">
        <v>490</v>
      </c>
      <c r="AZ260" s="8"/>
      <c r="BD260" t="str">
        <f t="shared" si="53"/>
        <v>yes</v>
      </c>
    </row>
    <row r="261" spans="1:56" x14ac:dyDescent="0.3">
      <c r="A261">
        <f t="shared" si="44"/>
        <v>260</v>
      </c>
      <c r="B261" s="3" t="s">
        <v>36</v>
      </c>
      <c r="C261" s="3" t="s">
        <v>298</v>
      </c>
      <c r="D261" s="2">
        <v>41</v>
      </c>
      <c r="E261" s="2" t="s">
        <v>14</v>
      </c>
      <c r="F261" s="2" t="s">
        <v>22</v>
      </c>
      <c r="G261" s="2">
        <v>9000</v>
      </c>
      <c r="H261" s="2">
        <v>69000</v>
      </c>
      <c r="I261" s="2" t="s">
        <v>23</v>
      </c>
      <c r="J261" s="2">
        <v>12000</v>
      </c>
      <c r="K261" s="2">
        <v>700</v>
      </c>
      <c r="L261" s="2" t="s">
        <v>31</v>
      </c>
      <c r="M261" s="2" t="s">
        <v>82</v>
      </c>
      <c r="N261" s="2" t="s">
        <v>18</v>
      </c>
      <c r="O261">
        <v>3</v>
      </c>
      <c r="R261">
        <f t="shared" si="45"/>
        <v>5.75</v>
      </c>
      <c r="S261">
        <f t="shared" si="46"/>
        <v>5.75</v>
      </c>
      <c r="U261" t="b">
        <v>1</v>
      </c>
      <c r="W261" t="str">
        <f t="shared" si="47"/>
        <v>ODD</v>
      </c>
      <c r="Y261">
        <f t="shared" si="48"/>
        <v>170</v>
      </c>
      <c r="AB261" t="str">
        <f t="shared" si="49"/>
        <v>Good_user</v>
      </c>
      <c r="AE261" t="b">
        <f t="shared" si="50"/>
        <v>0</v>
      </c>
      <c r="AG261" t="b">
        <f t="shared" si="51"/>
        <v>0</v>
      </c>
      <c r="AI261" t="str">
        <f>IF(AND(Dataset!G261 &gt;5000,Dataset!H261&gt;7000),"ACTIVE_CONSUMER","INACTIVE_CONSUMER")</f>
        <v>ACTIVE_CONSUMER</v>
      </c>
      <c r="AN261" t="str">
        <f t="shared" si="52"/>
        <v>Not_eligible</v>
      </c>
      <c r="AQ261" t="str">
        <f>IF(AND(E261="M",F261="checking",Dataset!G261&gt;2000,Dataset!K261&gt;500),"good_client","bad_client")</f>
        <v>bad_client</v>
      </c>
      <c r="AT261" t="s">
        <v>482</v>
      </c>
      <c r="AU261" t="str">
        <f>IF(AND(Dataset!F261="Savings",Dataset!AT261="eligible"),"YES","NO")</f>
        <v>NO</v>
      </c>
      <c r="AW261" s="8"/>
      <c r="AX261" s="12" t="s">
        <v>486</v>
      </c>
      <c r="AY261" s="8" t="s">
        <v>489</v>
      </c>
      <c r="AZ261" s="8"/>
      <c r="BD261" t="str">
        <f t="shared" si="53"/>
        <v>yes</v>
      </c>
    </row>
    <row r="262" spans="1:56" x14ac:dyDescent="0.3">
      <c r="A262">
        <f t="shared" si="44"/>
        <v>261</v>
      </c>
      <c r="B262" s="3" t="s">
        <v>273</v>
      </c>
      <c r="C262" s="3" t="s">
        <v>212</v>
      </c>
      <c r="D262" s="2">
        <v>32</v>
      </c>
      <c r="E262" s="2" t="s">
        <v>21</v>
      </c>
      <c r="F262" s="2" t="s">
        <v>15</v>
      </c>
      <c r="G262" s="2">
        <v>5500</v>
      </c>
      <c r="H262" s="2">
        <v>54000</v>
      </c>
      <c r="I262" s="2" t="s">
        <v>16</v>
      </c>
      <c r="J262" s="2">
        <v>0</v>
      </c>
      <c r="K262" s="2">
        <v>710</v>
      </c>
      <c r="L262" s="2" t="s">
        <v>17</v>
      </c>
      <c r="M262" s="2" t="s">
        <v>80</v>
      </c>
      <c r="N262" s="2" t="s">
        <v>25</v>
      </c>
      <c r="O262">
        <v>11</v>
      </c>
      <c r="R262" t="e">
        <f t="shared" si="45"/>
        <v>#DIV/0!</v>
      </c>
      <c r="S262" t="str">
        <f t="shared" si="46"/>
        <v>DIVISION ERROR</v>
      </c>
      <c r="U262" t="b">
        <v>0</v>
      </c>
      <c r="W262" t="str">
        <f t="shared" si="47"/>
        <v>EVEN</v>
      </c>
      <c r="Y262">
        <f t="shared" si="48"/>
        <v>120.5</v>
      </c>
      <c r="AB262" t="str">
        <f t="shared" si="49"/>
        <v>Bad_user</v>
      </c>
      <c r="AE262" t="b">
        <f t="shared" si="50"/>
        <v>1</v>
      </c>
      <c r="AG262" t="b">
        <f t="shared" si="51"/>
        <v>0</v>
      </c>
      <c r="AI262" t="str">
        <f>IF(AND(Dataset!G262 &gt;5000,Dataset!H262&gt;7000),"ACTIVE_CONSUMER","INACTIVE_CONSUMER")</f>
        <v>ACTIVE_CONSUMER</v>
      </c>
      <c r="AN262" t="str">
        <f t="shared" si="52"/>
        <v>Not_eligible</v>
      </c>
      <c r="AQ262" t="str">
        <f>IF(AND(E262="M",F262="checking",Dataset!G262&gt;2000,Dataset!K262&gt;500),"good_client","bad_client")</f>
        <v>bad_client</v>
      </c>
      <c r="AT262" t="s">
        <v>482</v>
      </c>
      <c r="AU262" t="str">
        <f>IF(AND(Dataset!F262="Savings",Dataset!AT262="eligible"),"YES","NO")</f>
        <v>NO</v>
      </c>
      <c r="AW262" s="8"/>
      <c r="AX262" s="12" t="s">
        <v>487</v>
      </c>
      <c r="AY262" s="8" t="s">
        <v>490</v>
      </c>
      <c r="AZ262" s="8"/>
      <c r="BD262" t="str">
        <f t="shared" si="53"/>
        <v>yes</v>
      </c>
    </row>
    <row r="263" spans="1:56" x14ac:dyDescent="0.3">
      <c r="A263">
        <f t="shared" si="44"/>
        <v>262</v>
      </c>
      <c r="B263" s="3" t="s">
        <v>186</v>
      </c>
      <c r="C263" s="3" t="s">
        <v>63</v>
      </c>
      <c r="D263" s="2">
        <v>47</v>
      </c>
      <c r="E263" s="2" t="s">
        <v>14</v>
      </c>
      <c r="F263" s="2" t="s">
        <v>22</v>
      </c>
      <c r="G263" s="2">
        <v>7000</v>
      </c>
      <c r="H263" s="2">
        <v>74000</v>
      </c>
      <c r="I263" s="2" t="s">
        <v>23</v>
      </c>
      <c r="J263" s="2">
        <v>10000</v>
      </c>
      <c r="K263" s="2">
        <v>690</v>
      </c>
      <c r="L263" s="2" t="s">
        <v>24</v>
      </c>
      <c r="M263" s="2" t="s">
        <v>81</v>
      </c>
      <c r="N263" s="2" t="s">
        <v>18</v>
      </c>
      <c r="O263">
        <v>11</v>
      </c>
      <c r="R263">
        <f t="shared" si="45"/>
        <v>7.4</v>
      </c>
      <c r="S263">
        <f t="shared" si="46"/>
        <v>7.4</v>
      </c>
      <c r="U263" t="b">
        <v>1</v>
      </c>
      <c r="W263" t="str">
        <f t="shared" si="47"/>
        <v>ODD</v>
      </c>
      <c r="Y263">
        <f t="shared" si="48"/>
        <v>223.5</v>
      </c>
      <c r="AB263" t="str">
        <f t="shared" si="49"/>
        <v>Good_user</v>
      </c>
      <c r="AE263" t="b">
        <f t="shared" si="50"/>
        <v>0</v>
      </c>
      <c r="AG263" t="b">
        <f t="shared" si="51"/>
        <v>0</v>
      </c>
      <c r="AI263" t="str">
        <f>IF(AND(Dataset!G263 &gt;5000,Dataset!H263&gt;7000),"ACTIVE_CONSUMER","INACTIVE_CONSUMER")</f>
        <v>ACTIVE_CONSUMER</v>
      </c>
      <c r="AN263" t="str">
        <f t="shared" si="52"/>
        <v>Not_eligible</v>
      </c>
      <c r="AQ263" t="str">
        <f>IF(AND(E263="M",F263="checking",Dataset!G263&gt;2000,Dataset!K263&gt;500),"good_client","bad_client")</f>
        <v>bad_client</v>
      </c>
      <c r="AT263" t="s">
        <v>482</v>
      </c>
      <c r="AU263" t="str">
        <f>IF(AND(Dataset!F263="Savings",Dataset!AT263="eligible"),"YES","NO")</f>
        <v>NO</v>
      </c>
      <c r="AW263" s="8"/>
      <c r="AX263" s="12" t="s">
        <v>487</v>
      </c>
      <c r="AY263" s="8" t="s">
        <v>489</v>
      </c>
      <c r="AZ263" s="8"/>
      <c r="BD263" t="str">
        <f t="shared" si="53"/>
        <v>yes</v>
      </c>
    </row>
    <row r="264" spans="1:56" x14ac:dyDescent="0.3">
      <c r="A264">
        <f t="shared" si="44"/>
        <v>263</v>
      </c>
      <c r="B264" s="3" t="s">
        <v>299</v>
      </c>
      <c r="C264" s="3" t="s">
        <v>151</v>
      </c>
      <c r="D264" s="2">
        <v>35</v>
      </c>
      <c r="E264" s="2" t="s">
        <v>21</v>
      </c>
      <c r="F264" s="2" t="s">
        <v>15</v>
      </c>
      <c r="G264" s="2">
        <v>6000</v>
      </c>
      <c r="H264" s="2">
        <v>68000</v>
      </c>
      <c r="I264" s="2" t="s">
        <v>16</v>
      </c>
      <c r="J264" s="2">
        <v>0</v>
      </c>
      <c r="K264" s="2">
        <v>720</v>
      </c>
      <c r="L264" s="2" t="s">
        <v>28</v>
      </c>
      <c r="M264" s="2" t="s">
        <v>81</v>
      </c>
      <c r="N264" s="2" t="s">
        <v>25</v>
      </c>
      <c r="O264">
        <v>6</v>
      </c>
      <c r="R264" t="e">
        <f t="shared" si="45"/>
        <v>#DIV/0!</v>
      </c>
      <c r="S264" t="str">
        <f t="shared" si="46"/>
        <v>DIVISION ERROR</v>
      </c>
      <c r="U264" t="b">
        <v>0</v>
      </c>
      <c r="W264" t="str">
        <f t="shared" si="47"/>
        <v>ODD</v>
      </c>
      <c r="Y264">
        <f t="shared" si="48"/>
        <v>60</v>
      </c>
      <c r="AB264" t="str">
        <f t="shared" si="49"/>
        <v>Bad_user</v>
      </c>
      <c r="AE264" t="b">
        <f t="shared" si="50"/>
        <v>1</v>
      </c>
      <c r="AG264" t="b">
        <f t="shared" si="51"/>
        <v>0</v>
      </c>
      <c r="AI264" t="str">
        <f>IF(AND(Dataset!G264 &gt;5000,Dataset!H264&gt;7000),"ACTIVE_CONSUMER","INACTIVE_CONSUMER")</f>
        <v>ACTIVE_CONSUMER</v>
      </c>
      <c r="AN264" t="str">
        <f t="shared" si="52"/>
        <v>Not_eligible</v>
      </c>
      <c r="AQ264" t="str">
        <f>IF(AND(E264="M",F264="checking",Dataset!G264&gt;2000,Dataset!K264&gt;500),"good_client","bad_client")</f>
        <v>bad_client</v>
      </c>
      <c r="AT264" t="s">
        <v>482</v>
      </c>
      <c r="AU264" t="str">
        <f>IF(AND(Dataset!F264="Savings",Dataset!AT264="eligible"),"YES","NO")</f>
        <v>NO</v>
      </c>
      <c r="AW264" s="8"/>
      <c r="AX264" s="12" t="s">
        <v>487</v>
      </c>
      <c r="AY264" s="8" t="s">
        <v>490</v>
      </c>
      <c r="AZ264" s="8"/>
      <c r="BD264" t="str">
        <f t="shared" si="53"/>
        <v>yes</v>
      </c>
    </row>
    <row r="265" spans="1:56" x14ac:dyDescent="0.3">
      <c r="A265">
        <f t="shared" si="44"/>
        <v>264</v>
      </c>
      <c r="B265" s="3" t="s">
        <v>300</v>
      </c>
      <c r="C265" s="3" t="s">
        <v>177</v>
      </c>
      <c r="D265" s="2">
        <v>29</v>
      </c>
      <c r="E265" s="2" t="s">
        <v>14</v>
      </c>
      <c r="F265" s="2" t="s">
        <v>22</v>
      </c>
      <c r="G265" s="2">
        <v>2500</v>
      </c>
      <c r="H265" s="2">
        <v>45000</v>
      </c>
      <c r="I265" s="2" t="s">
        <v>23</v>
      </c>
      <c r="J265" s="2">
        <v>5000</v>
      </c>
      <c r="K265" s="2">
        <v>670</v>
      </c>
      <c r="L265" s="2" t="s">
        <v>31</v>
      </c>
      <c r="M265" s="2" t="s">
        <v>81</v>
      </c>
      <c r="N265" s="2" t="s">
        <v>18</v>
      </c>
      <c r="O265">
        <v>6</v>
      </c>
      <c r="R265">
        <f t="shared" si="45"/>
        <v>9</v>
      </c>
      <c r="S265">
        <f t="shared" si="46"/>
        <v>9</v>
      </c>
      <c r="U265" t="b">
        <v>1</v>
      </c>
      <c r="W265" t="str">
        <f t="shared" si="47"/>
        <v>ODD</v>
      </c>
      <c r="Y265">
        <f t="shared" si="48"/>
        <v>334</v>
      </c>
      <c r="AB265" t="str">
        <f t="shared" si="49"/>
        <v>Good_user</v>
      </c>
      <c r="AE265" t="b">
        <f t="shared" si="50"/>
        <v>0</v>
      </c>
      <c r="AG265" t="b">
        <f t="shared" si="51"/>
        <v>0</v>
      </c>
      <c r="AI265" t="str">
        <f>IF(AND(Dataset!G265 &gt;5000,Dataset!H265&gt;7000),"ACTIVE_CONSUMER","INACTIVE_CONSUMER")</f>
        <v>INACTIVE_CONSUMER</v>
      </c>
      <c r="AN265" t="str">
        <f t="shared" si="52"/>
        <v>Not_eligible</v>
      </c>
      <c r="AQ265" t="str">
        <f>IF(AND(E265="M",F265="checking",Dataset!G265&gt;2000,Dataset!K265&gt;500),"good_client","bad_client")</f>
        <v>bad_client</v>
      </c>
      <c r="AT265" t="s">
        <v>482</v>
      </c>
      <c r="AU265" t="str">
        <f>IF(AND(Dataset!F265="Savings",Dataset!AT265="eligible"),"YES","NO")</f>
        <v>NO</v>
      </c>
      <c r="AW265" s="8"/>
      <c r="AX265" s="12" t="s">
        <v>487</v>
      </c>
      <c r="AY265" s="8" t="s">
        <v>489</v>
      </c>
      <c r="AZ265" s="8"/>
      <c r="BD265" t="str">
        <f t="shared" si="53"/>
        <v>yes</v>
      </c>
    </row>
    <row r="266" spans="1:56" x14ac:dyDescent="0.3">
      <c r="A266">
        <f t="shared" si="44"/>
        <v>265</v>
      </c>
      <c r="B266" s="3" t="s">
        <v>38</v>
      </c>
      <c r="C266" s="3" t="s">
        <v>20</v>
      </c>
      <c r="D266" s="2">
        <v>42</v>
      </c>
      <c r="E266" s="2" t="s">
        <v>21</v>
      </c>
      <c r="F266" s="2" t="s">
        <v>15</v>
      </c>
      <c r="G266" s="2">
        <v>11000</v>
      </c>
      <c r="H266" s="2">
        <v>80000</v>
      </c>
      <c r="I266" s="2" t="s">
        <v>16</v>
      </c>
      <c r="J266" s="2">
        <v>0</v>
      </c>
      <c r="K266" s="2">
        <v>740</v>
      </c>
      <c r="L266" s="2" t="s">
        <v>17</v>
      </c>
      <c r="M266" s="2" t="s">
        <v>82</v>
      </c>
      <c r="N266" s="2" t="s">
        <v>25</v>
      </c>
      <c r="O266">
        <v>5</v>
      </c>
      <c r="R266" t="e">
        <f t="shared" si="45"/>
        <v>#DIV/0!</v>
      </c>
      <c r="S266" t="str">
        <f t="shared" si="46"/>
        <v>DIVISION ERROR</v>
      </c>
      <c r="U266" t="b">
        <v>0</v>
      </c>
      <c r="W266" t="str">
        <f t="shared" si="47"/>
        <v>EVEN</v>
      </c>
      <c r="Y266">
        <f t="shared" si="48"/>
        <v>13</v>
      </c>
      <c r="AB266" t="str">
        <f t="shared" si="49"/>
        <v>Bad_user</v>
      </c>
      <c r="AE266" t="b">
        <f t="shared" si="50"/>
        <v>1</v>
      </c>
      <c r="AG266" t="b">
        <f t="shared" si="51"/>
        <v>0</v>
      </c>
      <c r="AI266" t="str">
        <f>IF(AND(Dataset!G266 &gt;5000,Dataset!H266&gt;7000),"ACTIVE_CONSUMER","INACTIVE_CONSUMER")</f>
        <v>ACTIVE_CONSUMER</v>
      </c>
      <c r="AN266" t="str">
        <f t="shared" si="52"/>
        <v>Not_eligible</v>
      </c>
      <c r="AQ266" t="str">
        <f>IF(AND(E266="M",F266="checking",Dataset!G266&gt;2000,Dataset!K266&gt;500),"good_client","bad_client")</f>
        <v>bad_client</v>
      </c>
      <c r="AT266" t="s">
        <v>482</v>
      </c>
      <c r="AU266" t="str">
        <f>IF(AND(Dataset!F266="Savings",Dataset!AT266="eligible"),"YES","NO")</f>
        <v>NO</v>
      </c>
      <c r="AW266" s="8"/>
      <c r="AX266" s="12" t="s">
        <v>486</v>
      </c>
      <c r="AY266" s="8" t="s">
        <v>490</v>
      </c>
      <c r="AZ266" s="8"/>
      <c r="BD266" t="str">
        <f t="shared" si="53"/>
        <v>yes</v>
      </c>
    </row>
    <row r="267" spans="1:56" x14ac:dyDescent="0.3">
      <c r="A267">
        <f t="shared" si="44"/>
        <v>266</v>
      </c>
      <c r="B267" s="3" t="s">
        <v>100</v>
      </c>
      <c r="C267" s="3" t="s">
        <v>27</v>
      </c>
      <c r="D267" s="2">
        <v>50</v>
      </c>
      <c r="E267" s="2" t="s">
        <v>14</v>
      </c>
      <c r="F267" s="2" t="s">
        <v>22</v>
      </c>
      <c r="G267" s="2">
        <v>3000</v>
      </c>
      <c r="H267" s="2">
        <v>47000</v>
      </c>
      <c r="I267" s="2" t="s">
        <v>23</v>
      </c>
      <c r="J267" s="2">
        <v>8000</v>
      </c>
      <c r="K267" s="2">
        <v>680</v>
      </c>
      <c r="L267" s="2" t="s">
        <v>24</v>
      </c>
      <c r="M267" s="2" t="s">
        <v>82</v>
      </c>
      <c r="N267" s="2" t="s">
        <v>18</v>
      </c>
      <c r="O267">
        <v>4</v>
      </c>
      <c r="R267">
        <f t="shared" si="45"/>
        <v>5.875</v>
      </c>
      <c r="S267">
        <f t="shared" si="46"/>
        <v>5.875</v>
      </c>
      <c r="U267" t="b">
        <v>1</v>
      </c>
      <c r="W267" t="str">
        <f t="shared" si="47"/>
        <v>EVEN</v>
      </c>
      <c r="Y267">
        <f t="shared" si="48"/>
        <v>286</v>
      </c>
      <c r="AB267" t="str">
        <f t="shared" si="49"/>
        <v>Good_user</v>
      </c>
      <c r="AE267" t="b">
        <f t="shared" si="50"/>
        <v>0</v>
      </c>
      <c r="AG267" t="b">
        <f t="shared" si="51"/>
        <v>0</v>
      </c>
      <c r="AI267" t="str">
        <f>IF(AND(Dataset!G267 &gt;5000,Dataset!H267&gt;7000),"ACTIVE_CONSUMER","INACTIVE_CONSUMER")</f>
        <v>INACTIVE_CONSUMER</v>
      </c>
      <c r="AN267" t="str">
        <f t="shared" si="52"/>
        <v>Not_eligible</v>
      </c>
      <c r="AQ267" t="str">
        <f>IF(AND(E267="M",F267="checking",Dataset!G267&gt;2000,Dataset!K267&gt;500),"good_client","bad_client")</f>
        <v>bad_client</v>
      </c>
      <c r="AT267" t="s">
        <v>482</v>
      </c>
      <c r="AU267" t="str">
        <f>IF(AND(Dataset!F267="Savings",Dataset!AT267="eligible"),"YES","NO")</f>
        <v>NO</v>
      </c>
      <c r="AW267" s="8"/>
      <c r="AX267" s="12" t="s">
        <v>486</v>
      </c>
      <c r="AY267" s="8" t="s">
        <v>489</v>
      </c>
      <c r="AZ267" s="8"/>
      <c r="BD267" t="str">
        <f t="shared" si="53"/>
        <v>yes</v>
      </c>
    </row>
    <row r="268" spans="1:56" x14ac:dyDescent="0.3">
      <c r="A268">
        <f t="shared" si="44"/>
        <v>267</v>
      </c>
      <c r="B268" s="3" t="s">
        <v>12</v>
      </c>
      <c r="C268" s="3" t="s">
        <v>30</v>
      </c>
      <c r="D268" s="2">
        <v>28</v>
      </c>
      <c r="E268" s="2" t="s">
        <v>21</v>
      </c>
      <c r="F268" s="2" t="s">
        <v>15</v>
      </c>
      <c r="G268" s="2">
        <v>4000</v>
      </c>
      <c r="H268" s="2">
        <v>53000</v>
      </c>
      <c r="I268" s="2" t="s">
        <v>16</v>
      </c>
      <c r="J268" s="2">
        <v>0</v>
      </c>
      <c r="K268" s="2">
        <v>690</v>
      </c>
      <c r="L268" s="2" t="s">
        <v>28</v>
      </c>
      <c r="M268" s="2" t="s">
        <v>80</v>
      </c>
      <c r="N268" s="2" t="s">
        <v>25</v>
      </c>
      <c r="O268">
        <v>6</v>
      </c>
      <c r="R268" t="e">
        <f t="shared" si="45"/>
        <v>#DIV/0!</v>
      </c>
      <c r="S268" t="str">
        <f t="shared" si="46"/>
        <v>DIVISION ERROR</v>
      </c>
      <c r="U268" t="b">
        <v>0</v>
      </c>
      <c r="W268" t="str">
        <f t="shared" si="47"/>
        <v>EVEN</v>
      </c>
      <c r="Y268">
        <f t="shared" si="48"/>
        <v>223.5</v>
      </c>
      <c r="AB268" t="str">
        <f t="shared" si="49"/>
        <v>Bad_user</v>
      </c>
      <c r="AE268" t="b">
        <f t="shared" si="50"/>
        <v>1</v>
      </c>
      <c r="AG268" t="b">
        <f t="shared" si="51"/>
        <v>0</v>
      </c>
      <c r="AI268" t="str">
        <f>IF(AND(Dataset!G268 &gt;5000,Dataset!H268&gt;7000),"ACTIVE_CONSUMER","INACTIVE_CONSUMER")</f>
        <v>INACTIVE_CONSUMER</v>
      </c>
      <c r="AN268" t="str">
        <f t="shared" si="52"/>
        <v>Not_eligible</v>
      </c>
      <c r="AQ268" t="str">
        <f>IF(AND(E268="M",F268="checking",Dataset!G268&gt;2000,Dataset!K268&gt;500),"good_client","bad_client")</f>
        <v>bad_client</v>
      </c>
      <c r="AT268" t="s">
        <v>482</v>
      </c>
      <c r="AU268" t="str">
        <f>IF(AND(Dataset!F268="Savings",Dataset!AT268="eligible"),"YES","NO")</f>
        <v>NO</v>
      </c>
      <c r="AW268" s="8"/>
      <c r="AX268" s="12" t="s">
        <v>487</v>
      </c>
      <c r="AY268" s="8" t="s">
        <v>490</v>
      </c>
      <c r="AZ268" s="8"/>
      <c r="BD268" t="str">
        <f t="shared" si="53"/>
        <v>yes</v>
      </c>
    </row>
    <row r="269" spans="1:56" x14ac:dyDescent="0.3">
      <c r="A269">
        <f t="shared" si="44"/>
        <v>268</v>
      </c>
      <c r="B269" s="3" t="s">
        <v>101</v>
      </c>
      <c r="C269" s="3" t="s">
        <v>102</v>
      </c>
      <c r="D269" s="2">
        <v>36</v>
      </c>
      <c r="E269" s="2" t="s">
        <v>14</v>
      </c>
      <c r="F269" s="2" t="s">
        <v>22</v>
      </c>
      <c r="G269" s="2">
        <v>9000</v>
      </c>
      <c r="H269" s="2">
        <v>71000</v>
      </c>
      <c r="I269" s="2" t="s">
        <v>23</v>
      </c>
      <c r="J269" s="2">
        <v>13000</v>
      </c>
      <c r="K269" s="2">
        <v>700</v>
      </c>
      <c r="L269" s="2" t="s">
        <v>31</v>
      </c>
      <c r="M269" s="2" t="s">
        <v>81</v>
      </c>
      <c r="N269" s="2" t="s">
        <v>18</v>
      </c>
      <c r="O269">
        <v>5</v>
      </c>
      <c r="R269">
        <f t="shared" si="45"/>
        <v>5.4615384615384617</v>
      </c>
      <c r="S269">
        <f t="shared" si="46"/>
        <v>5.4615384615384617</v>
      </c>
      <c r="U269" t="b">
        <v>1</v>
      </c>
      <c r="W269" t="str">
        <f t="shared" si="47"/>
        <v>EVEN</v>
      </c>
      <c r="Y269">
        <f t="shared" si="48"/>
        <v>170</v>
      </c>
      <c r="AB269" t="str">
        <f t="shared" si="49"/>
        <v>Good_user</v>
      </c>
      <c r="AE269" t="b">
        <f t="shared" si="50"/>
        <v>0</v>
      </c>
      <c r="AG269" t="b">
        <f t="shared" si="51"/>
        <v>0</v>
      </c>
      <c r="AI269" t="str">
        <f>IF(AND(Dataset!G269 &gt;5000,Dataset!H269&gt;7000),"ACTIVE_CONSUMER","INACTIVE_CONSUMER")</f>
        <v>ACTIVE_CONSUMER</v>
      </c>
      <c r="AN269" t="str">
        <f t="shared" si="52"/>
        <v>Not_eligible</v>
      </c>
      <c r="AQ269" t="str">
        <f>IF(AND(E269="M",F269="checking",Dataset!G269&gt;2000,Dataset!K269&gt;500),"good_client","bad_client")</f>
        <v>bad_client</v>
      </c>
      <c r="AT269" t="s">
        <v>482</v>
      </c>
      <c r="AU269" t="str">
        <f>IF(AND(Dataset!F269="Savings",Dataset!AT269="eligible"),"YES","NO")</f>
        <v>NO</v>
      </c>
      <c r="AW269" s="8"/>
      <c r="AX269" s="12" t="s">
        <v>487</v>
      </c>
      <c r="AY269" s="8" t="s">
        <v>489</v>
      </c>
      <c r="AZ269" s="8"/>
      <c r="BD269" t="str">
        <f t="shared" si="53"/>
        <v>yes</v>
      </c>
    </row>
    <row r="270" spans="1:56" x14ac:dyDescent="0.3">
      <c r="A270">
        <f t="shared" si="44"/>
        <v>269</v>
      </c>
      <c r="B270" s="3" t="s">
        <v>103</v>
      </c>
      <c r="C270" s="3" t="s">
        <v>104</v>
      </c>
      <c r="D270" s="2">
        <v>41</v>
      </c>
      <c r="E270" s="2" t="s">
        <v>21</v>
      </c>
      <c r="F270" s="2" t="s">
        <v>15</v>
      </c>
      <c r="G270" s="2">
        <v>8000</v>
      </c>
      <c r="H270" s="2">
        <v>67000</v>
      </c>
      <c r="I270" s="2" t="s">
        <v>16</v>
      </c>
      <c r="J270" s="2">
        <v>0</v>
      </c>
      <c r="K270" s="2">
        <v>710</v>
      </c>
      <c r="L270" s="2" t="s">
        <v>17</v>
      </c>
      <c r="M270" s="2" t="s">
        <v>82</v>
      </c>
      <c r="N270" s="2" t="s">
        <v>25</v>
      </c>
      <c r="O270">
        <v>14</v>
      </c>
      <c r="R270" t="e">
        <f t="shared" si="45"/>
        <v>#DIV/0!</v>
      </c>
      <c r="S270" t="str">
        <f t="shared" si="46"/>
        <v>DIVISION ERROR</v>
      </c>
      <c r="U270" t="b">
        <v>0</v>
      </c>
      <c r="W270" t="str">
        <f t="shared" si="47"/>
        <v>ODD</v>
      </c>
      <c r="Y270">
        <f t="shared" si="48"/>
        <v>120.5</v>
      </c>
      <c r="AB270" t="str">
        <f t="shared" si="49"/>
        <v>Bad_user</v>
      </c>
      <c r="AE270" t="b">
        <f t="shared" si="50"/>
        <v>1</v>
      </c>
      <c r="AG270" t="b">
        <f t="shared" si="51"/>
        <v>0</v>
      </c>
      <c r="AI270" t="str">
        <f>IF(AND(Dataset!G270 &gt;5000,Dataset!H270&gt;7000),"ACTIVE_CONSUMER","INACTIVE_CONSUMER")</f>
        <v>ACTIVE_CONSUMER</v>
      </c>
      <c r="AN270" t="str">
        <f t="shared" si="52"/>
        <v>Not_eligible</v>
      </c>
      <c r="AQ270" t="str">
        <f>IF(AND(E270="M",F270="checking",Dataset!G270&gt;2000,Dataset!K270&gt;500),"good_client","bad_client")</f>
        <v>bad_client</v>
      </c>
      <c r="AT270" t="s">
        <v>482</v>
      </c>
      <c r="AU270" t="str">
        <f>IF(AND(Dataset!F270="Savings",Dataset!AT270="eligible"),"YES","NO")</f>
        <v>NO</v>
      </c>
      <c r="AW270" s="8"/>
      <c r="AX270" s="12" t="s">
        <v>486</v>
      </c>
      <c r="AY270" s="8" t="s">
        <v>490</v>
      </c>
      <c r="AZ270" s="8"/>
      <c r="BD270" t="str">
        <f t="shared" si="53"/>
        <v>yes</v>
      </c>
    </row>
    <row r="271" spans="1:56" x14ac:dyDescent="0.3">
      <c r="A271">
        <f t="shared" si="44"/>
        <v>270</v>
      </c>
      <c r="B271" s="3" t="s">
        <v>105</v>
      </c>
      <c r="C271" s="3" t="s">
        <v>106</v>
      </c>
      <c r="D271" s="2">
        <v>30</v>
      </c>
      <c r="E271" s="2" t="s">
        <v>14</v>
      </c>
      <c r="F271" s="2" t="s">
        <v>22</v>
      </c>
      <c r="G271" s="2">
        <v>5000</v>
      </c>
      <c r="H271" s="2">
        <v>55000</v>
      </c>
      <c r="I271" s="2" t="s">
        <v>23</v>
      </c>
      <c r="J271" s="2">
        <v>7000</v>
      </c>
      <c r="K271" s="2">
        <v>690</v>
      </c>
      <c r="L271" s="2" t="s">
        <v>24</v>
      </c>
      <c r="M271" s="2" t="s">
        <v>82</v>
      </c>
      <c r="N271" s="2" t="s">
        <v>18</v>
      </c>
      <c r="O271">
        <v>12</v>
      </c>
      <c r="R271">
        <f t="shared" si="45"/>
        <v>7.8571428571428568</v>
      </c>
      <c r="S271">
        <f t="shared" si="46"/>
        <v>7.8571428571428568</v>
      </c>
      <c r="U271" t="b">
        <v>1</v>
      </c>
      <c r="W271" t="str">
        <f t="shared" si="47"/>
        <v>EVEN</v>
      </c>
      <c r="Y271">
        <f t="shared" si="48"/>
        <v>223.5</v>
      </c>
      <c r="AB271" t="str">
        <f t="shared" si="49"/>
        <v>Good_user</v>
      </c>
      <c r="AE271" t="b">
        <f t="shared" si="50"/>
        <v>0</v>
      </c>
      <c r="AG271" t="b">
        <f t="shared" si="51"/>
        <v>0</v>
      </c>
      <c r="AI271" t="str">
        <f>IF(AND(Dataset!G271 &gt;5000,Dataset!H271&gt;7000),"ACTIVE_CONSUMER","INACTIVE_CONSUMER")</f>
        <v>INACTIVE_CONSUMER</v>
      </c>
      <c r="AN271" t="str">
        <f t="shared" si="52"/>
        <v>Not_eligible</v>
      </c>
      <c r="AQ271" t="str">
        <f>IF(AND(E271="M",F271="checking",Dataset!G271&gt;2000,Dataset!K271&gt;500),"good_client","bad_client")</f>
        <v>bad_client</v>
      </c>
      <c r="AT271" t="s">
        <v>482</v>
      </c>
      <c r="AU271" t="str">
        <f>IF(AND(Dataset!F271="Savings",Dataset!AT271="eligible"),"YES","NO")</f>
        <v>NO</v>
      </c>
      <c r="AW271" s="8"/>
      <c r="AX271" s="12" t="s">
        <v>486</v>
      </c>
      <c r="AY271" s="8" t="s">
        <v>489</v>
      </c>
      <c r="AZ271" s="8"/>
      <c r="BD271" t="str">
        <f t="shared" si="53"/>
        <v>yes</v>
      </c>
    </row>
    <row r="272" spans="1:56" x14ac:dyDescent="0.3">
      <c r="A272">
        <f t="shared" si="44"/>
        <v>271</v>
      </c>
      <c r="B272" s="3" t="s">
        <v>29</v>
      </c>
      <c r="C272" s="3" t="s">
        <v>33</v>
      </c>
      <c r="D272" s="2">
        <v>29</v>
      </c>
      <c r="E272" s="2" t="s">
        <v>21</v>
      </c>
      <c r="F272" s="2" t="s">
        <v>15</v>
      </c>
      <c r="G272" s="2">
        <v>3000</v>
      </c>
      <c r="H272" s="2">
        <v>48000</v>
      </c>
      <c r="I272" s="2" t="s">
        <v>16</v>
      </c>
      <c r="J272" s="2">
        <v>0</v>
      </c>
      <c r="K272" s="2">
        <v>670</v>
      </c>
      <c r="L272" s="2" t="s">
        <v>28</v>
      </c>
      <c r="M272" s="2" t="s">
        <v>80</v>
      </c>
      <c r="N272" s="2" t="s">
        <v>25</v>
      </c>
      <c r="O272">
        <v>11</v>
      </c>
      <c r="R272" t="e">
        <f t="shared" si="45"/>
        <v>#DIV/0!</v>
      </c>
      <c r="S272" t="str">
        <f t="shared" si="46"/>
        <v>DIVISION ERROR</v>
      </c>
      <c r="U272" t="b">
        <v>0</v>
      </c>
      <c r="W272" t="str">
        <f t="shared" si="47"/>
        <v>ODD</v>
      </c>
      <c r="Y272">
        <f t="shared" si="48"/>
        <v>334</v>
      </c>
      <c r="AB272" t="str">
        <f t="shared" si="49"/>
        <v>Bad_user</v>
      </c>
      <c r="AE272" t="b">
        <f t="shared" si="50"/>
        <v>1</v>
      </c>
      <c r="AG272" t="b">
        <f t="shared" si="51"/>
        <v>0</v>
      </c>
      <c r="AI272" t="str">
        <f>IF(AND(Dataset!G272 &gt;5000,Dataset!H272&gt;7000),"ACTIVE_CONSUMER","INACTIVE_CONSUMER")</f>
        <v>INACTIVE_CONSUMER</v>
      </c>
      <c r="AN272" t="str">
        <f t="shared" si="52"/>
        <v>Not_eligible</v>
      </c>
      <c r="AQ272" t="str">
        <f>IF(AND(E272="M",F272="checking",Dataset!G272&gt;2000,Dataset!K272&gt;500),"good_client","bad_client")</f>
        <v>bad_client</v>
      </c>
      <c r="AT272" t="s">
        <v>482</v>
      </c>
      <c r="AU272" t="str">
        <f>IF(AND(Dataset!F272="Savings",Dataset!AT272="eligible"),"YES","NO")</f>
        <v>NO</v>
      </c>
      <c r="AW272" s="8"/>
      <c r="AX272" s="12" t="s">
        <v>487</v>
      </c>
      <c r="AY272" s="8" t="s">
        <v>490</v>
      </c>
      <c r="AZ272" s="8"/>
      <c r="BD272" t="str">
        <f t="shared" si="53"/>
        <v>yes</v>
      </c>
    </row>
    <row r="273" spans="1:56" x14ac:dyDescent="0.3">
      <c r="A273">
        <f t="shared" si="44"/>
        <v>272</v>
      </c>
      <c r="B273" s="3" t="s">
        <v>107</v>
      </c>
      <c r="C273" s="3" t="s">
        <v>108</v>
      </c>
      <c r="D273" s="2">
        <v>34</v>
      </c>
      <c r="E273" s="2" t="s">
        <v>14</v>
      </c>
      <c r="F273" s="2" t="s">
        <v>22</v>
      </c>
      <c r="G273" s="2">
        <v>11000</v>
      </c>
      <c r="H273" s="2">
        <v>62000</v>
      </c>
      <c r="I273" s="2" t="s">
        <v>23</v>
      </c>
      <c r="J273" s="2">
        <v>12000</v>
      </c>
      <c r="K273" s="2">
        <v>720</v>
      </c>
      <c r="L273" s="2" t="s">
        <v>31</v>
      </c>
      <c r="M273" s="2" t="s">
        <v>80</v>
      </c>
      <c r="N273" s="2" t="s">
        <v>18</v>
      </c>
      <c r="O273">
        <v>8</v>
      </c>
      <c r="R273">
        <f t="shared" si="45"/>
        <v>5.166666666666667</v>
      </c>
      <c r="S273">
        <f t="shared" si="46"/>
        <v>5.166666666666667</v>
      </c>
      <c r="U273" t="b">
        <v>1</v>
      </c>
      <c r="W273" t="str">
        <f t="shared" si="47"/>
        <v>EVEN</v>
      </c>
      <c r="Y273">
        <f t="shared" si="48"/>
        <v>60</v>
      </c>
      <c r="AB273" t="str">
        <f t="shared" si="49"/>
        <v>Good_user</v>
      </c>
      <c r="AE273" t="b">
        <f t="shared" si="50"/>
        <v>0</v>
      </c>
      <c r="AG273" t="b">
        <f t="shared" si="51"/>
        <v>0</v>
      </c>
      <c r="AI273" t="str">
        <f>IF(AND(Dataset!G273 &gt;5000,Dataset!H273&gt;7000),"ACTIVE_CONSUMER","INACTIVE_CONSUMER")</f>
        <v>ACTIVE_CONSUMER</v>
      </c>
      <c r="AN273" t="str">
        <f t="shared" si="52"/>
        <v>Not_eligible</v>
      </c>
      <c r="AQ273" t="str">
        <f>IF(AND(E273="M",F273="checking",Dataset!G273&gt;2000,Dataset!K273&gt;500),"good_client","bad_client")</f>
        <v>bad_client</v>
      </c>
      <c r="AT273" t="s">
        <v>482</v>
      </c>
      <c r="AU273" t="str">
        <f>IF(AND(Dataset!F273="Savings",Dataset!AT273="eligible"),"YES","NO")</f>
        <v>NO</v>
      </c>
      <c r="AW273" s="8"/>
      <c r="AX273" s="12" t="s">
        <v>487</v>
      </c>
      <c r="AY273" s="8" t="s">
        <v>489</v>
      </c>
      <c r="AZ273" s="8"/>
      <c r="BD273" t="str">
        <f t="shared" si="53"/>
        <v>yes</v>
      </c>
    </row>
    <row r="274" spans="1:56" x14ac:dyDescent="0.3">
      <c r="A274">
        <f t="shared" si="44"/>
        <v>273</v>
      </c>
      <c r="B274" s="3" t="s">
        <v>34</v>
      </c>
      <c r="C274" s="3" t="s">
        <v>109</v>
      </c>
      <c r="D274" s="2">
        <v>37</v>
      </c>
      <c r="E274" s="2" t="s">
        <v>21</v>
      </c>
      <c r="F274" s="2" t="s">
        <v>15</v>
      </c>
      <c r="G274" s="2">
        <v>5500</v>
      </c>
      <c r="H274" s="2">
        <v>69000</v>
      </c>
      <c r="I274" s="2" t="s">
        <v>16</v>
      </c>
      <c r="J274" s="2">
        <v>0</v>
      </c>
      <c r="K274" s="2">
        <v>710</v>
      </c>
      <c r="L274" s="2" t="s">
        <v>17</v>
      </c>
      <c r="M274" s="2" t="s">
        <v>80</v>
      </c>
      <c r="N274" s="2" t="s">
        <v>25</v>
      </c>
      <c r="O274">
        <v>4</v>
      </c>
      <c r="R274" t="e">
        <f t="shared" si="45"/>
        <v>#DIV/0!</v>
      </c>
      <c r="S274" t="str">
        <f t="shared" si="46"/>
        <v>DIVISION ERROR</v>
      </c>
      <c r="U274" t="b">
        <v>0</v>
      </c>
      <c r="W274" t="str">
        <f t="shared" si="47"/>
        <v>ODD</v>
      </c>
      <c r="Y274">
        <f t="shared" si="48"/>
        <v>120.5</v>
      </c>
      <c r="AB274" t="str">
        <f t="shared" si="49"/>
        <v>Bad_user</v>
      </c>
      <c r="AE274" t="b">
        <f t="shared" si="50"/>
        <v>1</v>
      </c>
      <c r="AG274" t="b">
        <f t="shared" si="51"/>
        <v>0</v>
      </c>
      <c r="AI274" t="str">
        <f>IF(AND(Dataset!G274 &gt;5000,Dataset!H274&gt;7000),"ACTIVE_CONSUMER","INACTIVE_CONSUMER")</f>
        <v>ACTIVE_CONSUMER</v>
      </c>
      <c r="AN274" t="str">
        <f t="shared" si="52"/>
        <v>Not_eligible</v>
      </c>
      <c r="AQ274" t="str">
        <f>IF(AND(E274="M",F274="checking",Dataset!G274&gt;2000,Dataset!K274&gt;500),"good_client","bad_client")</f>
        <v>bad_client</v>
      </c>
      <c r="AT274" t="s">
        <v>482</v>
      </c>
      <c r="AU274" t="str">
        <f>IF(AND(Dataset!F274="Savings",Dataset!AT274="eligible"),"YES","NO")</f>
        <v>NO</v>
      </c>
      <c r="AW274" s="8"/>
      <c r="AX274" s="12" t="s">
        <v>487</v>
      </c>
      <c r="AY274" s="8" t="s">
        <v>490</v>
      </c>
      <c r="AZ274" s="8"/>
      <c r="BD274" t="str">
        <f t="shared" si="53"/>
        <v>yes</v>
      </c>
    </row>
    <row r="275" spans="1:56" x14ac:dyDescent="0.3">
      <c r="A275">
        <f t="shared" si="44"/>
        <v>274</v>
      </c>
      <c r="B275" s="3" t="s">
        <v>110</v>
      </c>
      <c r="C275" s="3" t="s">
        <v>39</v>
      </c>
      <c r="D275" s="2">
        <v>45</v>
      </c>
      <c r="E275" s="2" t="s">
        <v>14</v>
      </c>
      <c r="F275" s="2" t="s">
        <v>15</v>
      </c>
      <c r="G275" s="2">
        <v>7000</v>
      </c>
      <c r="H275" s="2">
        <v>74000</v>
      </c>
      <c r="I275" s="2" t="s">
        <v>23</v>
      </c>
      <c r="J275" s="2">
        <v>15000</v>
      </c>
      <c r="K275" s="2">
        <v>680</v>
      </c>
      <c r="L275" s="2" t="s">
        <v>24</v>
      </c>
      <c r="M275" s="2" t="s">
        <v>80</v>
      </c>
      <c r="N275" s="2" t="s">
        <v>18</v>
      </c>
      <c r="O275">
        <v>13</v>
      </c>
      <c r="R275">
        <f t="shared" si="45"/>
        <v>4.9333333333333336</v>
      </c>
      <c r="S275">
        <f t="shared" si="46"/>
        <v>4.9333333333333336</v>
      </c>
      <c r="U275" t="b">
        <v>1</v>
      </c>
      <c r="W275" t="str">
        <f t="shared" si="47"/>
        <v>ODD</v>
      </c>
      <c r="Y275">
        <f t="shared" si="48"/>
        <v>286</v>
      </c>
      <c r="AB275" t="str">
        <f t="shared" si="49"/>
        <v>Good_user</v>
      </c>
      <c r="AE275" t="b">
        <f t="shared" si="50"/>
        <v>0</v>
      </c>
      <c r="AG275" t="b">
        <f t="shared" si="51"/>
        <v>0</v>
      </c>
      <c r="AI275" t="str">
        <f>IF(AND(Dataset!G275 &gt;5000,Dataset!H275&gt;7000),"ACTIVE_CONSUMER","INACTIVE_CONSUMER")</f>
        <v>ACTIVE_CONSUMER</v>
      </c>
      <c r="AN275" t="str">
        <f t="shared" si="52"/>
        <v>Not_eligible</v>
      </c>
      <c r="AQ275" t="str">
        <f>IF(AND(E275="M",F275="checking",Dataset!G275&gt;2000,Dataset!K275&gt;500),"good_client","bad_client")</f>
        <v>good_client</v>
      </c>
      <c r="AT275" t="s">
        <v>482</v>
      </c>
      <c r="AU275" t="str">
        <f>IF(AND(Dataset!F275="Savings",Dataset!AT275="eligible"),"YES","NO")</f>
        <v>NO</v>
      </c>
      <c r="AW275" s="8"/>
      <c r="AX275" s="12" t="s">
        <v>487</v>
      </c>
      <c r="AY275" s="8" t="s">
        <v>489</v>
      </c>
      <c r="AZ275" s="8"/>
      <c r="BD275" t="str">
        <f t="shared" si="53"/>
        <v>yes</v>
      </c>
    </row>
    <row r="276" spans="1:56" x14ac:dyDescent="0.3">
      <c r="A276">
        <f t="shared" si="44"/>
        <v>275</v>
      </c>
      <c r="B276" s="3" t="s">
        <v>111</v>
      </c>
      <c r="C276" s="3" t="s">
        <v>35</v>
      </c>
      <c r="D276" s="2">
        <v>40</v>
      </c>
      <c r="E276" s="2" t="s">
        <v>21</v>
      </c>
      <c r="F276" s="2" t="s">
        <v>15</v>
      </c>
      <c r="G276" s="2">
        <v>2000</v>
      </c>
      <c r="H276" s="2">
        <v>50000</v>
      </c>
      <c r="I276" s="2" t="s">
        <v>16</v>
      </c>
      <c r="J276" s="2">
        <v>0</v>
      </c>
      <c r="K276" s="2">
        <v>720</v>
      </c>
      <c r="L276" s="2" t="s">
        <v>28</v>
      </c>
      <c r="M276" s="2" t="s">
        <v>80</v>
      </c>
      <c r="N276" s="2" t="s">
        <v>25</v>
      </c>
      <c r="O276">
        <v>7</v>
      </c>
      <c r="R276" t="e">
        <f t="shared" si="45"/>
        <v>#DIV/0!</v>
      </c>
      <c r="S276" t="str">
        <f t="shared" si="46"/>
        <v>DIVISION ERROR</v>
      </c>
      <c r="U276" t="b">
        <v>0</v>
      </c>
      <c r="W276" t="str">
        <f t="shared" si="47"/>
        <v>EVEN</v>
      </c>
      <c r="Y276">
        <f t="shared" si="48"/>
        <v>60</v>
      </c>
      <c r="AB276" t="str">
        <f t="shared" si="49"/>
        <v>Bad_user</v>
      </c>
      <c r="AE276" t="b">
        <f t="shared" si="50"/>
        <v>1</v>
      </c>
      <c r="AG276" t="b">
        <f t="shared" si="51"/>
        <v>0</v>
      </c>
      <c r="AI276" t="str">
        <f>IF(AND(Dataset!G276 &gt;5000,Dataset!H276&gt;7000),"ACTIVE_CONSUMER","INACTIVE_CONSUMER")</f>
        <v>INACTIVE_CONSUMER</v>
      </c>
      <c r="AN276" t="str">
        <f t="shared" si="52"/>
        <v>Not_eligible</v>
      </c>
      <c r="AQ276" t="str">
        <f>IF(AND(E276="M",F276="checking",Dataset!G276&gt;2000,Dataset!K276&gt;500),"good_client","bad_client")</f>
        <v>bad_client</v>
      </c>
      <c r="AT276" t="s">
        <v>482</v>
      </c>
      <c r="AU276" t="str">
        <f>IF(AND(Dataset!F276="Savings",Dataset!AT276="eligible"),"YES","NO")</f>
        <v>NO</v>
      </c>
      <c r="AW276" s="8"/>
      <c r="AX276" s="12" t="s">
        <v>487</v>
      </c>
      <c r="AY276" s="8" t="s">
        <v>490</v>
      </c>
      <c r="AZ276" s="8"/>
      <c r="BD276" t="str">
        <f t="shared" si="53"/>
        <v>yes</v>
      </c>
    </row>
    <row r="277" spans="1:56" x14ac:dyDescent="0.3">
      <c r="A277">
        <f t="shared" si="44"/>
        <v>276</v>
      </c>
      <c r="B277" s="3" t="s">
        <v>112</v>
      </c>
      <c r="C277" s="3" t="s">
        <v>41</v>
      </c>
      <c r="D277" s="2">
        <v>27</v>
      </c>
      <c r="E277" s="2" t="s">
        <v>14</v>
      </c>
      <c r="F277" s="2" t="s">
        <v>22</v>
      </c>
      <c r="G277" s="2">
        <v>6000</v>
      </c>
      <c r="H277" s="2">
        <v>55000</v>
      </c>
      <c r="I277" s="2" t="s">
        <v>23</v>
      </c>
      <c r="J277" s="2">
        <v>10000</v>
      </c>
      <c r="K277" s="2">
        <v>690</v>
      </c>
      <c r="L277" s="2" t="s">
        <v>31</v>
      </c>
      <c r="M277" s="2" t="s">
        <v>80</v>
      </c>
      <c r="N277" s="2" t="s">
        <v>18</v>
      </c>
      <c r="O277">
        <v>4</v>
      </c>
      <c r="R277">
        <f t="shared" si="45"/>
        <v>5.5</v>
      </c>
      <c r="S277">
        <f t="shared" si="46"/>
        <v>5.5</v>
      </c>
      <c r="U277" t="b">
        <v>1</v>
      </c>
      <c r="W277" t="str">
        <f t="shared" si="47"/>
        <v>ODD</v>
      </c>
      <c r="Y277">
        <f t="shared" si="48"/>
        <v>223.5</v>
      </c>
      <c r="AB277" t="str">
        <f t="shared" si="49"/>
        <v>Good_user</v>
      </c>
      <c r="AE277" t="b">
        <f t="shared" si="50"/>
        <v>0</v>
      </c>
      <c r="AG277" t="b">
        <f t="shared" si="51"/>
        <v>0</v>
      </c>
      <c r="AI277" t="str">
        <f>IF(AND(Dataset!G277 &gt;5000,Dataset!H277&gt;7000),"ACTIVE_CONSUMER","INACTIVE_CONSUMER")</f>
        <v>ACTIVE_CONSUMER</v>
      </c>
      <c r="AN277" t="str">
        <f t="shared" si="52"/>
        <v>Not_eligible</v>
      </c>
      <c r="AQ277" t="str">
        <f>IF(AND(E277="M",F277="checking",Dataset!G277&gt;2000,Dataset!K277&gt;500),"good_client","bad_client")</f>
        <v>bad_client</v>
      </c>
      <c r="AT277" t="s">
        <v>482</v>
      </c>
      <c r="AU277" t="str">
        <f>IF(AND(Dataset!F277="Savings",Dataset!AT277="eligible"),"YES","NO")</f>
        <v>NO</v>
      </c>
      <c r="AW277" s="8"/>
      <c r="AX277" s="12" t="s">
        <v>487</v>
      </c>
      <c r="AY277" s="8" t="s">
        <v>489</v>
      </c>
      <c r="AZ277" s="8"/>
      <c r="BD277" t="str">
        <f t="shared" si="53"/>
        <v>yes</v>
      </c>
    </row>
    <row r="278" spans="1:56" x14ac:dyDescent="0.3">
      <c r="A278">
        <f t="shared" si="44"/>
        <v>277</v>
      </c>
      <c r="B278" s="3" t="s">
        <v>113</v>
      </c>
      <c r="C278" s="3" t="s">
        <v>114</v>
      </c>
      <c r="D278" s="2">
        <v>31</v>
      </c>
      <c r="E278" s="2" t="s">
        <v>21</v>
      </c>
      <c r="F278" s="2" t="s">
        <v>15</v>
      </c>
      <c r="G278" s="2">
        <v>3500</v>
      </c>
      <c r="H278" s="2">
        <v>62000</v>
      </c>
      <c r="I278" s="2" t="s">
        <v>16</v>
      </c>
      <c r="J278" s="2">
        <v>0</v>
      </c>
      <c r="K278" s="2">
        <v>680</v>
      </c>
      <c r="L278" s="2" t="s">
        <v>17</v>
      </c>
      <c r="M278" s="2" t="s">
        <v>82</v>
      </c>
      <c r="N278" s="2" t="s">
        <v>25</v>
      </c>
      <c r="O278">
        <v>14</v>
      </c>
      <c r="R278" t="e">
        <f t="shared" si="45"/>
        <v>#DIV/0!</v>
      </c>
      <c r="S278" t="str">
        <f t="shared" si="46"/>
        <v>DIVISION ERROR</v>
      </c>
      <c r="U278" t="b">
        <v>0</v>
      </c>
      <c r="W278" t="str">
        <f t="shared" si="47"/>
        <v>ODD</v>
      </c>
      <c r="Y278">
        <f t="shared" si="48"/>
        <v>286</v>
      </c>
      <c r="AB278" t="str">
        <f t="shared" si="49"/>
        <v>Bad_user</v>
      </c>
      <c r="AE278" t="b">
        <f t="shared" si="50"/>
        <v>1</v>
      </c>
      <c r="AG278" t="b">
        <f t="shared" si="51"/>
        <v>0</v>
      </c>
      <c r="AI278" t="str">
        <f>IF(AND(Dataset!G278 &gt;5000,Dataset!H278&gt;7000),"ACTIVE_CONSUMER","INACTIVE_CONSUMER")</f>
        <v>INACTIVE_CONSUMER</v>
      </c>
      <c r="AN278" t="str">
        <f t="shared" si="52"/>
        <v>Not_eligible</v>
      </c>
      <c r="AQ278" t="str">
        <f>IF(AND(E278="M",F278="checking",Dataset!G278&gt;2000,Dataset!K278&gt;500),"good_client","bad_client")</f>
        <v>bad_client</v>
      </c>
      <c r="AT278" t="s">
        <v>482</v>
      </c>
      <c r="AU278" t="str">
        <f>IF(AND(Dataset!F278="Savings",Dataset!AT278="eligible"),"YES","NO")</f>
        <v>NO</v>
      </c>
      <c r="AW278" s="8"/>
      <c r="AX278" s="12" t="s">
        <v>486</v>
      </c>
      <c r="AY278" s="8" t="s">
        <v>490</v>
      </c>
      <c r="AZ278" s="8"/>
      <c r="BD278" t="str">
        <f t="shared" si="53"/>
        <v>yes</v>
      </c>
    </row>
    <row r="279" spans="1:56" x14ac:dyDescent="0.3">
      <c r="A279">
        <f t="shared" si="44"/>
        <v>278</v>
      </c>
      <c r="B279" s="3" t="s">
        <v>115</v>
      </c>
      <c r="C279" s="3" t="s">
        <v>43</v>
      </c>
      <c r="D279" s="2">
        <v>53</v>
      </c>
      <c r="E279" s="2" t="s">
        <v>14</v>
      </c>
      <c r="F279" s="2" t="s">
        <v>22</v>
      </c>
      <c r="G279" s="2">
        <v>4000</v>
      </c>
      <c r="H279" s="2">
        <v>48000</v>
      </c>
      <c r="I279" s="2" t="s">
        <v>23</v>
      </c>
      <c r="J279" s="2">
        <v>5000</v>
      </c>
      <c r="K279" s="2">
        <v>710</v>
      </c>
      <c r="L279" s="2" t="s">
        <v>24</v>
      </c>
      <c r="M279" s="2" t="s">
        <v>82</v>
      </c>
      <c r="N279" s="2" t="s">
        <v>18</v>
      </c>
      <c r="O279">
        <v>5</v>
      </c>
      <c r="R279">
        <f t="shared" si="45"/>
        <v>9.6</v>
      </c>
      <c r="S279">
        <f t="shared" si="46"/>
        <v>9.6</v>
      </c>
      <c r="U279" t="b">
        <v>1</v>
      </c>
      <c r="W279" t="str">
        <f t="shared" si="47"/>
        <v>ODD</v>
      </c>
      <c r="Y279">
        <f t="shared" si="48"/>
        <v>120.5</v>
      </c>
      <c r="AB279" t="str">
        <f t="shared" si="49"/>
        <v>Good_user</v>
      </c>
      <c r="AE279" t="b">
        <f t="shared" si="50"/>
        <v>0</v>
      </c>
      <c r="AG279" t="b">
        <f t="shared" si="51"/>
        <v>0</v>
      </c>
      <c r="AI279" t="str">
        <f>IF(AND(Dataset!G279 &gt;5000,Dataset!H279&gt;7000),"ACTIVE_CONSUMER","INACTIVE_CONSUMER")</f>
        <v>INACTIVE_CONSUMER</v>
      </c>
      <c r="AN279" t="str">
        <f t="shared" si="52"/>
        <v>Not_eligible</v>
      </c>
      <c r="AQ279" t="str">
        <f>IF(AND(E279="M",F279="checking",Dataset!G279&gt;2000,Dataset!K279&gt;500),"good_client","bad_client")</f>
        <v>bad_client</v>
      </c>
      <c r="AT279" t="s">
        <v>482</v>
      </c>
      <c r="AU279" t="str">
        <f>IF(AND(Dataset!F279="Savings",Dataset!AT279="eligible"),"YES","NO")</f>
        <v>NO</v>
      </c>
      <c r="AW279" s="8"/>
      <c r="AX279" s="12" t="s">
        <v>486</v>
      </c>
      <c r="AY279" s="8" t="s">
        <v>489</v>
      </c>
      <c r="AZ279" s="8"/>
      <c r="BD279" t="str">
        <f t="shared" si="53"/>
        <v>yes</v>
      </c>
    </row>
    <row r="280" spans="1:56" x14ac:dyDescent="0.3">
      <c r="A280">
        <f t="shared" ref="A280:A303" si="54">ROW()-1</f>
        <v>279</v>
      </c>
      <c r="B280" s="3" t="s">
        <v>116</v>
      </c>
      <c r="C280" s="3" t="s">
        <v>117</v>
      </c>
      <c r="D280" s="2">
        <v>28</v>
      </c>
      <c r="E280" s="2" t="s">
        <v>21</v>
      </c>
      <c r="F280" s="2" t="s">
        <v>15</v>
      </c>
      <c r="G280" s="2">
        <v>5500</v>
      </c>
      <c r="H280" s="2">
        <v>59000</v>
      </c>
      <c r="I280" s="2" t="s">
        <v>16</v>
      </c>
      <c r="J280" s="2">
        <v>0</v>
      </c>
      <c r="K280" s="2">
        <v>700</v>
      </c>
      <c r="L280" s="2" t="s">
        <v>28</v>
      </c>
      <c r="M280" s="2" t="s">
        <v>82</v>
      </c>
      <c r="N280" s="2" t="s">
        <v>25</v>
      </c>
      <c r="O280">
        <v>10</v>
      </c>
      <c r="R280" t="e">
        <f t="shared" si="45"/>
        <v>#DIV/0!</v>
      </c>
      <c r="S280" t="str">
        <f t="shared" si="46"/>
        <v>DIVISION ERROR</v>
      </c>
      <c r="U280" t="b">
        <v>0</v>
      </c>
      <c r="W280" t="str">
        <f t="shared" si="47"/>
        <v>EVEN</v>
      </c>
      <c r="Y280">
        <f t="shared" si="48"/>
        <v>170</v>
      </c>
      <c r="AB280" t="str">
        <f t="shared" si="49"/>
        <v>Bad_user</v>
      </c>
      <c r="AE280" t="b">
        <f t="shared" si="50"/>
        <v>1</v>
      </c>
      <c r="AG280" t="b">
        <f t="shared" si="51"/>
        <v>0</v>
      </c>
      <c r="AI280" t="str">
        <f>IF(AND(Dataset!G280 &gt;5000,Dataset!H280&gt;7000),"ACTIVE_CONSUMER","INACTIVE_CONSUMER")</f>
        <v>ACTIVE_CONSUMER</v>
      </c>
      <c r="AN280" t="str">
        <f t="shared" si="52"/>
        <v>Not_eligible</v>
      </c>
      <c r="AQ280" t="str">
        <f>IF(AND(E280="M",F280="checking",Dataset!G280&gt;2000,Dataset!K280&gt;500),"good_client","bad_client")</f>
        <v>bad_client</v>
      </c>
      <c r="AT280" t="s">
        <v>482</v>
      </c>
      <c r="AU280" t="str">
        <f>IF(AND(Dataset!F280="Savings",Dataset!AT280="eligible"),"YES","NO")</f>
        <v>NO</v>
      </c>
      <c r="AW280" s="8"/>
      <c r="AX280" s="12" t="s">
        <v>486</v>
      </c>
      <c r="AY280" s="8" t="s">
        <v>490</v>
      </c>
      <c r="AZ280" s="8"/>
      <c r="BD280" t="str">
        <f t="shared" si="53"/>
        <v>yes</v>
      </c>
    </row>
    <row r="281" spans="1:56" x14ac:dyDescent="0.3">
      <c r="A281">
        <f t="shared" si="54"/>
        <v>280</v>
      </c>
      <c r="B281" s="3" t="s">
        <v>118</v>
      </c>
      <c r="C281" s="3" t="s">
        <v>119</v>
      </c>
      <c r="D281" s="2">
        <v>46</v>
      </c>
      <c r="E281" s="2" t="s">
        <v>14</v>
      </c>
      <c r="F281" s="2" t="s">
        <v>22</v>
      </c>
      <c r="G281" s="2">
        <v>9000</v>
      </c>
      <c r="H281" s="2">
        <v>73000</v>
      </c>
      <c r="I281" s="2" t="s">
        <v>23</v>
      </c>
      <c r="J281" s="2">
        <v>13000</v>
      </c>
      <c r="K281" s="2">
        <v>720</v>
      </c>
      <c r="L281" s="2" t="s">
        <v>31</v>
      </c>
      <c r="M281" s="2" t="s">
        <v>82</v>
      </c>
      <c r="N281" s="2" t="s">
        <v>18</v>
      </c>
      <c r="O281">
        <v>10</v>
      </c>
      <c r="R281">
        <f t="shared" si="45"/>
        <v>5.615384615384615</v>
      </c>
      <c r="S281">
        <f t="shared" si="46"/>
        <v>5.615384615384615</v>
      </c>
      <c r="U281" t="b">
        <v>1</v>
      </c>
      <c r="W281" t="str">
        <f t="shared" si="47"/>
        <v>EVEN</v>
      </c>
      <c r="Y281">
        <f t="shared" si="48"/>
        <v>60</v>
      </c>
      <c r="AB281" t="str">
        <f t="shared" si="49"/>
        <v>Good_user</v>
      </c>
      <c r="AE281" t="b">
        <f t="shared" si="50"/>
        <v>0</v>
      </c>
      <c r="AG281" t="b">
        <f t="shared" si="51"/>
        <v>0</v>
      </c>
      <c r="AI281" t="str">
        <f>IF(AND(Dataset!G281 &gt;5000,Dataset!H281&gt;7000),"ACTIVE_CONSUMER","INACTIVE_CONSUMER")</f>
        <v>ACTIVE_CONSUMER</v>
      </c>
      <c r="AN281" t="str">
        <f t="shared" si="52"/>
        <v>Not_eligible</v>
      </c>
      <c r="AQ281" t="str">
        <f>IF(AND(E281="M",F281="checking",Dataset!G281&gt;2000,Dataset!K281&gt;500),"good_client","bad_client")</f>
        <v>bad_client</v>
      </c>
      <c r="AT281" t="s">
        <v>482</v>
      </c>
      <c r="AU281" t="str">
        <f>IF(AND(Dataset!F281="Savings",Dataset!AT281="eligible"),"YES","NO")</f>
        <v>NO</v>
      </c>
      <c r="AW281" s="8"/>
      <c r="AX281" s="12" t="s">
        <v>486</v>
      </c>
      <c r="AY281" s="8" t="s">
        <v>489</v>
      </c>
      <c r="AZ281" s="8"/>
      <c r="BD281" t="str">
        <f t="shared" si="53"/>
        <v>yes</v>
      </c>
    </row>
    <row r="282" spans="1:56" x14ac:dyDescent="0.3">
      <c r="A282">
        <f t="shared" si="54"/>
        <v>281</v>
      </c>
      <c r="B282" s="3" t="s">
        <v>43</v>
      </c>
      <c r="C282" s="3" t="s">
        <v>120</v>
      </c>
      <c r="D282" s="2">
        <v>39</v>
      </c>
      <c r="E282" s="2" t="s">
        <v>21</v>
      </c>
      <c r="F282" s="2" t="s">
        <v>15</v>
      </c>
      <c r="G282" s="2">
        <v>4000</v>
      </c>
      <c r="H282" s="2">
        <v>65000</v>
      </c>
      <c r="I282" s="2" t="s">
        <v>16</v>
      </c>
      <c r="J282" s="2">
        <v>0</v>
      </c>
      <c r="K282" s="2">
        <v>680</v>
      </c>
      <c r="L282" s="2" t="s">
        <v>17</v>
      </c>
      <c r="M282" s="2" t="s">
        <v>82</v>
      </c>
      <c r="N282" s="2" t="s">
        <v>25</v>
      </c>
      <c r="O282">
        <v>7</v>
      </c>
      <c r="R282" t="e">
        <f t="shared" si="45"/>
        <v>#DIV/0!</v>
      </c>
      <c r="S282" t="str">
        <f t="shared" si="46"/>
        <v>DIVISION ERROR</v>
      </c>
      <c r="U282" t="b">
        <v>0</v>
      </c>
      <c r="W282" t="str">
        <f t="shared" si="47"/>
        <v>ODD</v>
      </c>
      <c r="Y282">
        <f t="shared" si="48"/>
        <v>286</v>
      </c>
      <c r="AB282" t="str">
        <f t="shared" si="49"/>
        <v>Bad_user</v>
      </c>
      <c r="AE282" t="b">
        <f t="shared" si="50"/>
        <v>1</v>
      </c>
      <c r="AG282" t="b">
        <f t="shared" si="51"/>
        <v>0</v>
      </c>
      <c r="AI282" t="str">
        <f>IF(AND(Dataset!G282 &gt;5000,Dataset!H282&gt;7000),"ACTIVE_CONSUMER","INACTIVE_CONSUMER")</f>
        <v>INACTIVE_CONSUMER</v>
      </c>
      <c r="AN282" t="str">
        <f t="shared" si="52"/>
        <v>Not_eligible</v>
      </c>
      <c r="AQ282" t="str">
        <f>IF(AND(E282="M",F282="checking",Dataset!G282&gt;2000,Dataset!K282&gt;500),"good_client","bad_client")</f>
        <v>bad_client</v>
      </c>
      <c r="AT282" t="s">
        <v>482</v>
      </c>
      <c r="AU282" t="str">
        <f>IF(AND(Dataset!F282="Savings",Dataset!AT282="eligible"),"YES","NO")</f>
        <v>NO</v>
      </c>
      <c r="AW282" s="8"/>
      <c r="AX282" s="12" t="s">
        <v>486</v>
      </c>
      <c r="AY282" s="8" t="s">
        <v>490</v>
      </c>
      <c r="AZ282" s="8"/>
      <c r="BD282" t="str">
        <f t="shared" si="53"/>
        <v>yes</v>
      </c>
    </row>
    <row r="283" spans="1:56" x14ac:dyDescent="0.3">
      <c r="A283">
        <f t="shared" si="54"/>
        <v>282</v>
      </c>
      <c r="B283" s="3" t="s">
        <v>32</v>
      </c>
      <c r="C283" s="3" t="s">
        <v>121</v>
      </c>
      <c r="D283" s="2">
        <v>27</v>
      </c>
      <c r="E283" s="2" t="s">
        <v>14</v>
      </c>
      <c r="F283" s="2" t="s">
        <v>22</v>
      </c>
      <c r="G283" s="2">
        <v>8000</v>
      </c>
      <c r="H283" s="2">
        <v>60000</v>
      </c>
      <c r="I283" s="2" t="s">
        <v>23</v>
      </c>
      <c r="J283" s="2">
        <v>8000</v>
      </c>
      <c r="K283" s="2">
        <v>710</v>
      </c>
      <c r="L283" s="2" t="s">
        <v>24</v>
      </c>
      <c r="M283" s="2" t="s">
        <v>82</v>
      </c>
      <c r="N283" s="2" t="s">
        <v>18</v>
      </c>
      <c r="O283">
        <v>5</v>
      </c>
      <c r="R283">
        <f t="shared" si="45"/>
        <v>7.5</v>
      </c>
      <c r="S283">
        <f t="shared" si="46"/>
        <v>7.5</v>
      </c>
      <c r="U283" t="b">
        <v>1</v>
      </c>
      <c r="W283" t="str">
        <f t="shared" si="47"/>
        <v>ODD</v>
      </c>
      <c r="Y283">
        <f t="shared" si="48"/>
        <v>120.5</v>
      </c>
      <c r="AB283" t="str">
        <f t="shared" si="49"/>
        <v>Good_user</v>
      </c>
      <c r="AE283" t="b">
        <f t="shared" si="50"/>
        <v>0</v>
      </c>
      <c r="AG283" t="b">
        <f t="shared" si="51"/>
        <v>0</v>
      </c>
      <c r="AI283" t="str">
        <f>IF(AND(Dataset!G283 &gt;5000,Dataset!H283&gt;7000),"ACTIVE_CONSUMER","INACTIVE_CONSUMER")</f>
        <v>ACTIVE_CONSUMER</v>
      </c>
      <c r="AN283" t="str">
        <f t="shared" si="52"/>
        <v>Not_eligible</v>
      </c>
      <c r="AQ283" t="str">
        <f>IF(AND(E283="M",F283="checking",Dataset!G283&gt;2000,Dataset!K283&gt;500),"good_client","bad_client")</f>
        <v>bad_client</v>
      </c>
      <c r="AT283" t="s">
        <v>482</v>
      </c>
      <c r="AU283" t="str">
        <f>IF(AND(Dataset!F283="Savings",Dataset!AT283="eligible"),"YES","NO")</f>
        <v>NO</v>
      </c>
      <c r="AW283" s="8"/>
      <c r="AX283" s="12" t="s">
        <v>486</v>
      </c>
      <c r="AY283" s="8" t="s">
        <v>489</v>
      </c>
      <c r="AZ283" s="8"/>
      <c r="BD283" t="str">
        <f t="shared" si="53"/>
        <v>yes</v>
      </c>
    </row>
    <row r="284" spans="1:56" x14ac:dyDescent="0.3">
      <c r="A284">
        <f t="shared" si="54"/>
        <v>283</v>
      </c>
      <c r="B284" s="3" t="s">
        <v>122</v>
      </c>
      <c r="C284" s="3" t="s">
        <v>78</v>
      </c>
      <c r="D284" s="2">
        <v>34</v>
      </c>
      <c r="E284" s="2" t="s">
        <v>21</v>
      </c>
      <c r="F284" s="2" t="s">
        <v>15</v>
      </c>
      <c r="G284" s="2">
        <v>2500</v>
      </c>
      <c r="H284" s="2">
        <v>53000</v>
      </c>
      <c r="I284" s="2" t="s">
        <v>16</v>
      </c>
      <c r="J284" s="2">
        <v>0</v>
      </c>
      <c r="K284" s="2">
        <v>690</v>
      </c>
      <c r="L284" s="2" t="s">
        <v>28</v>
      </c>
      <c r="M284" s="2" t="s">
        <v>81</v>
      </c>
      <c r="N284" s="2" t="s">
        <v>25</v>
      </c>
      <c r="O284">
        <v>15</v>
      </c>
      <c r="R284" t="e">
        <f t="shared" si="45"/>
        <v>#DIV/0!</v>
      </c>
      <c r="S284" t="str">
        <f t="shared" si="46"/>
        <v>DIVISION ERROR</v>
      </c>
      <c r="U284" t="b">
        <v>0</v>
      </c>
      <c r="W284" t="str">
        <f t="shared" si="47"/>
        <v>EVEN</v>
      </c>
      <c r="Y284">
        <f t="shared" si="48"/>
        <v>223.5</v>
      </c>
      <c r="AB284" t="str">
        <f t="shared" si="49"/>
        <v>Bad_user</v>
      </c>
      <c r="AE284" t="b">
        <f t="shared" si="50"/>
        <v>1</v>
      </c>
      <c r="AG284" t="b">
        <f t="shared" si="51"/>
        <v>0</v>
      </c>
      <c r="AI284" t="str">
        <f>IF(AND(Dataset!G284 &gt;5000,Dataset!H284&gt;7000),"ACTIVE_CONSUMER","INACTIVE_CONSUMER")</f>
        <v>INACTIVE_CONSUMER</v>
      </c>
      <c r="AN284" t="str">
        <f t="shared" si="52"/>
        <v>Not_eligible</v>
      </c>
      <c r="AQ284" t="str">
        <f>IF(AND(E284="M",F284="checking",Dataset!G284&gt;2000,Dataset!K284&gt;500),"good_client","bad_client")</f>
        <v>bad_client</v>
      </c>
      <c r="AT284" t="s">
        <v>482</v>
      </c>
      <c r="AU284" t="str">
        <f>IF(AND(Dataset!F284="Savings",Dataset!AT284="eligible"),"YES","NO")</f>
        <v>NO</v>
      </c>
      <c r="AW284" s="8"/>
      <c r="AX284" s="12" t="s">
        <v>487</v>
      </c>
      <c r="AY284" s="8" t="s">
        <v>490</v>
      </c>
      <c r="AZ284" s="8"/>
      <c r="BD284" t="str">
        <f t="shared" si="53"/>
        <v>yes</v>
      </c>
    </row>
    <row r="285" spans="1:56" x14ac:dyDescent="0.3">
      <c r="A285">
        <f t="shared" si="54"/>
        <v>284</v>
      </c>
      <c r="B285" s="3" t="s">
        <v>123</v>
      </c>
      <c r="C285" s="3" t="s">
        <v>45</v>
      </c>
      <c r="D285" s="2">
        <v>32</v>
      </c>
      <c r="E285" s="2" t="s">
        <v>14</v>
      </c>
      <c r="F285" s="2" t="s">
        <v>22</v>
      </c>
      <c r="G285" s="2">
        <v>12000</v>
      </c>
      <c r="H285" s="2">
        <v>68000</v>
      </c>
      <c r="I285" s="2" t="s">
        <v>23</v>
      </c>
      <c r="J285" s="2">
        <v>15000</v>
      </c>
      <c r="K285" s="2">
        <v>720</v>
      </c>
      <c r="L285" s="2" t="s">
        <v>31</v>
      </c>
      <c r="M285" s="2" t="s">
        <v>81</v>
      </c>
      <c r="N285" s="2" t="s">
        <v>18</v>
      </c>
      <c r="O285">
        <v>4</v>
      </c>
      <c r="R285">
        <f t="shared" si="45"/>
        <v>4.5333333333333332</v>
      </c>
      <c r="S285">
        <f t="shared" si="46"/>
        <v>4.5333333333333332</v>
      </c>
      <c r="U285" t="b">
        <v>1</v>
      </c>
      <c r="W285" t="str">
        <f t="shared" si="47"/>
        <v>EVEN</v>
      </c>
      <c r="Y285">
        <f t="shared" si="48"/>
        <v>60</v>
      </c>
      <c r="AB285" t="str">
        <f t="shared" si="49"/>
        <v>Good_user</v>
      </c>
      <c r="AE285" t="b">
        <f t="shared" si="50"/>
        <v>0</v>
      </c>
      <c r="AG285" t="b">
        <f t="shared" si="51"/>
        <v>0</v>
      </c>
      <c r="AI285" t="str">
        <f>IF(AND(Dataset!G285 &gt;5000,Dataset!H285&gt;7000),"ACTIVE_CONSUMER","INACTIVE_CONSUMER")</f>
        <v>ACTIVE_CONSUMER</v>
      </c>
      <c r="AN285" t="str">
        <f t="shared" si="52"/>
        <v>Not_eligible</v>
      </c>
      <c r="AQ285" t="str">
        <f>IF(AND(E285="M",F285="checking",Dataset!G285&gt;2000,Dataset!K285&gt;500),"good_client","bad_client")</f>
        <v>bad_client</v>
      </c>
      <c r="AT285" t="s">
        <v>482</v>
      </c>
      <c r="AU285" t="str">
        <f>IF(AND(Dataset!F285="Savings",Dataset!AT285="eligible"),"YES","NO")</f>
        <v>NO</v>
      </c>
      <c r="AW285" s="8"/>
      <c r="AX285" s="12" t="s">
        <v>487</v>
      </c>
      <c r="AY285" s="8" t="s">
        <v>489</v>
      </c>
      <c r="AZ285" s="8"/>
      <c r="BD285" t="str">
        <f t="shared" si="53"/>
        <v>yes</v>
      </c>
    </row>
    <row r="286" spans="1:56" x14ac:dyDescent="0.3">
      <c r="A286">
        <f t="shared" si="54"/>
        <v>285</v>
      </c>
      <c r="B286" s="3" t="s">
        <v>124</v>
      </c>
      <c r="C286" s="3" t="s">
        <v>37</v>
      </c>
      <c r="D286" s="2">
        <v>49</v>
      </c>
      <c r="E286" s="2" t="s">
        <v>21</v>
      </c>
      <c r="F286" s="2" t="s">
        <v>15</v>
      </c>
      <c r="G286" s="2">
        <v>7000</v>
      </c>
      <c r="H286" s="2">
        <v>71000</v>
      </c>
      <c r="I286" s="2" t="s">
        <v>16</v>
      </c>
      <c r="J286" s="2">
        <v>0</v>
      </c>
      <c r="K286" s="2">
        <v>680</v>
      </c>
      <c r="L286" s="2" t="s">
        <v>17</v>
      </c>
      <c r="M286" s="2" t="s">
        <v>81</v>
      </c>
      <c r="N286" s="2" t="s">
        <v>25</v>
      </c>
      <c r="O286">
        <v>15</v>
      </c>
      <c r="R286" t="e">
        <f t="shared" si="45"/>
        <v>#DIV/0!</v>
      </c>
      <c r="S286" t="str">
        <f t="shared" si="46"/>
        <v>DIVISION ERROR</v>
      </c>
      <c r="U286" t="b">
        <v>0</v>
      </c>
      <c r="W286" t="str">
        <f t="shared" si="47"/>
        <v>ODD</v>
      </c>
      <c r="Y286">
        <f t="shared" si="48"/>
        <v>286</v>
      </c>
      <c r="AB286" t="str">
        <f t="shared" si="49"/>
        <v>Bad_user</v>
      </c>
      <c r="AE286" t="b">
        <f t="shared" si="50"/>
        <v>1</v>
      </c>
      <c r="AG286" t="b">
        <f t="shared" si="51"/>
        <v>0</v>
      </c>
      <c r="AI286" t="str">
        <f>IF(AND(Dataset!G286 &gt;5000,Dataset!H286&gt;7000),"ACTIVE_CONSUMER","INACTIVE_CONSUMER")</f>
        <v>ACTIVE_CONSUMER</v>
      </c>
      <c r="AN286" t="str">
        <f t="shared" si="52"/>
        <v>Not_eligible</v>
      </c>
      <c r="AQ286" t="str">
        <f>IF(AND(E286="M",F286="checking",Dataset!G286&gt;2000,Dataset!K286&gt;500),"good_client","bad_client")</f>
        <v>bad_client</v>
      </c>
      <c r="AT286" t="s">
        <v>482</v>
      </c>
      <c r="AU286" t="str">
        <f>IF(AND(Dataset!F286="Savings",Dataset!AT286="eligible"),"YES","NO")</f>
        <v>NO</v>
      </c>
      <c r="AW286" s="8"/>
      <c r="AX286" s="12" t="s">
        <v>487</v>
      </c>
      <c r="AY286" s="8" t="s">
        <v>490</v>
      </c>
      <c r="AZ286" s="8"/>
      <c r="BD286" t="str">
        <f t="shared" si="53"/>
        <v>yes</v>
      </c>
    </row>
    <row r="287" spans="1:56" x14ac:dyDescent="0.3">
      <c r="A287">
        <f t="shared" si="54"/>
        <v>286</v>
      </c>
      <c r="B287" s="3" t="s">
        <v>125</v>
      </c>
      <c r="C287" s="3" t="s">
        <v>47</v>
      </c>
      <c r="D287" s="2">
        <v>24</v>
      </c>
      <c r="E287" s="2" t="s">
        <v>14</v>
      </c>
      <c r="F287" s="2" t="s">
        <v>22</v>
      </c>
      <c r="G287" s="2">
        <v>5000</v>
      </c>
      <c r="H287" s="2">
        <v>56000</v>
      </c>
      <c r="I287" s="2" t="s">
        <v>23</v>
      </c>
      <c r="J287" s="2">
        <v>10000</v>
      </c>
      <c r="K287" s="2">
        <v>700</v>
      </c>
      <c r="L287" s="2" t="s">
        <v>24</v>
      </c>
      <c r="M287" s="2" t="s">
        <v>81</v>
      </c>
      <c r="N287" s="2" t="s">
        <v>18</v>
      </c>
      <c r="O287">
        <v>3</v>
      </c>
      <c r="R287">
        <f t="shared" si="45"/>
        <v>5.6</v>
      </c>
      <c r="S287">
        <f t="shared" si="46"/>
        <v>5.6</v>
      </c>
      <c r="U287" t="b">
        <v>1</v>
      </c>
      <c r="W287" t="str">
        <f t="shared" si="47"/>
        <v>EVEN</v>
      </c>
      <c r="Y287">
        <f t="shared" si="48"/>
        <v>170</v>
      </c>
      <c r="AB287" t="str">
        <f t="shared" si="49"/>
        <v>Good_user</v>
      </c>
      <c r="AE287" t="b">
        <f t="shared" si="50"/>
        <v>0</v>
      </c>
      <c r="AG287" t="b">
        <f t="shared" si="51"/>
        <v>0</v>
      </c>
      <c r="AI287" t="str">
        <f>IF(AND(Dataset!G287 &gt;5000,Dataset!H287&gt;7000),"ACTIVE_CONSUMER","INACTIVE_CONSUMER")</f>
        <v>INACTIVE_CONSUMER</v>
      </c>
      <c r="AN287" t="str">
        <f t="shared" si="52"/>
        <v>Not_eligible</v>
      </c>
      <c r="AQ287" t="str">
        <f>IF(AND(E287="M",F287="checking",Dataset!G287&gt;2000,Dataset!K287&gt;500),"good_client","bad_client")</f>
        <v>bad_client</v>
      </c>
      <c r="AT287" t="s">
        <v>482</v>
      </c>
      <c r="AU287" t="str">
        <f>IF(AND(Dataset!F287="Savings",Dataset!AT287="eligible"),"YES","NO")</f>
        <v>NO</v>
      </c>
      <c r="AW287" s="8"/>
      <c r="AX287" s="12" t="s">
        <v>487</v>
      </c>
      <c r="AY287" s="8" t="s">
        <v>489</v>
      </c>
      <c r="AZ287" s="8"/>
      <c r="BD287" t="str">
        <f t="shared" si="53"/>
        <v>yes</v>
      </c>
    </row>
    <row r="288" spans="1:56" x14ac:dyDescent="0.3">
      <c r="A288">
        <f t="shared" si="54"/>
        <v>287</v>
      </c>
      <c r="B288" s="3" t="s">
        <v>54</v>
      </c>
      <c r="C288" s="3" t="s">
        <v>49</v>
      </c>
      <c r="D288" s="2">
        <v>29</v>
      </c>
      <c r="E288" s="2" t="s">
        <v>21</v>
      </c>
      <c r="F288" s="2" t="s">
        <v>15</v>
      </c>
      <c r="G288" s="2">
        <v>1500</v>
      </c>
      <c r="H288" s="2">
        <v>45000</v>
      </c>
      <c r="I288" s="2" t="s">
        <v>16</v>
      </c>
      <c r="J288" s="2">
        <v>0</v>
      </c>
      <c r="K288" s="2">
        <v>670</v>
      </c>
      <c r="L288" s="2" t="s">
        <v>28</v>
      </c>
      <c r="M288" s="2" t="s">
        <v>81</v>
      </c>
      <c r="N288" s="2" t="s">
        <v>25</v>
      </c>
      <c r="O288">
        <v>14</v>
      </c>
      <c r="R288" t="e">
        <f t="shared" si="45"/>
        <v>#DIV/0!</v>
      </c>
      <c r="S288" t="str">
        <f t="shared" si="46"/>
        <v>DIVISION ERROR</v>
      </c>
      <c r="U288" t="b">
        <v>0</v>
      </c>
      <c r="W288" t="str">
        <f t="shared" si="47"/>
        <v>ODD</v>
      </c>
      <c r="Y288">
        <f t="shared" si="48"/>
        <v>334</v>
      </c>
      <c r="AB288" t="str">
        <f t="shared" si="49"/>
        <v>Bad_user</v>
      </c>
      <c r="AE288" t="b">
        <f t="shared" si="50"/>
        <v>1</v>
      </c>
      <c r="AG288" t="b">
        <f t="shared" si="51"/>
        <v>0</v>
      </c>
      <c r="AI288" t="str">
        <f>IF(AND(Dataset!G288 &gt;5000,Dataset!H288&gt;7000),"ACTIVE_CONSUMER","INACTIVE_CONSUMER")</f>
        <v>INACTIVE_CONSUMER</v>
      </c>
      <c r="AN288" t="str">
        <f t="shared" si="52"/>
        <v>Not_eligible</v>
      </c>
      <c r="AQ288" t="str">
        <f>IF(AND(E288="M",F288="checking",Dataset!G288&gt;2000,Dataset!K288&gt;500),"good_client","bad_client")</f>
        <v>bad_client</v>
      </c>
      <c r="AT288" t="s">
        <v>482</v>
      </c>
      <c r="AU288" t="str">
        <f>IF(AND(Dataset!F288="Savings",Dataset!AT288="eligible"),"YES","NO")</f>
        <v>NO</v>
      </c>
      <c r="AW288" s="8"/>
      <c r="AX288" s="12" t="s">
        <v>487</v>
      </c>
      <c r="AY288" s="8" t="s">
        <v>490</v>
      </c>
      <c r="AZ288" s="8"/>
      <c r="BD288" t="str">
        <f t="shared" si="53"/>
        <v>yes</v>
      </c>
    </row>
    <row r="289" spans="1:56" x14ac:dyDescent="0.3">
      <c r="A289">
        <f t="shared" si="54"/>
        <v>288</v>
      </c>
      <c r="B289" s="3" t="s">
        <v>126</v>
      </c>
      <c r="C289" s="3" t="s">
        <v>51</v>
      </c>
      <c r="D289" s="2">
        <v>43</v>
      </c>
      <c r="E289" s="2" t="s">
        <v>14</v>
      </c>
      <c r="F289" s="2" t="s">
        <v>22</v>
      </c>
      <c r="G289" s="2">
        <v>11000</v>
      </c>
      <c r="H289" s="2">
        <v>74000</v>
      </c>
      <c r="I289" s="2" t="s">
        <v>23</v>
      </c>
      <c r="J289" s="2">
        <v>12000</v>
      </c>
      <c r="K289" s="2">
        <v>720</v>
      </c>
      <c r="L289" s="2" t="s">
        <v>31</v>
      </c>
      <c r="M289" s="2" t="s">
        <v>81</v>
      </c>
      <c r="N289" s="2" t="s">
        <v>18</v>
      </c>
      <c r="O289">
        <v>8</v>
      </c>
      <c r="R289">
        <f t="shared" si="45"/>
        <v>6.166666666666667</v>
      </c>
      <c r="S289">
        <f t="shared" si="46"/>
        <v>6.166666666666667</v>
      </c>
      <c r="U289" t="b">
        <v>1</v>
      </c>
      <c r="W289" t="str">
        <f t="shared" si="47"/>
        <v>ODD</v>
      </c>
      <c r="Y289">
        <f t="shared" si="48"/>
        <v>60</v>
      </c>
      <c r="AB289" t="str">
        <f t="shared" si="49"/>
        <v>Good_user</v>
      </c>
      <c r="AE289" t="b">
        <f t="shared" si="50"/>
        <v>0</v>
      </c>
      <c r="AG289" t="b">
        <f t="shared" si="51"/>
        <v>0</v>
      </c>
      <c r="AI289" t="str">
        <f>IF(AND(Dataset!G289 &gt;5000,Dataset!H289&gt;7000),"ACTIVE_CONSUMER","INACTIVE_CONSUMER")</f>
        <v>ACTIVE_CONSUMER</v>
      </c>
      <c r="AN289" t="str">
        <f t="shared" si="52"/>
        <v>Not_eligible</v>
      </c>
      <c r="AQ289" t="str">
        <f>IF(AND(E289="M",F289="checking",Dataset!G289&gt;2000,Dataset!K289&gt;500),"good_client","bad_client")</f>
        <v>bad_client</v>
      </c>
      <c r="AT289" t="s">
        <v>482</v>
      </c>
      <c r="AU289" t="str">
        <f>IF(AND(Dataset!F289="Savings",Dataset!AT289="eligible"),"YES","NO")</f>
        <v>NO</v>
      </c>
      <c r="AW289" s="8"/>
      <c r="AX289" s="12" t="s">
        <v>487</v>
      </c>
      <c r="AY289" s="8" t="s">
        <v>489</v>
      </c>
      <c r="AZ289" s="8"/>
      <c r="BD289" t="str">
        <f t="shared" si="53"/>
        <v>yes</v>
      </c>
    </row>
    <row r="290" spans="1:56" x14ac:dyDescent="0.3">
      <c r="A290">
        <f t="shared" si="54"/>
        <v>289</v>
      </c>
      <c r="B290" s="3" t="s">
        <v>127</v>
      </c>
      <c r="C290" s="3" t="s">
        <v>128</v>
      </c>
      <c r="D290" s="2">
        <v>36</v>
      </c>
      <c r="E290" s="2" t="s">
        <v>21</v>
      </c>
      <c r="F290" s="2" t="s">
        <v>15</v>
      </c>
      <c r="G290" s="2">
        <v>8000</v>
      </c>
      <c r="H290" s="2">
        <v>63000</v>
      </c>
      <c r="I290" s="2" t="s">
        <v>16</v>
      </c>
      <c r="J290" s="2">
        <v>0</v>
      </c>
      <c r="K290" s="2">
        <v>710</v>
      </c>
      <c r="L290" s="2" t="s">
        <v>17</v>
      </c>
      <c r="M290" s="2" t="s">
        <v>80</v>
      </c>
      <c r="N290" s="2" t="s">
        <v>25</v>
      </c>
      <c r="O290">
        <v>15</v>
      </c>
      <c r="R290" t="e">
        <f t="shared" si="45"/>
        <v>#DIV/0!</v>
      </c>
      <c r="S290" t="str">
        <f t="shared" si="46"/>
        <v>DIVISION ERROR</v>
      </c>
      <c r="U290" t="b">
        <v>0</v>
      </c>
      <c r="W290" t="str">
        <f t="shared" si="47"/>
        <v>EVEN</v>
      </c>
      <c r="Y290">
        <f t="shared" si="48"/>
        <v>120.5</v>
      </c>
      <c r="AB290" t="str">
        <f t="shared" si="49"/>
        <v>Bad_user</v>
      </c>
      <c r="AE290" t="b">
        <f t="shared" si="50"/>
        <v>1</v>
      </c>
      <c r="AG290" t="b">
        <f t="shared" si="51"/>
        <v>0</v>
      </c>
      <c r="AI290" t="str">
        <f>IF(AND(Dataset!G290 &gt;5000,Dataset!H290&gt;7000),"ACTIVE_CONSUMER","INACTIVE_CONSUMER")</f>
        <v>ACTIVE_CONSUMER</v>
      </c>
      <c r="AN290" t="str">
        <f t="shared" si="52"/>
        <v>Not_eligible</v>
      </c>
      <c r="AQ290" t="str">
        <f>IF(AND(E290="M",F290="checking",Dataset!G290&gt;2000,Dataset!K290&gt;500),"good_client","bad_client")</f>
        <v>bad_client</v>
      </c>
      <c r="AT290" t="s">
        <v>482</v>
      </c>
      <c r="AU290" t="str">
        <f>IF(AND(Dataset!F290="Savings",Dataset!AT290="eligible"),"YES","NO")</f>
        <v>NO</v>
      </c>
      <c r="AW290" s="8"/>
      <c r="AX290" s="12" t="s">
        <v>487</v>
      </c>
      <c r="AY290" s="8" t="s">
        <v>490</v>
      </c>
      <c r="AZ290" s="8"/>
      <c r="BD290" t="str">
        <f t="shared" si="53"/>
        <v>yes</v>
      </c>
    </row>
    <row r="291" spans="1:56" x14ac:dyDescent="0.3">
      <c r="A291">
        <f t="shared" si="54"/>
        <v>290</v>
      </c>
      <c r="B291" s="3" t="s">
        <v>129</v>
      </c>
      <c r="C291" s="3" t="s">
        <v>53</v>
      </c>
      <c r="D291" s="2">
        <v>28</v>
      </c>
      <c r="E291" s="2" t="s">
        <v>14</v>
      </c>
      <c r="F291" s="2" t="s">
        <v>22</v>
      </c>
      <c r="G291" s="2">
        <v>2000</v>
      </c>
      <c r="H291" s="2">
        <v>47000</v>
      </c>
      <c r="I291" s="2" t="s">
        <v>23</v>
      </c>
      <c r="J291" s="2">
        <v>5000</v>
      </c>
      <c r="K291" s="2">
        <v>680</v>
      </c>
      <c r="L291" s="2" t="s">
        <v>24</v>
      </c>
      <c r="M291" s="2" t="s">
        <v>80</v>
      </c>
      <c r="N291" s="2" t="s">
        <v>18</v>
      </c>
      <c r="O291">
        <v>9</v>
      </c>
      <c r="R291">
        <f t="shared" si="45"/>
        <v>9.4</v>
      </c>
      <c r="S291">
        <f t="shared" si="46"/>
        <v>9.4</v>
      </c>
      <c r="U291" t="b">
        <v>1</v>
      </c>
      <c r="W291" t="str">
        <f t="shared" si="47"/>
        <v>EVEN</v>
      </c>
      <c r="Y291">
        <f t="shared" si="48"/>
        <v>286</v>
      </c>
      <c r="AB291" t="str">
        <f t="shared" si="49"/>
        <v>Good_user</v>
      </c>
      <c r="AE291" t="b">
        <f t="shared" si="50"/>
        <v>0</v>
      </c>
      <c r="AG291" t="b">
        <f t="shared" si="51"/>
        <v>0</v>
      </c>
      <c r="AI291" t="str">
        <f>IF(AND(Dataset!G291 &gt;5000,Dataset!H291&gt;7000),"ACTIVE_CONSUMER","INACTIVE_CONSUMER")</f>
        <v>INACTIVE_CONSUMER</v>
      </c>
      <c r="AN291" t="str">
        <f t="shared" si="52"/>
        <v>Not_eligible</v>
      </c>
      <c r="AQ291" t="str">
        <f>IF(AND(E291="M",F291="checking",Dataset!G291&gt;2000,Dataset!K291&gt;500),"good_client","bad_client")</f>
        <v>bad_client</v>
      </c>
      <c r="AT291" t="s">
        <v>482</v>
      </c>
      <c r="AU291" t="str">
        <f>IF(AND(Dataset!F291="Savings",Dataset!AT291="eligible"),"YES","NO")</f>
        <v>NO</v>
      </c>
      <c r="AW291" s="8"/>
      <c r="AX291" s="12" t="s">
        <v>487</v>
      </c>
      <c r="AY291" s="8" t="s">
        <v>489</v>
      </c>
      <c r="AZ291" s="8"/>
      <c r="BD291" t="str">
        <f t="shared" si="53"/>
        <v>yes</v>
      </c>
    </row>
    <row r="292" spans="1:56" x14ac:dyDescent="0.3">
      <c r="A292">
        <f t="shared" si="54"/>
        <v>291</v>
      </c>
      <c r="B292" s="3" t="s">
        <v>130</v>
      </c>
      <c r="C292" s="3" t="s">
        <v>131</v>
      </c>
      <c r="D292" s="2">
        <v>31</v>
      </c>
      <c r="E292" s="2" t="s">
        <v>21</v>
      </c>
      <c r="F292" s="2" t="s">
        <v>15</v>
      </c>
      <c r="G292" s="2">
        <v>4000</v>
      </c>
      <c r="H292" s="2">
        <v>55000</v>
      </c>
      <c r="I292" s="2" t="s">
        <v>16</v>
      </c>
      <c r="J292" s="2">
        <v>0</v>
      </c>
      <c r="K292" s="2">
        <v>690</v>
      </c>
      <c r="L292" s="2" t="s">
        <v>28</v>
      </c>
      <c r="M292" s="2" t="s">
        <v>81</v>
      </c>
      <c r="N292" s="2" t="s">
        <v>25</v>
      </c>
      <c r="O292">
        <v>4</v>
      </c>
      <c r="R292" t="e">
        <f t="shared" si="45"/>
        <v>#DIV/0!</v>
      </c>
      <c r="S292" t="str">
        <f t="shared" si="46"/>
        <v>DIVISION ERROR</v>
      </c>
      <c r="U292" t="b">
        <v>0</v>
      </c>
      <c r="W292" t="str">
        <f t="shared" si="47"/>
        <v>ODD</v>
      </c>
      <c r="Y292">
        <f t="shared" si="48"/>
        <v>223.5</v>
      </c>
      <c r="AB292" t="str">
        <f t="shared" si="49"/>
        <v>Bad_user</v>
      </c>
      <c r="AE292" t="b">
        <f t="shared" si="50"/>
        <v>1</v>
      </c>
      <c r="AG292" t="b">
        <f t="shared" si="51"/>
        <v>0</v>
      </c>
      <c r="AI292" t="str">
        <f>IF(AND(Dataset!G292 &gt;5000,Dataset!H292&gt;7000),"ACTIVE_CONSUMER","INACTIVE_CONSUMER")</f>
        <v>INACTIVE_CONSUMER</v>
      </c>
      <c r="AN292" t="str">
        <f t="shared" si="52"/>
        <v>Not_eligible</v>
      </c>
      <c r="AQ292" t="str">
        <f>IF(AND(E292="M",F292="checking",Dataset!G292&gt;2000,Dataset!K292&gt;500),"good_client","bad_client")</f>
        <v>bad_client</v>
      </c>
      <c r="AT292" t="s">
        <v>482</v>
      </c>
      <c r="AU292" t="str">
        <f>IF(AND(Dataset!F292="Savings",Dataset!AT292="eligible"),"YES","NO")</f>
        <v>NO</v>
      </c>
      <c r="AW292" s="8"/>
      <c r="AX292" s="12" t="s">
        <v>487</v>
      </c>
      <c r="AY292" s="8" t="s">
        <v>490</v>
      </c>
      <c r="AZ292" s="8"/>
      <c r="BD292" t="str">
        <f t="shared" si="53"/>
        <v>yes</v>
      </c>
    </row>
    <row r="293" spans="1:56" x14ac:dyDescent="0.3">
      <c r="A293">
        <f t="shared" si="54"/>
        <v>292</v>
      </c>
      <c r="B293" s="3" t="s">
        <v>132</v>
      </c>
      <c r="C293" s="3" t="s">
        <v>55</v>
      </c>
      <c r="D293" s="2">
        <v>44</v>
      </c>
      <c r="E293" s="2" t="s">
        <v>14</v>
      </c>
      <c r="F293" s="2" t="s">
        <v>22</v>
      </c>
      <c r="G293" s="2">
        <v>6000</v>
      </c>
      <c r="H293" s="2">
        <v>62000</v>
      </c>
      <c r="I293" s="2" t="s">
        <v>23</v>
      </c>
      <c r="J293" s="2">
        <v>10000</v>
      </c>
      <c r="K293" s="2">
        <v>700</v>
      </c>
      <c r="L293" s="2" t="s">
        <v>31</v>
      </c>
      <c r="M293" s="2" t="s">
        <v>81</v>
      </c>
      <c r="N293" s="2" t="s">
        <v>18</v>
      </c>
      <c r="O293">
        <v>13</v>
      </c>
      <c r="R293">
        <f t="shared" si="45"/>
        <v>6.2</v>
      </c>
      <c r="S293">
        <f t="shared" si="46"/>
        <v>6.2</v>
      </c>
      <c r="U293" t="b">
        <v>1</v>
      </c>
      <c r="W293" t="str">
        <f t="shared" si="47"/>
        <v>EVEN</v>
      </c>
      <c r="Y293">
        <f t="shared" si="48"/>
        <v>170</v>
      </c>
      <c r="AB293" t="str">
        <f t="shared" si="49"/>
        <v>Good_user</v>
      </c>
      <c r="AE293" t="b">
        <f t="shared" si="50"/>
        <v>0</v>
      </c>
      <c r="AG293" t="b">
        <f t="shared" si="51"/>
        <v>0</v>
      </c>
      <c r="AI293" t="str">
        <f>IF(AND(Dataset!G293 &gt;5000,Dataset!H293&gt;7000),"ACTIVE_CONSUMER","INACTIVE_CONSUMER")</f>
        <v>ACTIVE_CONSUMER</v>
      </c>
      <c r="AN293" t="str">
        <f t="shared" si="52"/>
        <v>Not_eligible</v>
      </c>
      <c r="AQ293" t="str">
        <f>IF(AND(E293="M",F293="checking",Dataset!G293&gt;2000,Dataset!K293&gt;500),"good_client","bad_client")</f>
        <v>bad_client</v>
      </c>
      <c r="AT293" t="s">
        <v>482</v>
      </c>
      <c r="AU293" t="str">
        <f>IF(AND(Dataset!F293="Savings",Dataset!AT293="eligible"),"YES","NO")</f>
        <v>NO</v>
      </c>
      <c r="AW293" s="8"/>
      <c r="AX293" s="12" t="s">
        <v>487</v>
      </c>
      <c r="AY293" s="8" t="s">
        <v>489</v>
      </c>
      <c r="AZ293" s="8"/>
      <c r="BD293" t="str">
        <f t="shared" si="53"/>
        <v>yes</v>
      </c>
    </row>
    <row r="294" spans="1:56" x14ac:dyDescent="0.3">
      <c r="A294">
        <f t="shared" si="54"/>
        <v>293</v>
      </c>
      <c r="B294" s="3" t="s">
        <v>133</v>
      </c>
      <c r="C294" s="3" t="s">
        <v>59</v>
      </c>
      <c r="D294" s="2">
        <v>39</v>
      </c>
      <c r="E294" s="2" t="s">
        <v>21</v>
      </c>
      <c r="F294" s="2" t="s">
        <v>15</v>
      </c>
      <c r="G294" s="2">
        <v>9000</v>
      </c>
      <c r="H294" s="2">
        <v>67000</v>
      </c>
      <c r="I294" s="2" t="s">
        <v>16</v>
      </c>
      <c r="J294" s="2">
        <v>0</v>
      </c>
      <c r="K294" s="2">
        <v>720</v>
      </c>
      <c r="L294" s="2" t="s">
        <v>17</v>
      </c>
      <c r="M294" s="2" t="s">
        <v>81</v>
      </c>
      <c r="N294" s="2" t="s">
        <v>25</v>
      </c>
      <c r="O294">
        <v>5</v>
      </c>
      <c r="R294" t="e">
        <f t="shared" si="45"/>
        <v>#DIV/0!</v>
      </c>
      <c r="S294" t="str">
        <f t="shared" si="46"/>
        <v>DIVISION ERROR</v>
      </c>
      <c r="U294" t="b">
        <v>0</v>
      </c>
      <c r="W294" t="str">
        <f t="shared" si="47"/>
        <v>ODD</v>
      </c>
      <c r="Y294">
        <f t="shared" si="48"/>
        <v>60</v>
      </c>
      <c r="AB294" t="str">
        <f t="shared" si="49"/>
        <v>Bad_user</v>
      </c>
      <c r="AE294" t="b">
        <f t="shared" si="50"/>
        <v>1</v>
      </c>
      <c r="AG294" t="b">
        <f t="shared" si="51"/>
        <v>0</v>
      </c>
      <c r="AI294" t="str">
        <f>IF(AND(Dataset!G294 &gt;5000,Dataset!H294&gt;7000),"ACTIVE_CONSUMER","INACTIVE_CONSUMER")</f>
        <v>ACTIVE_CONSUMER</v>
      </c>
      <c r="AN294" t="str">
        <f t="shared" si="52"/>
        <v>Not_eligible</v>
      </c>
      <c r="AQ294" t="str">
        <f>IF(AND(E294="M",F294="checking",Dataset!G294&gt;2000,Dataset!K294&gt;500),"good_client","bad_client")</f>
        <v>bad_client</v>
      </c>
      <c r="AT294" t="s">
        <v>482</v>
      </c>
      <c r="AU294" t="str">
        <f>IF(AND(Dataset!F294="Savings",Dataset!AT294="eligible"),"YES","NO")</f>
        <v>NO</v>
      </c>
      <c r="AW294" s="8"/>
      <c r="AX294" s="12" t="s">
        <v>487</v>
      </c>
      <c r="AY294" s="8" t="s">
        <v>490</v>
      </c>
      <c r="AZ294" s="8"/>
      <c r="BD294" t="str">
        <f t="shared" si="53"/>
        <v>yes</v>
      </c>
    </row>
    <row r="295" spans="1:56" x14ac:dyDescent="0.3">
      <c r="A295">
        <f t="shared" si="54"/>
        <v>294</v>
      </c>
      <c r="B295" s="3" t="s">
        <v>134</v>
      </c>
      <c r="C295" s="3" t="s">
        <v>57</v>
      </c>
      <c r="D295" s="2">
        <v>27</v>
      </c>
      <c r="E295" s="2" t="s">
        <v>14</v>
      </c>
      <c r="F295" s="2" t="s">
        <v>22</v>
      </c>
      <c r="G295" s="2">
        <v>2500</v>
      </c>
      <c r="H295" s="2">
        <v>49000</v>
      </c>
      <c r="I295" s="2" t="s">
        <v>23</v>
      </c>
      <c r="J295" s="2">
        <v>7000</v>
      </c>
      <c r="K295" s="2">
        <v>680</v>
      </c>
      <c r="L295" s="2" t="s">
        <v>24</v>
      </c>
      <c r="M295" s="2" t="s">
        <v>82</v>
      </c>
      <c r="N295" s="2" t="s">
        <v>18</v>
      </c>
      <c r="O295">
        <v>11</v>
      </c>
      <c r="R295">
        <f t="shared" si="45"/>
        <v>7</v>
      </c>
      <c r="S295">
        <f t="shared" si="46"/>
        <v>7</v>
      </c>
      <c r="U295" t="b">
        <v>1</v>
      </c>
      <c r="W295" t="str">
        <f t="shared" si="47"/>
        <v>ODD</v>
      </c>
      <c r="Y295">
        <f t="shared" si="48"/>
        <v>286</v>
      </c>
      <c r="AB295" t="str">
        <f t="shared" si="49"/>
        <v>Good_user</v>
      </c>
      <c r="AE295" t="b">
        <f t="shared" si="50"/>
        <v>0</v>
      </c>
      <c r="AG295" t="b">
        <f t="shared" si="51"/>
        <v>0</v>
      </c>
      <c r="AI295" t="str">
        <f>IF(AND(Dataset!G295 &gt;5000,Dataset!H295&gt;7000),"ACTIVE_CONSUMER","INACTIVE_CONSUMER")</f>
        <v>INACTIVE_CONSUMER</v>
      </c>
      <c r="AN295" t="str">
        <f t="shared" si="52"/>
        <v>Not_eligible</v>
      </c>
      <c r="AQ295" t="str">
        <f>IF(AND(E295="M",F295="checking",Dataset!G295&gt;2000,Dataset!K295&gt;500),"good_client","bad_client")</f>
        <v>bad_client</v>
      </c>
      <c r="AT295" t="s">
        <v>482</v>
      </c>
      <c r="AU295" t="str">
        <f>IF(AND(Dataset!F295="Savings",Dataset!AT295="eligible"),"YES","NO")</f>
        <v>NO</v>
      </c>
      <c r="AW295" s="8"/>
      <c r="AX295" s="12" t="s">
        <v>486</v>
      </c>
      <c r="AY295" s="8" t="s">
        <v>489</v>
      </c>
      <c r="AZ295" s="8"/>
      <c r="BD295" t="str">
        <f t="shared" si="53"/>
        <v>yes</v>
      </c>
    </row>
    <row r="296" spans="1:56" x14ac:dyDescent="0.3">
      <c r="A296">
        <f t="shared" si="54"/>
        <v>295</v>
      </c>
      <c r="B296" s="3" t="s">
        <v>135</v>
      </c>
      <c r="C296" s="3" t="s">
        <v>61</v>
      </c>
      <c r="D296" s="2">
        <v>40</v>
      </c>
      <c r="E296" s="2" t="s">
        <v>21</v>
      </c>
      <c r="F296" s="2" t="s">
        <v>15</v>
      </c>
      <c r="G296" s="2">
        <v>7000</v>
      </c>
      <c r="H296" s="2">
        <v>71000</v>
      </c>
      <c r="I296" s="2" t="s">
        <v>16</v>
      </c>
      <c r="J296" s="2">
        <v>0</v>
      </c>
      <c r="K296" s="2">
        <v>710</v>
      </c>
      <c r="L296" s="2" t="s">
        <v>28</v>
      </c>
      <c r="M296" s="2" t="s">
        <v>82</v>
      </c>
      <c r="N296" s="2" t="s">
        <v>25</v>
      </c>
      <c r="O296">
        <v>4</v>
      </c>
      <c r="R296" t="e">
        <f t="shared" si="45"/>
        <v>#DIV/0!</v>
      </c>
      <c r="S296" t="str">
        <f t="shared" si="46"/>
        <v>DIVISION ERROR</v>
      </c>
      <c r="U296" t="b">
        <v>0</v>
      </c>
      <c r="W296" t="str">
        <f t="shared" si="47"/>
        <v>EVEN</v>
      </c>
      <c r="Y296">
        <f t="shared" si="48"/>
        <v>120.5</v>
      </c>
      <c r="AB296" t="str">
        <f t="shared" si="49"/>
        <v>Bad_user</v>
      </c>
      <c r="AE296" t="b">
        <f t="shared" si="50"/>
        <v>1</v>
      </c>
      <c r="AG296" t="b">
        <f t="shared" si="51"/>
        <v>0</v>
      </c>
      <c r="AI296" t="str">
        <f>IF(AND(Dataset!G296 &gt;5000,Dataset!H296&gt;7000),"ACTIVE_CONSUMER","INACTIVE_CONSUMER")</f>
        <v>ACTIVE_CONSUMER</v>
      </c>
      <c r="AN296" t="str">
        <f t="shared" si="52"/>
        <v>Not_eligible</v>
      </c>
      <c r="AQ296" t="str">
        <f>IF(AND(E296="M",F296="checking",Dataset!G296&gt;2000,Dataset!K296&gt;500),"good_client","bad_client")</f>
        <v>bad_client</v>
      </c>
      <c r="AT296" t="s">
        <v>482</v>
      </c>
      <c r="AU296" t="str">
        <f>IF(AND(Dataset!F296="Savings",Dataset!AT296="eligible"),"YES","NO")</f>
        <v>NO</v>
      </c>
      <c r="AW296" s="8"/>
      <c r="AX296" s="12" t="s">
        <v>486</v>
      </c>
      <c r="AY296" s="8" t="s">
        <v>490</v>
      </c>
      <c r="AZ296" s="8"/>
      <c r="BD296" t="str">
        <f t="shared" si="53"/>
        <v>yes</v>
      </c>
    </row>
    <row r="297" spans="1:56" x14ac:dyDescent="0.3">
      <c r="A297">
        <f t="shared" si="54"/>
        <v>296</v>
      </c>
      <c r="B297" s="3" t="s">
        <v>136</v>
      </c>
      <c r="C297" s="3" t="s">
        <v>137</v>
      </c>
      <c r="D297" s="2">
        <v>34</v>
      </c>
      <c r="E297" s="2" t="s">
        <v>14</v>
      </c>
      <c r="F297" s="2" t="s">
        <v>22</v>
      </c>
      <c r="G297" s="2">
        <v>15000</v>
      </c>
      <c r="H297" s="2">
        <v>73000</v>
      </c>
      <c r="I297" s="2" t="s">
        <v>23</v>
      </c>
      <c r="J297" s="2">
        <v>13000</v>
      </c>
      <c r="K297" s="2">
        <v>720</v>
      </c>
      <c r="L297" s="2" t="s">
        <v>31</v>
      </c>
      <c r="M297" s="2" t="s">
        <v>82</v>
      </c>
      <c r="N297" s="2" t="s">
        <v>18</v>
      </c>
      <c r="O297">
        <v>14</v>
      </c>
      <c r="R297">
        <f t="shared" si="45"/>
        <v>5.615384615384615</v>
      </c>
      <c r="S297">
        <f t="shared" si="46"/>
        <v>5.615384615384615</v>
      </c>
      <c r="U297" t="b">
        <v>1</v>
      </c>
      <c r="W297" t="str">
        <f t="shared" si="47"/>
        <v>EVEN</v>
      </c>
      <c r="Y297">
        <f t="shared" si="48"/>
        <v>60</v>
      </c>
      <c r="AB297" t="str">
        <f t="shared" si="49"/>
        <v>Good_user</v>
      </c>
      <c r="AE297" t="b">
        <f t="shared" si="50"/>
        <v>0</v>
      </c>
      <c r="AG297" t="b">
        <f t="shared" si="51"/>
        <v>0</v>
      </c>
      <c r="AI297" t="str">
        <f>IF(AND(Dataset!G297 &gt;5000,Dataset!H297&gt;7000),"ACTIVE_CONSUMER","INACTIVE_CONSUMER")</f>
        <v>ACTIVE_CONSUMER</v>
      </c>
      <c r="AN297" t="str">
        <f t="shared" si="52"/>
        <v>Not_eligible</v>
      </c>
      <c r="AQ297" t="str">
        <f>IF(AND(E297="M",F297="checking",Dataset!G297&gt;2000,Dataset!K297&gt;500),"good_client","bad_client")</f>
        <v>bad_client</v>
      </c>
      <c r="AT297" t="s">
        <v>482</v>
      </c>
      <c r="AU297" t="str">
        <f>IF(AND(Dataset!F297="Savings",Dataset!AT297="eligible"),"YES","NO")</f>
        <v>NO</v>
      </c>
      <c r="AW297" s="8"/>
      <c r="AX297" s="12" t="s">
        <v>486</v>
      </c>
      <c r="AY297" s="8" t="s">
        <v>489</v>
      </c>
      <c r="AZ297" s="8"/>
      <c r="BD297" t="str">
        <f t="shared" si="53"/>
        <v>yes</v>
      </c>
    </row>
    <row r="298" spans="1:56" x14ac:dyDescent="0.3">
      <c r="A298">
        <f t="shared" si="54"/>
        <v>297</v>
      </c>
      <c r="B298" s="3" t="s">
        <v>138</v>
      </c>
      <c r="C298" s="3" t="s">
        <v>63</v>
      </c>
      <c r="D298" s="2">
        <v>29</v>
      </c>
      <c r="E298" s="2" t="s">
        <v>21</v>
      </c>
      <c r="F298" s="2" t="s">
        <v>15</v>
      </c>
      <c r="G298" s="2">
        <v>2500</v>
      </c>
      <c r="H298" s="2">
        <v>47000</v>
      </c>
      <c r="I298" s="2" t="s">
        <v>16</v>
      </c>
      <c r="J298" s="2">
        <v>0</v>
      </c>
      <c r="K298" s="2">
        <v>680</v>
      </c>
      <c r="L298" s="2" t="s">
        <v>17</v>
      </c>
      <c r="M298" s="2" t="s">
        <v>80</v>
      </c>
      <c r="N298" s="2" t="s">
        <v>25</v>
      </c>
      <c r="O298">
        <v>7</v>
      </c>
      <c r="R298" t="e">
        <f t="shared" si="45"/>
        <v>#DIV/0!</v>
      </c>
      <c r="S298" t="str">
        <f t="shared" si="46"/>
        <v>DIVISION ERROR</v>
      </c>
      <c r="U298" t="b">
        <v>0</v>
      </c>
      <c r="W298" t="str">
        <f t="shared" si="47"/>
        <v>ODD</v>
      </c>
      <c r="Y298">
        <f t="shared" si="48"/>
        <v>286</v>
      </c>
      <c r="AB298" t="str">
        <f t="shared" si="49"/>
        <v>Bad_user</v>
      </c>
      <c r="AE298" t="b">
        <f t="shared" si="50"/>
        <v>1</v>
      </c>
      <c r="AG298" t="b">
        <f t="shared" si="51"/>
        <v>0</v>
      </c>
      <c r="AI298" t="str">
        <f>IF(AND(Dataset!G298 &gt;5000,Dataset!H298&gt;7000),"ACTIVE_CONSUMER","INACTIVE_CONSUMER")</f>
        <v>INACTIVE_CONSUMER</v>
      </c>
      <c r="AN298" t="str">
        <f t="shared" si="52"/>
        <v>Not_eligible</v>
      </c>
      <c r="AQ298" t="str">
        <f>IF(AND(E298="M",F298="checking",Dataset!G298&gt;2000,Dataset!K298&gt;500),"good_client","bad_client")</f>
        <v>bad_client</v>
      </c>
      <c r="AT298" t="s">
        <v>482</v>
      </c>
      <c r="AU298" t="str">
        <f>IF(AND(Dataset!F298="Savings",Dataset!AT298="eligible"),"YES","NO")</f>
        <v>NO</v>
      </c>
      <c r="AW298" s="8"/>
      <c r="AX298" s="12" t="s">
        <v>487</v>
      </c>
      <c r="AY298" s="8" t="s">
        <v>490</v>
      </c>
      <c r="AZ298" s="8"/>
      <c r="BD298" t="str">
        <f t="shared" si="53"/>
        <v>yes</v>
      </c>
    </row>
    <row r="299" spans="1:56" x14ac:dyDescent="0.3">
      <c r="A299">
        <f t="shared" si="54"/>
        <v>298</v>
      </c>
      <c r="B299" s="3" t="s">
        <v>139</v>
      </c>
      <c r="C299" s="3" t="s">
        <v>65</v>
      </c>
      <c r="D299" s="2">
        <v>31</v>
      </c>
      <c r="E299" s="2" t="s">
        <v>14</v>
      </c>
      <c r="F299" s="2" t="s">
        <v>22</v>
      </c>
      <c r="G299" s="2">
        <v>5000</v>
      </c>
      <c r="H299" s="2">
        <v>53000</v>
      </c>
      <c r="I299" s="2" t="s">
        <v>23</v>
      </c>
      <c r="J299" s="2">
        <v>8000</v>
      </c>
      <c r="K299" s="2">
        <v>690</v>
      </c>
      <c r="L299" s="2" t="s">
        <v>24</v>
      </c>
      <c r="M299" s="2" t="s">
        <v>80</v>
      </c>
      <c r="N299" s="2" t="s">
        <v>18</v>
      </c>
      <c r="O299">
        <v>6</v>
      </c>
      <c r="R299">
        <f t="shared" si="45"/>
        <v>6.625</v>
      </c>
      <c r="S299">
        <f t="shared" si="46"/>
        <v>6.625</v>
      </c>
      <c r="U299" t="b">
        <v>1</v>
      </c>
      <c r="W299" t="str">
        <f t="shared" si="47"/>
        <v>ODD</v>
      </c>
      <c r="Y299">
        <f t="shared" si="48"/>
        <v>223.5</v>
      </c>
      <c r="AB299" t="str">
        <f t="shared" si="49"/>
        <v>Good_user</v>
      </c>
      <c r="AE299" t="b">
        <f t="shared" si="50"/>
        <v>0</v>
      </c>
      <c r="AG299" t="b">
        <f t="shared" si="51"/>
        <v>0</v>
      </c>
      <c r="AI299" t="str">
        <f>IF(AND(Dataset!G299 &gt;5000,Dataset!H299&gt;7000),"ACTIVE_CONSUMER","INACTIVE_CONSUMER")</f>
        <v>INACTIVE_CONSUMER</v>
      </c>
      <c r="AN299" t="str">
        <f t="shared" si="52"/>
        <v>Not_eligible</v>
      </c>
      <c r="AQ299" t="str">
        <f>IF(AND(E299="M",F299="checking",Dataset!G299&gt;2000,Dataset!K299&gt;500),"good_client","bad_client")</f>
        <v>bad_client</v>
      </c>
      <c r="AT299" t="s">
        <v>482</v>
      </c>
      <c r="AU299" t="str">
        <f>IF(AND(Dataset!F299="Savings",Dataset!AT299="eligible"),"YES","NO")</f>
        <v>NO</v>
      </c>
      <c r="AW299" s="8"/>
      <c r="AX299" s="12" t="s">
        <v>487</v>
      </c>
      <c r="AY299" s="8" t="s">
        <v>489</v>
      </c>
      <c r="AZ299" s="8"/>
      <c r="BD299" t="str">
        <f t="shared" si="53"/>
        <v>yes</v>
      </c>
    </row>
    <row r="300" spans="1:56" x14ac:dyDescent="0.3">
      <c r="A300">
        <f t="shared" si="54"/>
        <v>299</v>
      </c>
      <c r="B300" s="3" t="s">
        <v>140</v>
      </c>
      <c r="C300" s="3" t="s">
        <v>69</v>
      </c>
      <c r="D300" s="2">
        <v>42</v>
      </c>
      <c r="E300" s="2" t="s">
        <v>21</v>
      </c>
      <c r="F300" s="2" t="s">
        <v>15</v>
      </c>
      <c r="G300" s="2">
        <v>6000</v>
      </c>
      <c r="H300" s="2">
        <v>69000</v>
      </c>
      <c r="I300" s="2" t="s">
        <v>16</v>
      </c>
      <c r="J300" s="2">
        <v>0</v>
      </c>
      <c r="K300" s="2">
        <v>720</v>
      </c>
      <c r="L300" s="2" t="s">
        <v>28</v>
      </c>
      <c r="M300" s="2" t="s">
        <v>80</v>
      </c>
      <c r="N300" s="2" t="s">
        <v>25</v>
      </c>
      <c r="O300">
        <v>4</v>
      </c>
      <c r="R300" t="e">
        <f t="shared" si="45"/>
        <v>#DIV/0!</v>
      </c>
      <c r="S300" t="str">
        <f t="shared" si="46"/>
        <v>DIVISION ERROR</v>
      </c>
      <c r="U300" t="b">
        <v>0</v>
      </c>
      <c r="W300" t="str">
        <f t="shared" si="47"/>
        <v>EVEN</v>
      </c>
      <c r="Y300">
        <f t="shared" si="48"/>
        <v>60</v>
      </c>
      <c r="AB300" t="str">
        <f t="shared" si="49"/>
        <v>Bad_user</v>
      </c>
      <c r="AE300" t="b">
        <f t="shared" si="50"/>
        <v>1</v>
      </c>
      <c r="AG300" t="b">
        <f t="shared" si="51"/>
        <v>0</v>
      </c>
      <c r="AI300" t="str">
        <f>IF(AND(Dataset!G300 &gt;5000,Dataset!H300&gt;7000),"ACTIVE_CONSUMER","INACTIVE_CONSUMER")</f>
        <v>ACTIVE_CONSUMER</v>
      </c>
      <c r="AN300" t="str">
        <f t="shared" si="52"/>
        <v>Not_eligible</v>
      </c>
      <c r="AQ300" t="str">
        <f>IF(AND(E300="M",F300="checking",Dataset!G300&gt;2000,Dataset!K300&gt;500),"good_client","bad_client")</f>
        <v>bad_client</v>
      </c>
      <c r="AT300" t="s">
        <v>482</v>
      </c>
      <c r="AU300" t="str">
        <f>IF(AND(Dataset!F300="Savings",Dataset!AT300="eligible"),"YES","NO")</f>
        <v>NO</v>
      </c>
      <c r="AW300" s="8"/>
      <c r="AX300" s="12" t="s">
        <v>487</v>
      </c>
      <c r="AY300" s="8" t="s">
        <v>490</v>
      </c>
      <c r="AZ300" s="8"/>
      <c r="BD300" t="str">
        <f t="shared" si="53"/>
        <v>yes</v>
      </c>
    </row>
    <row r="301" spans="1:56" x14ac:dyDescent="0.3">
      <c r="A301">
        <f t="shared" si="54"/>
        <v>300</v>
      </c>
      <c r="B301" s="3" t="s">
        <v>141</v>
      </c>
      <c r="C301" s="3" t="s">
        <v>67</v>
      </c>
      <c r="D301" s="2">
        <v>36</v>
      </c>
      <c r="E301" s="2" t="s">
        <v>14</v>
      </c>
      <c r="F301" s="2" t="s">
        <v>22</v>
      </c>
      <c r="G301" s="2">
        <v>2000</v>
      </c>
      <c r="H301" s="2">
        <v>45000</v>
      </c>
      <c r="I301" s="2" t="s">
        <v>23</v>
      </c>
      <c r="J301" s="2">
        <v>5000</v>
      </c>
      <c r="K301" s="2">
        <v>700</v>
      </c>
      <c r="L301" s="2" t="s">
        <v>31</v>
      </c>
      <c r="M301" s="2" t="s">
        <v>80</v>
      </c>
      <c r="N301" s="2" t="s">
        <v>18</v>
      </c>
      <c r="O301">
        <v>7</v>
      </c>
      <c r="R301">
        <f t="shared" si="45"/>
        <v>9</v>
      </c>
      <c r="S301">
        <f t="shared" si="46"/>
        <v>9</v>
      </c>
      <c r="U301" t="b">
        <v>1</v>
      </c>
      <c r="W301" t="str">
        <f t="shared" si="47"/>
        <v>EVEN</v>
      </c>
      <c r="Y301">
        <f t="shared" si="48"/>
        <v>170</v>
      </c>
      <c r="AB301" t="str">
        <f t="shared" si="49"/>
        <v>Good_user</v>
      </c>
      <c r="AE301" t="b">
        <f t="shared" si="50"/>
        <v>0</v>
      </c>
      <c r="AG301" t="b">
        <f t="shared" si="51"/>
        <v>0</v>
      </c>
      <c r="AI301" t="str">
        <f>IF(AND(Dataset!G301 &gt;5000,Dataset!H301&gt;7000),"ACTIVE_CONSUMER","INACTIVE_CONSUMER")</f>
        <v>INACTIVE_CONSUMER</v>
      </c>
      <c r="AN301" t="str">
        <f t="shared" si="52"/>
        <v>Not_eligible</v>
      </c>
      <c r="AQ301" t="str">
        <f>IF(AND(E301="M",F301="checking",Dataset!G301&gt;2000,Dataset!K301&gt;500),"good_client","bad_client")</f>
        <v>bad_client</v>
      </c>
      <c r="AT301" t="s">
        <v>482</v>
      </c>
      <c r="AU301" t="str">
        <f>IF(AND(Dataset!F301="Savings",Dataset!AT301="eligible"),"YES","NO")</f>
        <v>NO</v>
      </c>
      <c r="AW301" s="8"/>
      <c r="AX301" s="12" t="s">
        <v>487</v>
      </c>
      <c r="AY301" s="8" t="s">
        <v>489</v>
      </c>
      <c r="AZ301" s="8"/>
      <c r="BD301" t="str">
        <f t="shared" si="53"/>
        <v>yes</v>
      </c>
    </row>
    <row r="302" spans="1:56" x14ac:dyDescent="0.3">
      <c r="A302">
        <f t="shared" si="54"/>
        <v>301</v>
      </c>
      <c r="B302" s="3" t="s">
        <v>142</v>
      </c>
      <c r="C302" s="3" t="s">
        <v>143</v>
      </c>
      <c r="D302" s="2">
        <v>48</v>
      </c>
      <c r="E302" s="2" t="s">
        <v>21</v>
      </c>
      <c r="F302" s="2" t="s">
        <v>15</v>
      </c>
      <c r="G302" s="2">
        <v>8000</v>
      </c>
      <c r="H302" s="2">
        <v>74000</v>
      </c>
      <c r="I302" s="2" t="s">
        <v>16</v>
      </c>
      <c r="J302" s="2">
        <v>0</v>
      </c>
      <c r="K302" s="2">
        <v>680</v>
      </c>
      <c r="L302" s="2" t="s">
        <v>17</v>
      </c>
      <c r="M302" s="2" t="s">
        <v>81</v>
      </c>
      <c r="N302" s="2" t="s">
        <v>25</v>
      </c>
      <c r="O302">
        <v>13</v>
      </c>
      <c r="R302" t="e">
        <f t="shared" si="45"/>
        <v>#DIV/0!</v>
      </c>
      <c r="S302" t="str">
        <f t="shared" si="46"/>
        <v>DIVISION ERROR</v>
      </c>
      <c r="U302" t="b">
        <v>0</v>
      </c>
      <c r="W302" t="str">
        <f t="shared" si="47"/>
        <v>EVEN</v>
      </c>
      <c r="Y302">
        <f t="shared" si="48"/>
        <v>286</v>
      </c>
      <c r="AB302" t="str">
        <f t="shared" si="49"/>
        <v>Bad_user</v>
      </c>
      <c r="AE302" t="b">
        <f t="shared" si="50"/>
        <v>1</v>
      </c>
      <c r="AG302" t="b">
        <f t="shared" si="51"/>
        <v>0</v>
      </c>
      <c r="AI302" t="str">
        <f>IF(AND(Dataset!G302 &gt;5000,Dataset!H302&gt;7000),"ACTIVE_CONSUMER","INACTIVE_CONSUMER")</f>
        <v>ACTIVE_CONSUMER</v>
      </c>
      <c r="AN302" t="str">
        <f t="shared" si="52"/>
        <v>Not_eligible</v>
      </c>
      <c r="AQ302" t="str">
        <f>IF(AND(E302="M",F302="checking",Dataset!G302&gt;2000,Dataset!K302&gt;500),"good_client","bad_client")</f>
        <v>bad_client</v>
      </c>
      <c r="AT302" t="s">
        <v>482</v>
      </c>
      <c r="AU302" t="str">
        <f>IF(AND(Dataset!F302="Savings",Dataset!AT302="eligible"),"YES","NO")</f>
        <v>NO</v>
      </c>
      <c r="AW302" s="8"/>
      <c r="AX302" s="12" t="s">
        <v>487</v>
      </c>
      <c r="AY302" s="8" t="s">
        <v>490</v>
      </c>
      <c r="AZ302" s="8"/>
      <c r="BD302" t="str">
        <f t="shared" si="53"/>
        <v>yes</v>
      </c>
    </row>
    <row r="303" spans="1:56" x14ac:dyDescent="0.3">
      <c r="A303">
        <f t="shared" si="54"/>
        <v>302</v>
      </c>
      <c r="B303" s="3" t="s">
        <v>144</v>
      </c>
      <c r="C303" s="3" t="s">
        <v>71</v>
      </c>
      <c r="D303" s="2">
        <v>33</v>
      </c>
      <c r="E303" s="2" t="s">
        <v>14</v>
      </c>
      <c r="F303" s="2" t="s">
        <v>22</v>
      </c>
      <c r="G303" s="2">
        <v>4000</v>
      </c>
      <c r="H303" s="2">
        <v>60000</v>
      </c>
      <c r="I303" s="2" t="s">
        <v>23</v>
      </c>
      <c r="J303" s="2">
        <v>8000</v>
      </c>
      <c r="K303" s="2">
        <v>720</v>
      </c>
      <c r="L303" s="2" t="s">
        <v>24</v>
      </c>
      <c r="M303" s="2" t="s">
        <v>81</v>
      </c>
      <c r="N303" s="2" t="s">
        <v>18</v>
      </c>
      <c r="O303">
        <v>4</v>
      </c>
      <c r="R303">
        <f t="shared" si="45"/>
        <v>7.5</v>
      </c>
      <c r="S303">
        <f t="shared" si="46"/>
        <v>7.5</v>
      </c>
      <c r="U303" t="b">
        <v>1</v>
      </c>
      <c r="W303" t="str">
        <f t="shared" si="47"/>
        <v>ODD</v>
      </c>
      <c r="Y303">
        <f t="shared" si="48"/>
        <v>60</v>
      </c>
      <c r="AB303" t="str">
        <f t="shared" si="49"/>
        <v>Good_user</v>
      </c>
      <c r="AE303" t="b">
        <f t="shared" si="50"/>
        <v>0</v>
      </c>
      <c r="AG303" t="b">
        <f t="shared" si="51"/>
        <v>0</v>
      </c>
      <c r="AI303" t="str">
        <f>IF(AND(Dataset!G303 &gt;5000,Dataset!H303&gt;7000),"ACTIVE_CONSUMER","INACTIVE_CONSUMER")</f>
        <v>INACTIVE_CONSUMER</v>
      </c>
      <c r="AN303" t="str">
        <f t="shared" si="52"/>
        <v>Not_eligible</v>
      </c>
      <c r="AQ303" t="str">
        <f>IF(AND(E303="M",F303="checking",Dataset!G303&gt;2000,Dataset!K303&gt;500),"good_client","bad_client")</f>
        <v>bad_client</v>
      </c>
      <c r="AT303" t="s">
        <v>482</v>
      </c>
      <c r="AU303" t="str">
        <f>IF(AND(Dataset!F303="Savings",Dataset!AT303="eligible"),"YES","NO")</f>
        <v>NO</v>
      </c>
      <c r="AW303" s="8"/>
      <c r="AX303" s="12" t="s">
        <v>487</v>
      </c>
      <c r="AY303" s="8" t="s">
        <v>489</v>
      </c>
      <c r="AZ303" s="8"/>
      <c r="BD303" t="str">
        <f t="shared" si="53"/>
        <v>yes</v>
      </c>
    </row>
    <row r="304" spans="1:56" x14ac:dyDescent="0.3">
      <c r="A304">
        <v>303</v>
      </c>
      <c r="B304" s="3" t="s">
        <v>162</v>
      </c>
      <c r="C304" s="3" t="s">
        <v>196</v>
      </c>
      <c r="D304" s="2">
        <v>36</v>
      </c>
      <c r="E304" s="2" t="s">
        <v>14</v>
      </c>
      <c r="F304" s="2" t="s">
        <v>15</v>
      </c>
      <c r="G304" s="2">
        <v>2500</v>
      </c>
      <c r="H304" s="2">
        <v>55000</v>
      </c>
      <c r="I304" s="2" t="s">
        <v>16</v>
      </c>
      <c r="J304" s="2">
        <v>12000</v>
      </c>
      <c r="K304" s="2">
        <v>720</v>
      </c>
      <c r="L304" s="2" t="s">
        <v>17</v>
      </c>
      <c r="M304" s="2" t="s">
        <v>80</v>
      </c>
      <c r="N304" s="2" t="s">
        <v>25</v>
      </c>
      <c r="O304">
        <v>15</v>
      </c>
      <c r="R304">
        <f t="shared" si="45"/>
        <v>4.583333333333333</v>
      </c>
      <c r="S304">
        <f t="shared" si="46"/>
        <v>4.583333333333333</v>
      </c>
      <c r="U304" t="b">
        <v>1</v>
      </c>
      <c r="W304" t="str">
        <f t="shared" si="47"/>
        <v>EVEN</v>
      </c>
      <c r="Y304">
        <f t="shared" si="48"/>
        <v>60</v>
      </c>
      <c r="AB304" t="str">
        <f t="shared" si="49"/>
        <v>Bad_user</v>
      </c>
      <c r="AE304" t="b">
        <f t="shared" si="50"/>
        <v>0</v>
      </c>
      <c r="AG304" t="b">
        <f t="shared" si="51"/>
        <v>0</v>
      </c>
      <c r="AI304" t="str">
        <f>IF(AND(Dataset!G304 &gt;5000,Dataset!H304&gt;7000),"ACTIVE_CONSUMER","INACTIVE_CONSUMER")</f>
        <v>INACTIVE_CONSUMER</v>
      </c>
      <c r="AN304" t="str">
        <f t="shared" si="52"/>
        <v>Not_eligible</v>
      </c>
      <c r="AQ304" t="str">
        <f>IF(AND(E304="M",F304="checking",Dataset!G304&gt;2000,Dataset!K304&gt;500),"good_client","bad_client")</f>
        <v>good_client</v>
      </c>
      <c r="AT304" t="s">
        <v>482</v>
      </c>
      <c r="AU304" t="str">
        <f>IF(AND(Dataset!F304="Savings",Dataset!AT304="eligible"),"YES","NO")</f>
        <v>NO</v>
      </c>
      <c r="AW304" s="8"/>
      <c r="AX304" s="12" t="s">
        <v>487</v>
      </c>
      <c r="AY304" s="8" t="s">
        <v>490</v>
      </c>
      <c r="AZ304" s="8"/>
      <c r="BD304" t="str">
        <f t="shared" si="53"/>
        <v>yes</v>
      </c>
    </row>
    <row r="305" spans="1:56" x14ac:dyDescent="0.3">
      <c r="A305">
        <f t="shared" ref="A305:A350" si="55">ROW()-1</f>
        <v>304</v>
      </c>
      <c r="B305" s="3" t="s">
        <v>168</v>
      </c>
      <c r="C305" s="3" t="s">
        <v>151</v>
      </c>
      <c r="D305" s="2">
        <v>29</v>
      </c>
      <c r="E305" s="2" t="s">
        <v>21</v>
      </c>
      <c r="F305" s="2" t="s">
        <v>22</v>
      </c>
      <c r="G305" s="2">
        <v>8000</v>
      </c>
      <c r="H305" s="2">
        <v>62000</v>
      </c>
      <c r="I305" s="2" t="s">
        <v>23</v>
      </c>
      <c r="J305" s="2">
        <v>0</v>
      </c>
      <c r="K305" s="2">
        <v>680</v>
      </c>
      <c r="L305" s="2" t="s">
        <v>24</v>
      </c>
      <c r="M305" s="2" t="s">
        <v>81</v>
      </c>
      <c r="N305" s="2" t="s">
        <v>18</v>
      </c>
      <c r="O305">
        <v>4</v>
      </c>
      <c r="R305" t="e">
        <f t="shared" si="45"/>
        <v>#DIV/0!</v>
      </c>
      <c r="S305" t="str">
        <f t="shared" si="46"/>
        <v>DIVISION ERROR</v>
      </c>
      <c r="U305" t="b">
        <v>0</v>
      </c>
      <c r="W305" t="str">
        <f t="shared" si="47"/>
        <v>ODD</v>
      </c>
      <c r="Y305">
        <f t="shared" si="48"/>
        <v>286</v>
      </c>
      <c r="AB305" t="str">
        <f t="shared" si="49"/>
        <v>Good_user</v>
      </c>
      <c r="AE305" t="b">
        <f t="shared" si="50"/>
        <v>1</v>
      </c>
      <c r="AG305" t="b">
        <f t="shared" si="51"/>
        <v>0</v>
      </c>
      <c r="AI305" t="str">
        <f>IF(AND(Dataset!G305 &gt;5000,Dataset!H305&gt;7000),"ACTIVE_CONSUMER","INACTIVE_CONSUMER")</f>
        <v>ACTIVE_CONSUMER</v>
      </c>
      <c r="AN305" t="str">
        <f t="shared" si="52"/>
        <v>Not_eligible</v>
      </c>
      <c r="AQ305" t="str">
        <f>IF(AND(E305="M",F305="checking",Dataset!G305&gt;2000,Dataset!K305&gt;500),"good_client","bad_client")</f>
        <v>bad_client</v>
      </c>
      <c r="AT305" t="s">
        <v>482</v>
      </c>
      <c r="AU305" t="str">
        <f>IF(AND(Dataset!F305="Savings",Dataset!AT305="eligible"),"YES","NO")</f>
        <v>NO</v>
      </c>
      <c r="AW305" s="8"/>
      <c r="AX305" s="12" t="s">
        <v>487</v>
      </c>
      <c r="AY305" s="8" t="s">
        <v>489</v>
      </c>
      <c r="AZ305" s="8"/>
      <c r="BD305" t="str">
        <f t="shared" si="53"/>
        <v>yes</v>
      </c>
    </row>
    <row r="306" spans="1:56" x14ac:dyDescent="0.3">
      <c r="A306">
        <f t="shared" si="55"/>
        <v>305</v>
      </c>
      <c r="B306" s="3" t="s">
        <v>77</v>
      </c>
      <c r="C306" s="3" t="s">
        <v>167</v>
      </c>
      <c r="D306" s="2">
        <v>38</v>
      </c>
      <c r="E306" s="2" t="s">
        <v>21</v>
      </c>
      <c r="F306" s="2" t="s">
        <v>15</v>
      </c>
      <c r="G306" s="2">
        <v>12000</v>
      </c>
      <c r="H306" s="2">
        <v>75000</v>
      </c>
      <c r="I306" s="2" t="s">
        <v>16</v>
      </c>
      <c r="J306" s="2">
        <v>10000</v>
      </c>
      <c r="K306" s="2">
        <v>750</v>
      </c>
      <c r="L306" s="2" t="s">
        <v>28</v>
      </c>
      <c r="M306" s="2" t="s">
        <v>82</v>
      </c>
      <c r="N306" s="2" t="s">
        <v>25</v>
      </c>
      <c r="O306">
        <v>15</v>
      </c>
      <c r="R306">
        <f t="shared" si="45"/>
        <v>7.5</v>
      </c>
      <c r="S306">
        <f t="shared" si="46"/>
        <v>7.5</v>
      </c>
      <c r="U306" t="b">
        <v>1</v>
      </c>
      <c r="W306" t="str">
        <f t="shared" si="47"/>
        <v>EVEN</v>
      </c>
      <c r="Y306">
        <f t="shared" si="48"/>
        <v>3</v>
      </c>
      <c r="AB306" t="str">
        <f t="shared" si="49"/>
        <v>Bad_user</v>
      </c>
      <c r="AE306" t="b">
        <f t="shared" si="50"/>
        <v>0</v>
      </c>
      <c r="AG306" t="b">
        <f t="shared" si="51"/>
        <v>0</v>
      </c>
      <c r="AI306" t="str">
        <f>IF(AND(Dataset!G306 &gt;5000,Dataset!H306&gt;7000),"ACTIVE_CONSUMER","INACTIVE_CONSUMER")</f>
        <v>ACTIVE_CONSUMER</v>
      </c>
      <c r="AN306" t="str">
        <f t="shared" si="52"/>
        <v>Not_eligible</v>
      </c>
      <c r="AQ306" t="str">
        <f>IF(AND(E306="M",F306="checking",Dataset!G306&gt;2000,Dataset!K306&gt;500),"good_client","bad_client")</f>
        <v>bad_client</v>
      </c>
      <c r="AT306" t="s">
        <v>482</v>
      </c>
      <c r="AU306" t="str">
        <f>IF(AND(Dataset!F306="Savings",Dataset!AT306="eligible"),"YES","NO")</f>
        <v>NO</v>
      </c>
      <c r="AW306" s="8"/>
      <c r="AX306" s="12" t="s">
        <v>486</v>
      </c>
      <c r="AY306" s="8" t="s">
        <v>490</v>
      </c>
      <c r="AZ306" s="8"/>
      <c r="BD306" t="str">
        <f t="shared" si="53"/>
        <v>yes</v>
      </c>
    </row>
    <row r="307" spans="1:56" x14ac:dyDescent="0.3">
      <c r="A307">
        <f t="shared" si="55"/>
        <v>306</v>
      </c>
      <c r="B307" s="3" t="s">
        <v>283</v>
      </c>
      <c r="C307" s="3" t="s">
        <v>63</v>
      </c>
      <c r="D307" s="2">
        <v>34</v>
      </c>
      <c r="E307" s="2" t="s">
        <v>14</v>
      </c>
      <c r="F307" s="2" t="s">
        <v>22</v>
      </c>
      <c r="G307" s="2">
        <v>3000</v>
      </c>
      <c r="H307" s="2">
        <v>48000</v>
      </c>
      <c r="I307" s="2" t="s">
        <v>23</v>
      </c>
      <c r="J307" s="2">
        <v>0</v>
      </c>
      <c r="K307" s="2">
        <v>690</v>
      </c>
      <c r="L307" s="2" t="s">
        <v>31</v>
      </c>
      <c r="M307" s="2" t="s">
        <v>80</v>
      </c>
      <c r="N307" s="2" t="s">
        <v>18</v>
      </c>
      <c r="O307">
        <v>14</v>
      </c>
      <c r="R307" t="e">
        <f t="shared" si="45"/>
        <v>#DIV/0!</v>
      </c>
      <c r="S307" t="str">
        <f t="shared" si="46"/>
        <v>DIVISION ERROR</v>
      </c>
      <c r="U307" t="b">
        <v>0</v>
      </c>
      <c r="W307" t="str">
        <f t="shared" si="47"/>
        <v>EVEN</v>
      </c>
      <c r="Y307">
        <f t="shared" si="48"/>
        <v>223.5</v>
      </c>
      <c r="AB307" t="str">
        <f t="shared" si="49"/>
        <v>Good_user</v>
      </c>
      <c r="AE307" t="b">
        <f t="shared" si="50"/>
        <v>1</v>
      </c>
      <c r="AG307" t="b">
        <f t="shared" si="51"/>
        <v>0</v>
      </c>
      <c r="AI307" t="str">
        <f>IF(AND(Dataset!G307 &gt;5000,Dataset!H307&gt;7000),"ACTIVE_CONSUMER","INACTIVE_CONSUMER")</f>
        <v>INACTIVE_CONSUMER</v>
      </c>
      <c r="AN307" t="str">
        <f t="shared" si="52"/>
        <v>Not_eligible</v>
      </c>
      <c r="AQ307" t="str">
        <f>IF(AND(E307="M",F307="checking",Dataset!G307&gt;2000,Dataset!K307&gt;500),"good_client","bad_client")</f>
        <v>bad_client</v>
      </c>
      <c r="AT307" t="s">
        <v>482</v>
      </c>
      <c r="AU307" t="str">
        <f>IF(AND(Dataset!F307="Savings",Dataset!AT307="eligible"),"YES","NO")</f>
        <v>NO</v>
      </c>
      <c r="AW307" s="8"/>
      <c r="AX307" s="12" t="s">
        <v>487</v>
      </c>
      <c r="AY307" s="8" t="s">
        <v>489</v>
      </c>
      <c r="AZ307" s="8"/>
      <c r="BD307" t="str">
        <f t="shared" si="53"/>
        <v>yes</v>
      </c>
    </row>
    <row r="308" spans="1:56" x14ac:dyDescent="0.3">
      <c r="A308">
        <f t="shared" si="55"/>
        <v>307</v>
      </c>
      <c r="B308" s="3" t="s">
        <v>265</v>
      </c>
      <c r="C308" s="3" t="s">
        <v>45</v>
      </c>
      <c r="D308" s="2">
        <v>29</v>
      </c>
      <c r="E308" s="2" t="s">
        <v>21</v>
      </c>
      <c r="F308" s="2" t="s">
        <v>15</v>
      </c>
      <c r="G308" s="2">
        <v>5000</v>
      </c>
      <c r="H308" s="2">
        <v>58000</v>
      </c>
      <c r="I308" s="2" t="s">
        <v>16</v>
      </c>
      <c r="J308" s="2">
        <v>5000</v>
      </c>
      <c r="K308" s="2">
        <v>710</v>
      </c>
      <c r="L308" s="2" t="s">
        <v>17</v>
      </c>
      <c r="M308" s="2" t="s">
        <v>80</v>
      </c>
      <c r="N308" s="2" t="s">
        <v>25</v>
      </c>
      <c r="O308">
        <v>10</v>
      </c>
      <c r="R308">
        <f t="shared" si="45"/>
        <v>11.6</v>
      </c>
      <c r="S308">
        <f t="shared" si="46"/>
        <v>11.6</v>
      </c>
      <c r="U308" t="b">
        <v>1</v>
      </c>
      <c r="W308" t="str">
        <f t="shared" si="47"/>
        <v>ODD</v>
      </c>
      <c r="Y308">
        <f t="shared" si="48"/>
        <v>120.5</v>
      </c>
      <c r="AB308" t="str">
        <f t="shared" si="49"/>
        <v>Bad_user</v>
      </c>
      <c r="AE308" t="b">
        <f t="shared" si="50"/>
        <v>0</v>
      </c>
      <c r="AG308" t="b">
        <f t="shared" si="51"/>
        <v>0</v>
      </c>
      <c r="AI308" t="str">
        <f>IF(AND(Dataset!G308 &gt;5000,Dataset!H308&gt;7000),"ACTIVE_CONSUMER","INACTIVE_CONSUMER")</f>
        <v>INACTIVE_CONSUMER</v>
      </c>
      <c r="AN308" t="str">
        <f t="shared" si="52"/>
        <v>Not_eligible</v>
      </c>
      <c r="AQ308" t="str">
        <f>IF(AND(E308="M",F308="checking",Dataset!G308&gt;2000,Dataset!K308&gt;500),"good_client","bad_client")</f>
        <v>bad_client</v>
      </c>
      <c r="AT308" t="s">
        <v>482</v>
      </c>
      <c r="AU308" t="str">
        <f>IF(AND(Dataset!F308="Savings",Dataset!AT308="eligible"),"YES","NO")</f>
        <v>NO</v>
      </c>
      <c r="AW308" s="8"/>
      <c r="AX308" s="12" t="s">
        <v>487</v>
      </c>
      <c r="AY308" s="8" t="s">
        <v>490</v>
      </c>
      <c r="AZ308" s="8"/>
      <c r="BD308" t="str">
        <f t="shared" si="53"/>
        <v>yes</v>
      </c>
    </row>
    <row r="309" spans="1:56" x14ac:dyDescent="0.3">
      <c r="A309">
        <f t="shared" si="55"/>
        <v>308</v>
      </c>
      <c r="B309" s="3" t="s">
        <v>284</v>
      </c>
      <c r="C309" s="3" t="s">
        <v>38</v>
      </c>
      <c r="D309" s="2">
        <v>45</v>
      </c>
      <c r="E309" s="2" t="s">
        <v>14</v>
      </c>
      <c r="F309" s="2" t="s">
        <v>22</v>
      </c>
      <c r="G309" s="2">
        <v>6000</v>
      </c>
      <c r="H309" s="2">
        <v>70000</v>
      </c>
      <c r="I309" s="2" t="s">
        <v>23</v>
      </c>
      <c r="J309" s="2">
        <v>0</v>
      </c>
      <c r="K309" s="2">
        <v>700</v>
      </c>
      <c r="L309" s="2" t="s">
        <v>24</v>
      </c>
      <c r="M309" s="2" t="s">
        <v>80</v>
      </c>
      <c r="N309" s="2" t="s">
        <v>18</v>
      </c>
      <c r="O309">
        <v>14</v>
      </c>
      <c r="R309" t="e">
        <f t="shared" si="45"/>
        <v>#DIV/0!</v>
      </c>
      <c r="S309" t="str">
        <f t="shared" si="46"/>
        <v>DIVISION ERROR</v>
      </c>
      <c r="U309" t="b">
        <v>0</v>
      </c>
      <c r="W309" t="str">
        <f t="shared" si="47"/>
        <v>ODD</v>
      </c>
      <c r="Y309">
        <f t="shared" si="48"/>
        <v>170</v>
      </c>
      <c r="AB309" t="str">
        <f t="shared" si="49"/>
        <v>Good_user</v>
      </c>
      <c r="AE309" t="b">
        <f t="shared" si="50"/>
        <v>1</v>
      </c>
      <c r="AG309" t="b">
        <f t="shared" si="51"/>
        <v>0</v>
      </c>
      <c r="AI309" t="str">
        <f>IF(AND(Dataset!G309 &gt;5000,Dataset!H309&gt;7000),"ACTIVE_CONSUMER","INACTIVE_CONSUMER")</f>
        <v>ACTIVE_CONSUMER</v>
      </c>
      <c r="AN309" t="str">
        <f t="shared" si="52"/>
        <v>Not_eligible</v>
      </c>
      <c r="AQ309" t="str">
        <f>IF(AND(E309="M",F309="checking",Dataset!G309&gt;2000,Dataset!K309&gt;500),"good_client","bad_client")</f>
        <v>bad_client</v>
      </c>
      <c r="AT309" t="s">
        <v>482</v>
      </c>
      <c r="AU309" t="str">
        <f>IF(AND(Dataset!F309="Savings",Dataset!AT309="eligible"),"YES","NO")</f>
        <v>NO</v>
      </c>
      <c r="AW309" s="8"/>
      <c r="AX309" s="12" t="s">
        <v>487</v>
      </c>
      <c r="AY309" s="8" t="s">
        <v>489</v>
      </c>
      <c r="AZ309" s="8"/>
      <c r="BD309" t="str">
        <f t="shared" si="53"/>
        <v>yes</v>
      </c>
    </row>
    <row r="310" spans="1:56" x14ac:dyDescent="0.3">
      <c r="A310">
        <f t="shared" si="55"/>
        <v>309</v>
      </c>
      <c r="B310" s="3" t="s">
        <v>285</v>
      </c>
      <c r="C310" s="3" t="s">
        <v>171</v>
      </c>
      <c r="D310" s="2">
        <v>52</v>
      </c>
      <c r="E310" s="2" t="s">
        <v>21</v>
      </c>
      <c r="F310" s="2" t="s">
        <v>15</v>
      </c>
      <c r="G310" s="2">
        <v>15000</v>
      </c>
      <c r="H310" s="2">
        <v>82000</v>
      </c>
      <c r="I310" s="2" t="s">
        <v>16</v>
      </c>
      <c r="J310" s="2">
        <v>8000</v>
      </c>
      <c r="K310" s="2">
        <v>730</v>
      </c>
      <c r="L310" s="2" t="s">
        <v>28</v>
      </c>
      <c r="M310" s="2" t="s">
        <v>80</v>
      </c>
      <c r="N310" s="2" t="s">
        <v>25</v>
      </c>
      <c r="O310">
        <v>15</v>
      </c>
      <c r="R310">
        <f t="shared" si="45"/>
        <v>10.25</v>
      </c>
      <c r="S310">
        <f t="shared" si="46"/>
        <v>10.25</v>
      </c>
      <c r="U310" t="b">
        <v>1</v>
      </c>
      <c r="W310" t="str">
        <f t="shared" si="47"/>
        <v>EVEN</v>
      </c>
      <c r="Y310">
        <f t="shared" si="48"/>
        <v>23</v>
      </c>
      <c r="AB310" t="str">
        <f t="shared" si="49"/>
        <v>Bad_user</v>
      </c>
      <c r="AE310" t="b">
        <f t="shared" si="50"/>
        <v>0</v>
      </c>
      <c r="AG310" t="b">
        <f t="shared" si="51"/>
        <v>0</v>
      </c>
      <c r="AI310" t="str">
        <f>IF(AND(Dataset!G310 &gt;5000,Dataset!H310&gt;7000),"ACTIVE_CONSUMER","INACTIVE_CONSUMER")</f>
        <v>ACTIVE_CONSUMER</v>
      </c>
      <c r="AN310" t="str">
        <f t="shared" si="52"/>
        <v>Not_eligible</v>
      </c>
      <c r="AQ310" t="str">
        <f>IF(AND(E310="M",F310="checking",Dataset!G310&gt;2000,Dataset!K310&gt;500),"good_client","bad_client")</f>
        <v>bad_client</v>
      </c>
      <c r="AT310" t="s">
        <v>482</v>
      </c>
      <c r="AU310" t="str">
        <f>IF(AND(Dataset!F310="Savings",Dataset!AT310="eligible"),"YES","NO")</f>
        <v>NO</v>
      </c>
      <c r="AW310" s="8"/>
      <c r="AX310" s="12" t="s">
        <v>487</v>
      </c>
      <c r="AY310" s="8" t="s">
        <v>490</v>
      </c>
      <c r="AZ310" s="8"/>
      <c r="BD310" t="str">
        <f t="shared" si="53"/>
        <v>yes</v>
      </c>
    </row>
    <row r="311" spans="1:56" x14ac:dyDescent="0.3">
      <c r="A311">
        <f t="shared" si="55"/>
        <v>310</v>
      </c>
      <c r="B311" s="3" t="s">
        <v>286</v>
      </c>
      <c r="C311" s="3" t="s">
        <v>237</v>
      </c>
      <c r="D311" s="2">
        <v>37</v>
      </c>
      <c r="E311" s="2" t="s">
        <v>14</v>
      </c>
      <c r="F311" s="2" t="s">
        <v>22</v>
      </c>
      <c r="G311" s="2">
        <v>2000</v>
      </c>
      <c r="H311" s="2">
        <v>43000</v>
      </c>
      <c r="I311" s="2" t="s">
        <v>16</v>
      </c>
      <c r="J311" s="2">
        <v>0</v>
      </c>
      <c r="K311" s="2">
        <v>670</v>
      </c>
      <c r="L311" s="2" t="s">
        <v>31</v>
      </c>
      <c r="M311" s="2" t="s">
        <v>81</v>
      </c>
      <c r="N311" s="2" t="s">
        <v>18</v>
      </c>
      <c r="O311">
        <v>13</v>
      </c>
      <c r="R311" t="e">
        <f t="shared" si="45"/>
        <v>#DIV/0!</v>
      </c>
      <c r="S311" t="str">
        <f t="shared" si="46"/>
        <v>DIVISION ERROR</v>
      </c>
      <c r="U311" t="b">
        <v>0</v>
      </c>
      <c r="W311" t="str">
        <f t="shared" si="47"/>
        <v>ODD</v>
      </c>
      <c r="Y311">
        <f t="shared" si="48"/>
        <v>334</v>
      </c>
      <c r="AB311" t="str">
        <f t="shared" si="49"/>
        <v>Good_user</v>
      </c>
      <c r="AE311" t="b">
        <f t="shared" si="50"/>
        <v>1</v>
      </c>
      <c r="AG311" t="b">
        <f t="shared" si="51"/>
        <v>0</v>
      </c>
      <c r="AI311" t="str">
        <f>IF(AND(Dataset!G311 &gt;5000,Dataset!H311&gt;7000),"ACTIVE_CONSUMER","INACTIVE_CONSUMER")</f>
        <v>INACTIVE_CONSUMER</v>
      </c>
      <c r="AN311" t="str">
        <f t="shared" si="52"/>
        <v>Not_eligible</v>
      </c>
      <c r="AQ311" t="str">
        <f>IF(AND(E311="M",F311="checking",Dataset!G311&gt;2000,Dataset!K311&gt;500),"good_client","bad_client")</f>
        <v>bad_client</v>
      </c>
      <c r="AT311" t="s">
        <v>482</v>
      </c>
      <c r="AU311" t="str">
        <f>IF(AND(Dataset!F311="Savings",Dataset!AT311="eligible"),"YES","NO")</f>
        <v>NO</v>
      </c>
      <c r="AW311" s="8"/>
      <c r="AX311" s="12" t="s">
        <v>487</v>
      </c>
      <c r="AY311" s="8" t="s">
        <v>489</v>
      </c>
      <c r="AZ311" s="8"/>
      <c r="BD311" t="str">
        <f t="shared" si="53"/>
        <v>yes</v>
      </c>
    </row>
    <row r="312" spans="1:56" x14ac:dyDescent="0.3">
      <c r="A312">
        <f t="shared" si="55"/>
        <v>311</v>
      </c>
      <c r="B312" s="3" t="s">
        <v>287</v>
      </c>
      <c r="C312" s="3" t="s">
        <v>71</v>
      </c>
      <c r="D312" s="2">
        <v>30</v>
      </c>
      <c r="E312" s="2" t="s">
        <v>21</v>
      </c>
      <c r="F312" s="2" t="s">
        <v>15</v>
      </c>
      <c r="G312" s="2">
        <v>7000</v>
      </c>
      <c r="H312" s="2">
        <v>55000</v>
      </c>
      <c r="I312" s="2" t="s">
        <v>23</v>
      </c>
      <c r="J312" s="2">
        <v>13000</v>
      </c>
      <c r="K312" s="2">
        <v>720</v>
      </c>
      <c r="L312" s="2" t="s">
        <v>17</v>
      </c>
      <c r="M312" s="2" t="s">
        <v>81</v>
      </c>
      <c r="N312" s="2" t="s">
        <v>25</v>
      </c>
      <c r="O312">
        <v>7</v>
      </c>
      <c r="R312">
        <f t="shared" si="45"/>
        <v>4.2307692307692308</v>
      </c>
      <c r="S312">
        <f t="shared" si="46"/>
        <v>4.2307692307692308</v>
      </c>
      <c r="U312" t="b">
        <v>1</v>
      </c>
      <c r="W312" t="str">
        <f t="shared" si="47"/>
        <v>EVEN</v>
      </c>
      <c r="Y312">
        <f t="shared" si="48"/>
        <v>60</v>
      </c>
      <c r="AB312" t="str">
        <f t="shared" si="49"/>
        <v>Bad_user</v>
      </c>
      <c r="AE312" t="b">
        <f t="shared" si="50"/>
        <v>0</v>
      </c>
      <c r="AG312" t="b">
        <f t="shared" si="51"/>
        <v>0</v>
      </c>
      <c r="AI312" t="str">
        <f>IF(AND(Dataset!G312 &gt;5000,Dataset!H312&gt;7000),"ACTIVE_CONSUMER","INACTIVE_CONSUMER")</f>
        <v>ACTIVE_CONSUMER</v>
      </c>
      <c r="AN312" t="str">
        <f t="shared" si="52"/>
        <v>Not_eligible</v>
      </c>
      <c r="AQ312" t="str">
        <f>IF(AND(E312="M",F312="checking",Dataset!G312&gt;2000,Dataset!K312&gt;500),"good_client","bad_client")</f>
        <v>bad_client</v>
      </c>
      <c r="AT312" t="s">
        <v>482</v>
      </c>
      <c r="AU312" t="str">
        <f>IF(AND(Dataset!F312="Savings",Dataset!AT312="eligible"),"YES","NO")</f>
        <v>NO</v>
      </c>
      <c r="AW312" s="8"/>
      <c r="AX312" s="12" t="s">
        <v>487</v>
      </c>
      <c r="AY312" s="8" t="s">
        <v>490</v>
      </c>
      <c r="AZ312" s="8"/>
      <c r="BD312" t="str">
        <f t="shared" si="53"/>
        <v>yes</v>
      </c>
    </row>
    <row r="313" spans="1:56" x14ac:dyDescent="0.3">
      <c r="A313">
        <f t="shared" si="55"/>
        <v>312</v>
      </c>
      <c r="B313" s="3" t="s">
        <v>288</v>
      </c>
      <c r="C313" s="3" t="s">
        <v>39</v>
      </c>
      <c r="D313" s="2">
        <v>40</v>
      </c>
      <c r="E313" s="2" t="s">
        <v>14</v>
      </c>
      <c r="F313" s="2" t="s">
        <v>22</v>
      </c>
      <c r="G313" s="2">
        <v>11000</v>
      </c>
      <c r="H313" s="2">
        <v>65000</v>
      </c>
      <c r="I313" s="2" t="s">
        <v>16</v>
      </c>
      <c r="J313" s="2">
        <v>0</v>
      </c>
      <c r="K313" s="2">
        <v>740</v>
      </c>
      <c r="L313" s="2" t="s">
        <v>24</v>
      </c>
      <c r="M313" s="2" t="s">
        <v>82</v>
      </c>
      <c r="N313" s="2" t="s">
        <v>18</v>
      </c>
      <c r="O313">
        <v>5</v>
      </c>
      <c r="R313" t="e">
        <f t="shared" si="45"/>
        <v>#DIV/0!</v>
      </c>
      <c r="S313" t="str">
        <f t="shared" si="46"/>
        <v>DIVISION ERROR</v>
      </c>
      <c r="U313" t="b">
        <v>0</v>
      </c>
      <c r="W313" t="str">
        <f t="shared" si="47"/>
        <v>EVEN</v>
      </c>
      <c r="Y313">
        <f t="shared" si="48"/>
        <v>13</v>
      </c>
      <c r="AB313" t="str">
        <f t="shared" si="49"/>
        <v>Good_user</v>
      </c>
      <c r="AE313" t="b">
        <f t="shared" si="50"/>
        <v>1</v>
      </c>
      <c r="AG313" t="b">
        <f t="shared" si="51"/>
        <v>0</v>
      </c>
      <c r="AI313" t="str">
        <f>IF(AND(Dataset!G313 &gt;5000,Dataset!H313&gt;7000),"ACTIVE_CONSUMER","INACTIVE_CONSUMER")</f>
        <v>ACTIVE_CONSUMER</v>
      </c>
      <c r="AN313" t="str">
        <f t="shared" si="52"/>
        <v>Not_eligible</v>
      </c>
      <c r="AQ313" t="str">
        <f>IF(AND(E313="M",F313="checking",Dataset!G313&gt;2000,Dataset!K313&gt;500),"good_client","bad_client")</f>
        <v>bad_client</v>
      </c>
      <c r="AT313" t="s">
        <v>482</v>
      </c>
      <c r="AU313" t="str">
        <f>IF(AND(Dataset!F313="Savings",Dataset!AT313="eligible"),"YES","NO")</f>
        <v>NO</v>
      </c>
      <c r="AW313" s="8"/>
      <c r="AX313" s="12" t="s">
        <v>486</v>
      </c>
      <c r="AY313" s="8" t="s">
        <v>489</v>
      </c>
      <c r="AZ313" s="8"/>
      <c r="BD313" t="str">
        <f t="shared" si="53"/>
        <v>yes</v>
      </c>
    </row>
    <row r="314" spans="1:56" x14ac:dyDescent="0.3">
      <c r="A314">
        <f t="shared" si="55"/>
        <v>313</v>
      </c>
      <c r="B314" s="3" t="s">
        <v>200</v>
      </c>
      <c r="C314" s="3" t="s">
        <v>213</v>
      </c>
      <c r="D314" s="2">
        <v>25</v>
      </c>
      <c r="E314" s="2" t="s">
        <v>21</v>
      </c>
      <c r="F314" s="2" t="s">
        <v>15</v>
      </c>
      <c r="G314" s="2">
        <v>4500</v>
      </c>
      <c r="H314" s="2">
        <v>47000</v>
      </c>
      <c r="I314" s="2" t="s">
        <v>16</v>
      </c>
      <c r="J314" s="2">
        <v>7000</v>
      </c>
      <c r="K314" s="2">
        <v>690</v>
      </c>
      <c r="L314" s="2" t="s">
        <v>28</v>
      </c>
      <c r="M314" s="2" t="s">
        <v>80</v>
      </c>
      <c r="N314" s="2" t="s">
        <v>25</v>
      </c>
      <c r="O314">
        <v>3</v>
      </c>
      <c r="R314">
        <f t="shared" si="45"/>
        <v>6.7142857142857144</v>
      </c>
      <c r="S314">
        <f t="shared" si="46"/>
        <v>6.7142857142857144</v>
      </c>
      <c r="U314" t="b">
        <v>1</v>
      </c>
      <c r="W314" t="str">
        <f t="shared" si="47"/>
        <v>ODD</v>
      </c>
      <c r="Y314">
        <f t="shared" si="48"/>
        <v>223.5</v>
      </c>
      <c r="AB314" t="str">
        <f t="shared" si="49"/>
        <v>Bad_user</v>
      </c>
      <c r="AE314" t="b">
        <f t="shared" si="50"/>
        <v>0</v>
      </c>
      <c r="AG314" t="b">
        <f t="shared" si="51"/>
        <v>0</v>
      </c>
      <c r="AI314" t="str">
        <f>IF(AND(Dataset!G314 &gt;5000,Dataset!H314&gt;7000),"ACTIVE_CONSUMER","INACTIVE_CONSUMER")</f>
        <v>INACTIVE_CONSUMER</v>
      </c>
      <c r="AN314" t="str">
        <f t="shared" si="52"/>
        <v>Not_eligible</v>
      </c>
      <c r="AQ314" t="str">
        <f>IF(AND(E314="M",F314="checking",Dataset!G314&gt;2000,Dataset!K314&gt;500),"good_client","bad_client")</f>
        <v>bad_client</v>
      </c>
      <c r="AT314" t="s">
        <v>482</v>
      </c>
      <c r="AU314" t="str">
        <f>IF(AND(Dataset!F314="Savings",Dataset!AT314="eligible"),"YES","NO")</f>
        <v>NO</v>
      </c>
      <c r="AW314" s="8"/>
      <c r="AX314" s="12" t="s">
        <v>487</v>
      </c>
      <c r="AY314" s="8" t="s">
        <v>490</v>
      </c>
      <c r="AZ314" s="8"/>
      <c r="BD314" t="str">
        <f t="shared" si="53"/>
        <v>yes</v>
      </c>
    </row>
    <row r="315" spans="1:56" x14ac:dyDescent="0.3">
      <c r="A315">
        <f t="shared" si="55"/>
        <v>314</v>
      </c>
      <c r="B315" s="3" t="s">
        <v>289</v>
      </c>
      <c r="C315" s="3" t="s">
        <v>179</v>
      </c>
      <c r="D315" s="2">
        <v>31</v>
      </c>
      <c r="E315" s="2" t="s">
        <v>14</v>
      </c>
      <c r="F315" s="2" t="s">
        <v>22</v>
      </c>
      <c r="G315" s="2">
        <v>10000</v>
      </c>
      <c r="H315" s="2">
        <v>72000</v>
      </c>
      <c r="I315" s="2" t="s">
        <v>23</v>
      </c>
      <c r="J315" s="2">
        <v>0</v>
      </c>
      <c r="K315" s="2">
        <v>700</v>
      </c>
      <c r="L315" s="2" t="s">
        <v>31</v>
      </c>
      <c r="M315" s="2" t="s">
        <v>82</v>
      </c>
      <c r="N315" s="2" t="s">
        <v>18</v>
      </c>
      <c r="O315">
        <v>8</v>
      </c>
      <c r="R315" t="e">
        <f t="shared" si="45"/>
        <v>#DIV/0!</v>
      </c>
      <c r="S315" t="str">
        <f t="shared" si="46"/>
        <v>DIVISION ERROR</v>
      </c>
      <c r="U315" t="b">
        <v>0</v>
      </c>
      <c r="W315" t="str">
        <f t="shared" si="47"/>
        <v>ODD</v>
      </c>
      <c r="Y315">
        <f t="shared" si="48"/>
        <v>170</v>
      </c>
      <c r="AB315" t="str">
        <f t="shared" si="49"/>
        <v>Good_user</v>
      </c>
      <c r="AE315" t="b">
        <f t="shared" si="50"/>
        <v>1</v>
      </c>
      <c r="AG315" t="b">
        <f t="shared" si="51"/>
        <v>0</v>
      </c>
      <c r="AI315" t="str">
        <f>IF(AND(Dataset!G315 &gt;5000,Dataset!H315&gt;7000),"ACTIVE_CONSUMER","INACTIVE_CONSUMER")</f>
        <v>ACTIVE_CONSUMER</v>
      </c>
      <c r="AN315" t="str">
        <f t="shared" si="52"/>
        <v>Not_eligible</v>
      </c>
      <c r="AQ315" t="str">
        <f>IF(AND(E315="M",F315="checking",Dataset!G315&gt;2000,Dataset!K315&gt;500),"good_client","bad_client")</f>
        <v>bad_client</v>
      </c>
      <c r="AT315" t="s">
        <v>482</v>
      </c>
      <c r="AU315" t="str">
        <f>IF(AND(Dataset!F315="Savings",Dataset!AT315="eligible"),"YES","NO")</f>
        <v>NO</v>
      </c>
      <c r="AW315" s="8"/>
      <c r="AX315" s="12" t="s">
        <v>486</v>
      </c>
      <c r="AY315" s="8" t="s">
        <v>489</v>
      </c>
      <c r="AZ315" s="8"/>
      <c r="BD315" t="str">
        <f t="shared" si="53"/>
        <v>yes</v>
      </c>
    </row>
    <row r="316" spans="1:56" x14ac:dyDescent="0.3">
      <c r="A316">
        <f t="shared" si="55"/>
        <v>315</v>
      </c>
      <c r="B316" s="3" t="s">
        <v>141</v>
      </c>
      <c r="C316" s="3" t="s">
        <v>163</v>
      </c>
      <c r="D316" s="2">
        <v>44</v>
      </c>
      <c r="E316" s="2" t="s">
        <v>21</v>
      </c>
      <c r="F316" s="2" t="s">
        <v>15</v>
      </c>
      <c r="G316" s="2">
        <v>3500</v>
      </c>
      <c r="H316" s="2">
        <v>53000</v>
      </c>
      <c r="I316" s="2" t="s">
        <v>16</v>
      </c>
      <c r="J316" s="2">
        <v>12000</v>
      </c>
      <c r="K316" s="2">
        <v>680</v>
      </c>
      <c r="L316" s="2" t="s">
        <v>17</v>
      </c>
      <c r="M316" s="2" t="s">
        <v>81</v>
      </c>
      <c r="N316" s="2" t="s">
        <v>25</v>
      </c>
      <c r="O316">
        <v>4</v>
      </c>
      <c r="R316">
        <f t="shared" si="45"/>
        <v>4.416666666666667</v>
      </c>
      <c r="S316">
        <f t="shared" si="46"/>
        <v>4.416666666666667</v>
      </c>
      <c r="U316" t="b">
        <v>1</v>
      </c>
      <c r="W316" t="str">
        <f t="shared" si="47"/>
        <v>EVEN</v>
      </c>
      <c r="Y316">
        <f t="shared" si="48"/>
        <v>286</v>
      </c>
      <c r="AB316" t="str">
        <f t="shared" si="49"/>
        <v>Bad_user</v>
      </c>
      <c r="AE316" t="b">
        <f t="shared" si="50"/>
        <v>0</v>
      </c>
      <c r="AG316" t="b">
        <f t="shared" si="51"/>
        <v>0</v>
      </c>
      <c r="AI316" t="str">
        <f>IF(AND(Dataset!G316 &gt;5000,Dataset!H316&gt;7000),"ACTIVE_CONSUMER","INACTIVE_CONSUMER")</f>
        <v>INACTIVE_CONSUMER</v>
      </c>
      <c r="AN316" t="str">
        <f t="shared" si="52"/>
        <v>Not_eligible</v>
      </c>
      <c r="AQ316" t="str">
        <f>IF(AND(E316="M",F316="checking",Dataset!G316&gt;2000,Dataset!K316&gt;500),"good_client","bad_client")</f>
        <v>bad_client</v>
      </c>
      <c r="AT316" t="s">
        <v>482</v>
      </c>
      <c r="AU316" t="str">
        <f>IF(AND(Dataset!F316="Savings",Dataset!AT316="eligible"),"YES","NO")</f>
        <v>NO</v>
      </c>
      <c r="AW316" s="8"/>
      <c r="AX316" s="12" t="s">
        <v>487</v>
      </c>
      <c r="AY316" s="8" t="s">
        <v>490</v>
      </c>
      <c r="AZ316" s="8"/>
      <c r="BD316" t="str">
        <f t="shared" si="53"/>
        <v>yes</v>
      </c>
    </row>
    <row r="317" spans="1:56" x14ac:dyDescent="0.3">
      <c r="A317">
        <f t="shared" si="55"/>
        <v>316</v>
      </c>
      <c r="B317" s="3" t="s">
        <v>290</v>
      </c>
      <c r="C317" s="3" t="s">
        <v>119</v>
      </c>
      <c r="D317" s="2">
        <v>28</v>
      </c>
      <c r="E317" s="2" t="s">
        <v>14</v>
      </c>
      <c r="F317" s="2" t="s">
        <v>22</v>
      </c>
      <c r="G317" s="2">
        <v>8000</v>
      </c>
      <c r="H317" s="2">
        <v>60000</v>
      </c>
      <c r="I317" s="2" t="s">
        <v>23</v>
      </c>
      <c r="J317" s="2">
        <v>0</v>
      </c>
      <c r="K317" s="2">
        <v>710</v>
      </c>
      <c r="L317" s="2" t="s">
        <v>24</v>
      </c>
      <c r="M317" s="2" t="s">
        <v>80</v>
      </c>
      <c r="N317" s="2" t="s">
        <v>18</v>
      </c>
      <c r="O317">
        <v>3</v>
      </c>
      <c r="R317" t="e">
        <f t="shared" si="45"/>
        <v>#DIV/0!</v>
      </c>
      <c r="S317" t="str">
        <f t="shared" si="46"/>
        <v>DIVISION ERROR</v>
      </c>
      <c r="U317" t="b">
        <v>0</v>
      </c>
      <c r="W317" t="str">
        <f t="shared" si="47"/>
        <v>EVEN</v>
      </c>
      <c r="Y317">
        <f t="shared" si="48"/>
        <v>120.5</v>
      </c>
      <c r="AB317" t="str">
        <f t="shared" si="49"/>
        <v>Good_user</v>
      </c>
      <c r="AE317" t="b">
        <f t="shared" si="50"/>
        <v>1</v>
      </c>
      <c r="AG317" t="b">
        <f t="shared" si="51"/>
        <v>0</v>
      </c>
      <c r="AI317" t="str">
        <f>IF(AND(Dataset!G317 &gt;5000,Dataset!H317&gt;7000),"ACTIVE_CONSUMER","INACTIVE_CONSUMER")</f>
        <v>ACTIVE_CONSUMER</v>
      </c>
      <c r="AN317" t="str">
        <f t="shared" si="52"/>
        <v>Not_eligible</v>
      </c>
      <c r="AQ317" t="str">
        <f>IF(AND(E317="M",F317="checking",Dataset!G317&gt;2000,Dataset!K317&gt;500),"good_client","bad_client")</f>
        <v>bad_client</v>
      </c>
      <c r="AT317" t="s">
        <v>482</v>
      </c>
      <c r="AU317" t="str">
        <f>IF(AND(Dataset!F317="Savings",Dataset!AT317="eligible"),"YES","NO")</f>
        <v>NO</v>
      </c>
      <c r="AW317" s="8"/>
      <c r="AX317" s="12" t="s">
        <v>487</v>
      </c>
      <c r="AY317" s="8" t="s">
        <v>489</v>
      </c>
      <c r="AZ317" s="8"/>
      <c r="BD317" t="str">
        <f t="shared" si="53"/>
        <v>yes</v>
      </c>
    </row>
    <row r="318" spans="1:56" x14ac:dyDescent="0.3">
      <c r="A318">
        <f t="shared" si="55"/>
        <v>317</v>
      </c>
      <c r="B318" s="3" t="s">
        <v>262</v>
      </c>
      <c r="C318" s="3" t="s">
        <v>173</v>
      </c>
      <c r="D318" s="2">
        <v>39</v>
      </c>
      <c r="E318" s="2" t="s">
        <v>21</v>
      </c>
      <c r="F318" s="2" t="s">
        <v>15</v>
      </c>
      <c r="G318" s="2">
        <v>13000</v>
      </c>
      <c r="H318" s="2">
        <v>85000</v>
      </c>
      <c r="I318" s="2" t="s">
        <v>16</v>
      </c>
      <c r="J318" s="2">
        <v>15000</v>
      </c>
      <c r="K318" s="2">
        <v>740</v>
      </c>
      <c r="L318" s="2" t="s">
        <v>28</v>
      </c>
      <c r="M318" s="2" t="s">
        <v>82</v>
      </c>
      <c r="N318" s="2" t="s">
        <v>25</v>
      </c>
      <c r="O318">
        <v>7</v>
      </c>
      <c r="R318">
        <f t="shared" si="45"/>
        <v>5.666666666666667</v>
      </c>
      <c r="S318">
        <f t="shared" si="46"/>
        <v>5.666666666666667</v>
      </c>
      <c r="U318" t="b">
        <v>1</v>
      </c>
      <c r="W318" t="str">
        <f t="shared" si="47"/>
        <v>ODD</v>
      </c>
      <c r="Y318">
        <f t="shared" si="48"/>
        <v>13</v>
      </c>
      <c r="AB318" t="str">
        <f t="shared" si="49"/>
        <v>Bad_user</v>
      </c>
      <c r="AE318" t="b">
        <f t="shared" si="50"/>
        <v>0</v>
      </c>
      <c r="AG318" t="b">
        <f t="shared" si="51"/>
        <v>0</v>
      </c>
      <c r="AI318" t="str">
        <f>IF(AND(Dataset!G318 &gt;5000,Dataset!H318&gt;7000),"ACTIVE_CONSUMER","INACTIVE_CONSUMER")</f>
        <v>ACTIVE_CONSUMER</v>
      </c>
      <c r="AN318" t="str">
        <f t="shared" si="52"/>
        <v>Not_eligible</v>
      </c>
      <c r="AQ318" t="str">
        <f>IF(AND(E318="M",F318="checking",Dataset!G318&gt;2000,Dataset!K318&gt;500),"good_client","bad_client")</f>
        <v>bad_client</v>
      </c>
      <c r="AT318" t="s">
        <v>482</v>
      </c>
      <c r="AU318" t="str">
        <f>IF(AND(Dataset!F318="Savings",Dataset!AT318="eligible"),"YES","NO")</f>
        <v>NO</v>
      </c>
      <c r="AW318" s="8"/>
      <c r="AX318" s="12" t="s">
        <v>486</v>
      </c>
      <c r="AY318" s="8" t="s">
        <v>490</v>
      </c>
      <c r="AZ318" s="8"/>
      <c r="BD318" t="str">
        <f t="shared" si="53"/>
        <v>yes</v>
      </c>
    </row>
    <row r="319" spans="1:56" x14ac:dyDescent="0.3">
      <c r="A319">
        <f t="shared" si="55"/>
        <v>318</v>
      </c>
      <c r="B319" s="3" t="s">
        <v>142</v>
      </c>
      <c r="C319" s="3" t="s">
        <v>220</v>
      </c>
      <c r="D319" s="2">
        <v>26</v>
      </c>
      <c r="E319" s="2" t="s">
        <v>14</v>
      </c>
      <c r="F319" s="2" t="s">
        <v>22</v>
      </c>
      <c r="G319" s="2">
        <v>4000</v>
      </c>
      <c r="H319" s="2">
        <v>49000</v>
      </c>
      <c r="I319" s="2" t="s">
        <v>23</v>
      </c>
      <c r="J319" s="2">
        <v>0</v>
      </c>
      <c r="K319" s="2">
        <v>690</v>
      </c>
      <c r="L319" s="2" t="s">
        <v>31</v>
      </c>
      <c r="M319" s="2" t="s">
        <v>80</v>
      </c>
      <c r="N319" s="2" t="s">
        <v>18</v>
      </c>
      <c r="O319">
        <v>12</v>
      </c>
      <c r="R319" t="e">
        <f t="shared" si="45"/>
        <v>#DIV/0!</v>
      </c>
      <c r="S319" t="str">
        <f t="shared" si="46"/>
        <v>DIVISION ERROR</v>
      </c>
      <c r="U319" t="b">
        <v>0</v>
      </c>
      <c r="W319" t="str">
        <f t="shared" si="47"/>
        <v>EVEN</v>
      </c>
      <c r="Y319">
        <f t="shared" si="48"/>
        <v>223.5</v>
      </c>
      <c r="AB319" t="str">
        <f t="shared" si="49"/>
        <v>Good_user</v>
      </c>
      <c r="AE319" t="b">
        <f t="shared" si="50"/>
        <v>1</v>
      </c>
      <c r="AG319" t="b">
        <f t="shared" si="51"/>
        <v>0</v>
      </c>
      <c r="AI319" t="str">
        <f>IF(AND(Dataset!G319 &gt;5000,Dataset!H319&gt;7000),"ACTIVE_CONSUMER","INACTIVE_CONSUMER")</f>
        <v>INACTIVE_CONSUMER</v>
      </c>
      <c r="AN319" t="str">
        <f t="shared" si="52"/>
        <v>Not_eligible</v>
      </c>
      <c r="AQ319" t="str">
        <f>IF(AND(E319="M",F319="checking",Dataset!G319&gt;2000,Dataset!K319&gt;500),"good_client","bad_client")</f>
        <v>bad_client</v>
      </c>
      <c r="AT319" t="s">
        <v>482</v>
      </c>
      <c r="AU319" t="str">
        <f>IF(AND(Dataset!F319="Savings",Dataset!AT319="eligible"),"YES","NO")</f>
        <v>NO</v>
      </c>
      <c r="AW319" s="8"/>
      <c r="AX319" s="12" t="s">
        <v>487</v>
      </c>
      <c r="AY319" s="8" t="s">
        <v>489</v>
      </c>
      <c r="AZ319" s="8"/>
      <c r="BD319" t="str">
        <f t="shared" si="53"/>
        <v>yes</v>
      </c>
    </row>
    <row r="320" spans="1:56" x14ac:dyDescent="0.3">
      <c r="A320">
        <f t="shared" si="55"/>
        <v>319</v>
      </c>
      <c r="B320" s="3" t="s">
        <v>291</v>
      </c>
      <c r="C320" s="3" t="s">
        <v>155</v>
      </c>
      <c r="D320" s="2">
        <v>33</v>
      </c>
      <c r="E320" s="2" t="s">
        <v>14</v>
      </c>
      <c r="F320" s="2" t="s">
        <v>15</v>
      </c>
      <c r="G320" s="2">
        <v>2200</v>
      </c>
      <c r="H320" s="2">
        <v>45000</v>
      </c>
      <c r="I320" s="2" t="s">
        <v>16</v>
      </c>
      <c r="J320" s="2">
        <v>10000</v>
      </c>
      <c r="K320" s="2">
        <v>670</v>
      </c>
      <c r="L320" s="2" t="s">
        <v>17</v>
      </c>
      <c r="M320" s="2" t="s">
        <v>81</v>
      </c>
      <c r="N320" s="2" t="s">
        <v>25</v>
      </c>
      <c r="O320">
        <v>11</v>
      </c>
      <c r="R320">
        <f t="shared" si="45"/>
        <v>4.5</v>
      </c>
      <c r="S320">
        <f t="shared" si="46"/>
        <v>4.5</v>
      </c>
      <c r="U320" t="b">
        <v>1</v>
      </c>
      <c r="W320" t="str">
        <f t="shared" si="47"/>
        <v>ODD</v>
      </c>
      <c r="Y320">
        <f t="shared" si="48"/>
        <v>334</v>
      </c>
      <c r="AB320" t="str">
        <f t="shared" si="49"/>
        <v>Bad_user</v>
      </c>
      <c r="AE320" t="b">
        <f t="shared" si="50"/>
        <v>0</v>
      </c>
      <c r="AG320" t="b">
        <f t="shared" si="51"/>
        <v>0</v>
      </c>
      <c r="AI320" t="str">
        <f>IF(AND(Dataset!G320 &gt;5000,Dataset!H320&gt;7000),"ACTIVE_CONSUMER","INACTIVE_CONSUMER")</f>
        <v>INACTIVE_CONSUMER</v>
      </c>
      <c r="AN320" t="str">
        <f t="shared" si="52"/>
        <v>Not_eligible</v>
      </c>
      <c r="AQ320" t="str">
        <f>IF(AND(E320="M",F320="checking",Dataset!G320&gt;2000,Dataset!K320&gt;500),"good_client","bad_client")</f>
        <v>good_client</v>
      </c>
      <c r="AT320" t="s">
        <v>482</v>
      </c>
      <c r="AU320" t="str">
        <f>IF(AND(Dataset!F320="Savings",Dataset!AT320="eligible"),"YES","NO")</f>
        <v>NO</v>
      </c>
      <c r="AW320" s="8"/>
      <c r="AX320" s="12" t="s">
        <v>487</v>
      </c>
      <c r="AY320" s="8" t="s">
        <v>490</v>
      </c>
      <c r="AZ320" s="8"/>
      <c r="BD320" t="str">
        <f t="shared" si="53"/>
        <v>yes</v>
      </c>
    </row>
    <row r="321" spans="1:56" x14ac:dyDescent="0.3">
      <c r="A321">
        <f t="shared" si="55"/>
        <v>320</v>
      </c>
      <c r="B321" s="3" t="s">
        <v>281</v>
      </c>
      <c r="C321" s="3" t="s">
        <v>153</v>
      </c>
      <c r="D321" s="2">
        <v>46</v>
      </c>
      <c r="E321" s="2" t="s">
        <v>14</v>
      </c>
      <c r="F321" s="2" t="s">
        <v>22</v>
      </c>
      <c r="G321" s="2">
        <v>15000</v>
      </c>
      <c r="H321" s="2">
        <v>77000</v>
      </c>
      <c r="I321" s="2" t="s">
        <v>23</v>
      </c>
      <c r="J321" s="2">
        <v>0</v>
      </c>
      <c r="K321" s="2">
        <v>720</v>
      </c>
      <c r="L321" s="2" t="s">
        <v>24</v>
      </c>
      <c r="M321" s="2" t="s">
        <v>82</v>
      </c>
      <c r="N321" s="2" t="s">
        <v>18</v>
      </c>
      <c r="O321">
        <v>3</v>
      </c>
      <c r="R321" t="e">
        <f t="shared" si="45"/>
        <v>#DIV/0!</v>
      </c>
      <c r="S321" t="str">
        <f t="shared" si="46"/>
        <v>DIVISION ERROR</v>
      </c>
      <c r="U321" t="b">
        <v>0</v>
      </c>
      <c r="W321" t="str">
        <f t="shared" si="47"/>
        <v>EVEN</v>
      </c>
      <c r="Y321">
        <f t="shared" si="48"/>
        <v>60</v>
      </c>
      <c r="AB321" t="str">
        <f t="shared" si="49"/>
        <v>Good_user</v>
      </c>
      <c r="AE321" t="b">
        <f t="shared" si="50"/>
        <v>1</v>
      </c>
      <c r="AG321" t="b">
        <f t="shared" si="51"/>
        <v>0</v>
      </c>
      <c r="AI321" t="str">
        <f>IF(AND(Dataset!G321 &gt;5000,Dataset!H321&gt;7000),"ACTIVE_CONSUMER","INACTIVE_CONSUMER")</f>
        <v>ACTIVE_CONSUMER</v>
      </c>
      <c r="AN321" t="str">
        <f t="shared" si="52"/>
        <v>Not_eligible</v>
      </c>
      <c r="AQ321" t="str">
        <f>IF(AND(E321="M",F321="checking",Dataset!G321&gt;2000,Dataset!K321&gt;500),"good_client","bad_client")</f>
        <v>bad_client</v>
      </c>
      <c r="AT321" t="s">
        <v>482</v>
      </c>
      <c r="AU321" t="str">
        <f>IF(AND(Dataset!F321="Savings",Dataset!AT321="eligible"),"YES","NO")</f>
        <v>NO</v>
      </c>
      <c r="AW321" s="8"/>
      <c r="AX321" s="12" t="s">
        <v>486</v>
      </c>
      <c r="AY321" s="8" t="s">
        <v>489</v>
      </c>
      <c r="AZ321" s="8"/>
      <c r="BD321" t="str">
        <f t="shared" si="53"/>
        <v>yes</v>
      </c>
    </row>
    <row r="322" spans="1:56" x14ac:dyDescent="0.3">
      <c r="A322">
        <f t="shared" si="55"/>
        <v>321</v>
      </c>
      <c r="B322" s="3" t="s">
        <v>292</v>
      </c>
      <c r="C322" s="3" t="s">
        <v>183</v>
      </c>
      <c r="D322" s="2">
        <v>52</v>
      </c>
      <c r="E322" s="2" t="s">
        <v>21</v>
      </c>
      <c r="F322" s="2" t="s">
        <v>15</v>
      </c>
      <c r="G322" s="2">
        <v>4000</v>
      </c>
      <c r="H322" s="2">
        <v>50000</v>
      </c>
      <c r="I322" s="2" t="s">
        <v>16</v>
      </c>
      <c r="J322" s="2">
        <v>5000</v>
      </c>
      <c r="K322" s="2">
        <v>680</v>
      </c>
      <c r="L322" s="2" t="s">
        <v>28</v>
      </c>
      <c r="M322" s="2" t="s">
        <v>80</v>
      </c>
      <c r="N322" s="2" t="s">
        <v>25</v>
      </c>
      <c r="O322">
        <v>5</v>
      </c>
      <c r="R322">
        <f t="shared" si="45"/>
        <v>10</v>
      </c>
      <c r="S322">
        <f t="shared" si="46"/>
        <v>10</v>
      </c>
      <c r="U322" t="b">
        <v>1</v>
      </c>
      <c r="W322" t="str">
        <f t="shared" si="47"/>
        <v>EVEN</v>
      </c>
      <c r="Y322">
        <f t="shared" si="48"/>
        <v>286</v>
      </c>
      <c r="AB322" t="str">
        <f t="shared" si="49"/>
        <v>Bad_user</v>
      </c>
      <c r="AE322" t="b">
        <f t="shared" si="50"/>
        <v>0</v>
      </c>
      <c r="AG322" t="b">
        <f t="shared" si="51"/>
        <v>0</v>
      </c>
      <c r="AI322" t="str">
        <f>IF(AND(Dataset!G322 &gt;5000,Dataset!H322&gt;7000),"ACTIVE_CONSUMER","INACTIVE_CONSUMER")</f>
        <v>INACTIVE_CONSUMER</v>
      </c>
      <c r="AN322" t="str">
        <f t="shared" si="52"/>
        <v>Not_eligible</v>
      </c>
      <c r="AQ322" t="str">
        <f>IF(AND(E322="M",F322="checking",Dataset!G322&gt;2000,Dataset!K322&gt;500),"good_client","bad_client")</f>
        <v>bad_client</v>
      </c>
      <c r="AT322" t="s">
        <v>482</v>
      </c>
      <c r="AU322" t="str">
        <f>IF(AND(Dataset!F322="Savings",Dataset!AT322="eligible"),"YES","NO")</f>
        <v>NO</v>
      </c>
      <c r="AW322" s="8"/>
      <c r="AX322" s="12" t="s">
        <v>487</v>
      </c>
      <c r="AY322" s="8" t="s">
        <v>490</v>
      </c>
      <c r="AZ322" s="8"/>
      <c r="BD322" t="str">
        <f t="shared" si="53"/>
        <v>yes</v>
      </c>
    </row>
    <row r="323" spans="1:56" x14ac:dyDescent="0.3">
      <c r="A323">
        <f t="shared" si="55"/>
        <v>322</v>
      </c>
      <c r="B323" s="3" t="s">
        <v>148</v>
      </c>
      <c r="C323" s="3" t="s">
        <v>161</v>
      </c>
      <c r="D323" s="2">
        <v>24</v>
      </c>
      <c r="E323" s="2" t="s">
        <v>14</v>
      </c>
      <c r="F323" s="2" t="s">
        <v>15</v>
      </c>
      <c r="G323" s="2">
        <v>9000</v>
      </c>
      <c r="H323" s="2">
        <v>69000</v>
      </c>
      <c r="I323" s="2" t="s">
        <v>23</v>
      </c>
      <c r="J323" s="2">
        <v>0</v>
      </c>
      <c r="K323" s="2">
        <v>700</v>
      </c>
      <c r="L323" s="2" t="s">
        <v>31</v>
      </c>
      <c r="M323" s="2" t="s">
        <v>82</v>
      </c>
      <c r="N323" s="2" t="s">
        <v>18</v>
      </c>
      <c r="O323">
        <v>3</v>
      </c>
      <c r="R323" t="e">
        <f t="shared" ref="R323:R350" si="56">H323/J323</f>
        <v>#DIV/0!</v>
      </c>
      <c r="S323" t="str">
        <f t="shared" ref="S323:S350" si="57">IFERROR(R323,"DIVISION ERROR")</f>
        <v>DIVISION ERROR</v>
      </c>
      <c r="U323" t="b">
        <v>0</v>
      </c>
      <c r="W323" t="str">
        <f t="shared" ref="W323:W350" si="58">IF(ISODD(D323),"ODD","EVEN")</f>
        <v>EVEN</v>
      </c>
      <c r="Y323">
        <f t="shared" ref="Y323:Y350" si="59">_xlfn.RANK.AVG(K323,$K$2:$K$350,0)</f>
        <v>170</v>
      </c>
      <c r="AB323" t="str">
        <f t="shared" ref="AB323:AB350" si="60">IF(N323="Active","Good_user","Bad_user")</f>
        <v>Good_user</v>
      </c>
      <c r="AE323" t="b">
        <f t="shared" ref="AE323:AE350" si="61">ISERROR(R323)</f>
        <v>1</v>
      </c>
      <c r="AG323" t="b">
        <f t="shared" ref="AG323:AG350" si="62">ISTEXT(O323)</f>
        <v>0</v>
      </c>
      <c r="AI323" t="str">
        <f>IF(AND(Dataset!G323 &gt;5000,Dataset!H323&gt;7000),"ACTIVE_CONSUMER","INACTIVE_CONSUMER")</f>
        <v>ACTIVE_CONSUMER</v>
      </c>
      <c r="AN323" t="str">
        <f t="shared" ref="AN323:AN350" si="63">IF(AND(D323&gt;40,H323&lt;8000,K323&lt;300),"Eligible","Not_eligible")</f>
        <v>Not_eligible</v>
      </c>
      <c r="AQ323" t="str">
        <f>IF(AND(E323="M",F323="checking",Dataset!G323&gt;2000,Dataset!K323&gt;500),"good_client","bad_client")</f>
        <v>good_client</v>
      </c>
      <c r="AT323" t="s">
        <v>482</v>
      </c>
      <c r="AU323" t="str">
        <f>IF(AND(Dataset!F323="Savings",Dataset!AT323="eligible"),"YES","NO")</f>
        <v>NO</v>
      </c>
      <c r="AW323" s="8"/>
      <c r="AX323" s="12" t="s">
        <v>486</v>
      </c>
      <c r="AY323" s="8" t="s">
        <v>489</v>
      </c>
      <c r="AZ323" s="8"/>
      <c r="BD323" t="str">
        <f t="shared" ref="BD323:BD350" si="64">IF(H323&gt;6000,"yes","no")</f>
        <v>yes</v>
      </c>
    </row>
    <row r="324" spans="1:56" x14ac:dyDescent="0.3">
      <c r="A324">
        <f t="shared" si="55"/>
        <v>323</v>
      </c>
      <c r="B324" s="3" t="s">
        <v>293</v>
      </c>
      <c r="C324" s="3" t="s">
        <v>179</v>
      </c>
      <c r="D324" s="2">
        <v>38</v>
      </c>
      <c r="E324" s="2" t="s">
        <v>21</v>
      </c>
      <c r="F324" s="2" t="s">
        <v>22</v>
      </c>
      <c r="G324" s="2">
        <v>5500</v>
      </c>
      <c r="H324" s="2">
        <v>54000</v>
      </c>
      <c r="I324" s="2" t="s">
        <v>16</v>
      </c>
      <c r="J324" s="2">
        <v>13000</v>
      </c>
      <c r="K324" s="2">
        <v>710</v>
      </c>
      <c r="L324" s="2" t="s">
        <v>17</v>
      </c>
      <c r="M324" s="2" t="s">
        <v>80</v>
      </c>
      <c r="N324" s="2" t="s">
        <v>25</v>
      </c>
      <c r="O324">
        <v>11</v>
      </c>
      <c r="R324">
        <f t="shared" si="56"/>
        <v>4.1538461538461542</v>
      </c>
      <c r="S324">
        <f t="shared" si="57"/>
        <v>4.1538461538461542</v>
      </c>
      <c r="U324" t="b">
        <v>1</v>
      </c>
      <c r="W324" t="str">
        <f t="shared" si="58"/>
        <v>EVEN</v>
      </c>
      <c r="Y324">
        <f t="shared" si="59"/>
        <v>120.5</v>
      </c>
      <c r="AB324" t="str">
        <f t="shared" si="60"/>
        <v>Bad_user</v>
      </c>
      <c r="AE324" t="b">
        <f t="shared" si="61"/>
        <v>0</v>
      </c>
      <c r="AG324" t="b">
        <f t="shared" si="62"/>
        <v>0</v>
      </c>
      <c r="AI324" t="str">
        <f>IF(AND(Dataset!G324 &gt;5000,Dataset!H324&gt;7000),"ACTIVE_CONSUMER","INACTIVE_CONSUMER")</f>
        <v>ACTIVE_CONSUMER</v>
      </c>
      <c r="AN324" t="str">
        <f t="shared" si="63"/>
        <v>Not_eligible</v>
      </c>
      <c r="AQ324" t="str">
        <f>IF(AND(E324="M",F324="checking",Dataset!G324&gt;2000,Dataset!K324&gt;500),"good_client","bad_client")</f>
        <v>bad_client</v>
      </c>
      <c r="AT324" t="s">
        <v>482</v>
      </c>
      <c r="AU324" t="str">
        <f>IF(AND(Dataset!F324="Savings",Dataset!AT324="eligible"),"YES","NO")</f>
        <v>NO</v>
      </c>
      <c r="AW324" s="8"/>
      <c r="AX324" s="12" t="s">
        <v>487</v>
      </c>
      <c r="AY324" s="8" t="s">
        <v>490</v>
      </c>
      <c r="AZ324" s="8"/>
      <c r="BD324" t="str">
        <f t="shared" si="64"/>
        <v>yes</v>
      </c>
    </row>
    <row r="325" spans="1:56" x14ac:dyDescent="0.3">
      <c r="A325">
        <f t="shared" si="55"/>
        <v>324</v>
      </c>
      <c r="B325" s="3" t="s">
        <v>70</v>
      </c>
      <c r="C325" s="3" t="s">
        <v>227</v>
      </c>
      <c r="D325" s="2">
        <v>27</v>
      </c>
      <c r="E325" s="2" t="s">
        <v>14</v>
      </c>
      <c r="F325" s="2" t="s">
        <v>15</v>
      </c>
      <c r="G325" s="2">
        <v>7000</v>
      </c>
      <c r="H325" s="2">
        <v>74000</v>
      </c>
      <c r="I325" s="2" t="s">
        <v>23</v>
      </c>
      <c r="J325" s="2">
        <v>0</v>
      </c>
      <c r="K325" s="2">
        <v>690</v>
      </c>
      <c r="L325" s="2" t="s">
        <v>24</v>
      </c>
      <c r="M325" s="2" t="s">
        <v>81</v>
      </c>
      <c r="N325" s="2" t="s">
        <v>18</v>
      </c>
      <c r="O325">
        <v>11</v>
      </c>
      <c r="R325" t="e">
        <f t="shared" si="56"/>
        <v>#DIV/0!</v>
      </c>
      <c r="S325" t="str">
        <f t="shared" si="57"/>
        <v>DIVISION ERROR</v>
      </c>
      <c r="U325" t="b">
        <v>0</v>
      </c>
      <c r="W325" t="str">
        <f t="shared" si="58"/>
        <v>ODD</v>
      </c>
      <c r="Y325">
        <f t="shared" si="59"/>
        <v>223.5</v>
      </c>
      <c r="AB325" t="str">
        <f t="shared" si="60"/>
        <v>Good_user</v>
      </c>
      <c r="AE325" t="b">
        <f t="shared" si="61"/>
        <v>1</v>
      </c>
      <c r="AG325" t="b">
        <f t="shared" si="62"/>
        <v>0</v>
      </c>
      <c r="AI325" t="str">
        <f>IF(AND(Dataset!G325 &gt;5000,Dataset!H325&gt;7000),"ACTIVE_CONSUMER","INACTIVE_CONSUMER")</f>
        <v>ACTIVE_CONSUMER</v>
      </c>
      <c r="AN325" t="str">
        <f t="shared" si="63"/>
        <v>Not_eligible</v>
      </c>
      <c r="AQ325" t="str">
        <f>IF(AND(E325="M",F325="checking",Dataset!G325&gt;2000,Dataset!K325&gt;500),"good_client","bad_client")</f>
        <v>good_client</v>
      </c>
      <c r="AT325" t="s">
        <v>482</v>
      </c>
      <c r="AU325" t="str">
        <f>IF(AND(Dataset!F325="Savings",Dataset!AT325="eligible"),"YES","NO")</f>
        <v>NO</v>
      </c>
      <c r="AW325" s="8"/>
      <c r="AX325" s="12" t="s">
        <v>487</v>
      </c>
      <c r="AY325" s="8" t="s">
        <v>489</v>
      </c>
      <c r="AZ325" s="8"/>
      <c r="BD325" t="str">
        <f t="shared" si="64"/>
        <v>yes</v>
      </c>
    </row>
    <row r="326" spans="1:56" x14ac:dyDescent="0.3">
      <c r="A326">
        <f t="shared" si="55"/>
        <v>325</v>
      </c>
      <c r="B326" s="3" t="s">
        <v>294</v>
      </c>
      <c r="C326" s="3" t="s">
        <v>208</v>
      </c>
      <c r="D326" s="2">
        <v>41</v>
      </c>
      <c r="E326" s="2" t="s">
        <v>21</v>
      </c>
      <c r="F326" s="2" t="s">
        <v>22</v>
      </c>
      <c r="G326" s="2">
        <v>6000</v>
      </c>
      <c r="H326" s="2">
        <v>68000</v>
      </c>
      <c r="I326" s="2" t="s">
        <v>16</v>
      </c>
      <c r="J326" s="2">
        <v>8000</v>
      </c>
      <c r="K326" s="2">
        <v>720</v>
      </c>
      <c r="L326" s="2" t="s">
        <v>28</v>
      </c>
      <c r="M326" s="2" t="s">
        <v>81</v>
      </c>
      <c r="N326" s="2" t="s">
        <v>25</v>
      </c>
      <c r="O326">
        <v>6</v>
      </c>
      <c r="R326">
        <f t="shared" si="56"/>
        <v>8.5</v>
      </c>
      <c r="S326">
        <f t="shared" si="57"/>
        <v>8.5</v>
      </c>
      <c r="U326" t="b">
        <v>1</v>
      </c>
      <c r="W326" t="str">
        <f t="shared" si="58"/>
        <v>ODD</v>
      </c>
      <c r="Y326">
        <f t="shared" si="59"/>
        <v>60</v>
      </c>
      <c r="AB326" t="str">
        <f t="shared" si="60"/>
        <v>Bad_user</v>
      </c>
      <c r="AE326" t="b">
        <f t="shared" si="61"/>
        <v>0</v>
      </c>
      <c r="AG326" t="b">
        <f t="shared" si="62"/>
        <v>0</v>
      </c>
      <c r="AI326" t="str">
        <f>IF(AND(Dataset!G326 &gt;5000,Dataset!H326&gt;7000),"ACTIVE_CONSUMER","INACTIVE_CONSUMER")</f>
        <v>ACTIVE_CONSUMER</v>
      </c>
      <c r="AN326" t="str">
        <f t="shared" si="63"/>
        <v>Not_eligible</v>
      </c>
      <c r="AQ326" t="str">
        <f>IF(AND(E326="M",F326="checking",Dataset!G326&gt;2000,Dataset!K326&gt;500),"good_client","bad_client")</f>
        <v>bad_client</v>
      </c>
      <c r="AT326" t="s">
        <v>482</v>
      </c>
      <c r="AU326" t="str">
        <f>IF(AND(Dataset!F326="Savings",Dataset!AT326="eligible"),"YES","NO")</f>
        <v>NO</v>
      </c>
      <c r="AW326" s="8"/>
      <c r="AX326" s="12" t="s">
        <v>487</v>
      </c>
      <c r="AY326" s="8" t="s">
        <v>490</v>
      </c>
      <c r="AZ326" s="8"/>
      <c r="BD326" t="str">
        <f t="shared" si="64"/>
        <v>yes</v>
      </c>
    </row>
    <row r="327" spans="1:56" x14ac:dyDescent="0.3">
      <c r="A327">
        <f t="shared" si="55"/>
        <v>326</v>
      </c>
      <c r="B327" s="3" t="s">
        <v>168</v>
      </c>
      <c r="C327" s="3" t="s">
        <v>63</v>
      </c>
      <c r="D327" s="2">
        <v>32</v>
      </c>
      <c r="E327" s="2" t="s">
        <v>14</v>
      </c>
      <c r="F327" s="2" t="s">
        <v>15</v>
      </c>
      <c r="G327" s="2">
        <v>2500</v>
      </c>
      <c r="H327" s="2">
        <v>45000</v>
      </c>
      <c r="I327" s="2" t="s">
        <v>23</v>
      </c>
      <c r="J327" s="2">
        <v>0</v>
      </c>
      <c r="K327" s="2">
        <v>670</v>
      </c>
      <c r="L327" s="2" t="s">
        <v>31</v>
      </c>
      <c r="M327" s="2" t="s">
        <v>81</v>
      </c>
      <c r="N327" s="2" t="s">
        <v>18</v>
      </c>
      <c r="O327">
        <v>6</v>
      </c>
      <c r="R327" t="e">
        <f t="shared" si="56"/>
        <v>#DIV/0!</v>
      </c>
      <c r="S327" t="str">
        <f t="shared" si="57"/>
        <v>DIVISION ERROR</v>
      </c>
      <c r="U327" t="b">
        <v>0</v>
      </c>
      <c r="W327" t="str">
        <f t="shared" si="58"/>
        <v>EVEN</v>
      </c>
      <c r="Y327">
        <f t="shared" si="59"/>
        <v>334</v>
      </c>
      <c r="AB327" t="str">
        <f t="shared" si="60"/>
        <v>Good_user</v>
      </c>
      <c r="AE327" t="b">
        <f t="shared" si="61"/>
        <v>1</v>
      </c>
      <c r="AG327" t="b">
        <f t="shared" si="62"/>
        <v>0</v>
      </c>
      <c r="AI327" t="str">
        <f>IF(AND(Dataset!G327 &gt;5000,Dataset!H327&gt;7000),"ACTIVE_CONSUMER","INACTIVE_CONSUMER")</f>
        <v>INACTIVE_CONSUMER</v>
      </c>
      <c r="AN327" t="str">
        <f t="shared" si="63"/>
        <v>Not_eligible</v>
      </c>
      <c r="AQ327" t="str">
        <f>IF(AND(E327="M",F327="checking",Dataset!G327&gt;2000,Dataset!K327&gt;500),"good_client","bad_client")</f>
        <v>good_client</v>
      </c>
      <c r="AT327" t="s">
        <v>482</v>
      </c>
      <c r="AU327" t="str">
        <f>IF(AND(Dataset!F327="Savings",Dataset!AT327="eligible"),"YES","NO")</f>
        <v>NO</v>
      </c>
      <c r="AW327" s="8"/>
      <c r="AX327" s="12" t="s">
        <v>487</v>
      </c>
      <c r="AY327" s="8" t="s">
        <v>489</v>
      </c>
      <c r="AZ327" s="8"/>
      <c r="BD327" t="str">
        <f t="shared" si="64"/>
        <v>yes</v>
      </c>
    </row>
    <row r="328" spans="1:56" x14ac:dyDescent="0.3">
      <c r="A328">
        <f t="shared" si="55"/>
        <v>327</v>
      </c>
      <c r="B328" s="3" t="s">
        <v>125</v>
      </c>
      <c r="C328" s="3" t="s">
        <v>165</v>
      </c>
      <c r="D328" s="2">
        <v>47</v>
      </c>
      <c r="E328" s="2" t="s">
        <v>21</v>
      </c>
      <c r="F328" s="2" t="s">
        <v>22</v>
      </c>
      <c r="G328" s="2">
        <v>11000</v>
      </c>
      <c r="H328" s="2">
        <v>80000</v>
      </c>
      <c r="I328" s="2" t="s">
        <v>16</v>
      </c>
      <c r="J328" s="2">
        <v>15000</v>
      </c>
      <c r="K328" s="2">
        <v>740</v>
      </c>
      <c r="L328" s="2" t="s">
        <v>17</v>
      </c>
      <c r="M328" s="2" t="s">
        <v>82</v>
      </c>
      <c r="N328" s="2" t="s">
        <v>25</v>
      </c>
      <c r="O328">
        <v>5</v>
      </c>
      <c r="R328">
        <f t="shared" si="56"/>
        <v>5.333333333333333</v>
      </c>
      <c r="S328">
        <f t="shared" si="57"/>
        <v>5.333333333333333</v>
      </c>
      <c r="U328" t="b">
        <v>1</v>
      </c>
      <c r="W328" t="str">
        <f t="shared" si="58"/>
        <v>ODD</v>
      </c>
      <c r="Y328">
        <f t="shared" si="59"/>
        <v>13</v>
      </c>
      <c r="AB328" t="str">
        <f t="shared" si="60"/>
        <v>Bad_user</v>
      </c>
      <c r="AE328" t="b">
        <f t="shared" si="61"/>
        <v>0</v>
      </c>
      <c r="AG328" t="b">
        <f t="shared" si="62"/>
        <v>0</v>
      </c>
      <c r="AI328" t="str">
        <f>IF(AND(Dataset!G328 &gt;5000,Dataset!H328&gt;7000),"ACTIVE_CONSUMER","INACTIVE_CONSUMER")</f>
        <v>ACTIVE_CONSUMER</v>
      </c>
      <c r="AN328" t="str">
        <f t="shared" si="63"/>
        <v>Not_eligible</v>
      </c>
      <c r="AQ328" t="str">
        <f>IF(AND(E328="M",F328="checking",Dataset!G328&gt;2000,Dataset!K328&gt;500),"good_client","bad_client")</f>
        <v>bad_client</v>
      </c>
      <c r="AT328" t="s">
        <v>482</v>
      </c>
      <c r="AU328" t="str">
        <f>IF(AND(Dataset!F328="Savings",Dataset!AT328="eligible"),"YES","NO")</f>
        <v>NO</v>
      </c>
      <c r="AW328" s="8"/>
      <c r="AX328" s="12" t="s">
        <v>486</v>
      </c>
      <c r="AY328" s="8" t="s">
        <v>490</v>
      </c>
      <c r="AZ328" s="8"/>
      <c r="BD328" t="str">
        <f t="shared" si="64"/>
        <v>yes</v>
      </c>
    </row>
    <row r="329" spans="1:56" x14ac:dyDescent="0.3">
      <c r="A329">
        <f t="shared" si="55"/>
        <v>328</v>
      </c>
      <c r="B329" s="3" t="s">
        <v>215</v>
      </c>
      <c r="C329" s="3" t="s">
        <v>262</v>
      </c>
      <c r="D329" s="2">
        <v>35</v>
      </c>
      <c r="E329" s="2" t="s">
        <v>14</v>
      </c>
      <c r="F329" s="2" t="s">
        <v>15</v>
      </c>
      <c r="G329" s="2">
        <v>3000</v>
      </c>
      <c r="H329" s="2">
        <v>47000</v>
      </c>
      <c r="I329" s="2" t="s">
        <v>23</v>
      </c>
      <c r="J329" s="2">
        <v>0</v>
      </c>
      <c r="K329" s="2">
        <v>680</v>
      </c>
      <c r="L329" s="2" t="s">
        <v>24</v>
      </c>
      <c r="M329" s="2" t="s">
        <v>82</v>
      </c>
      <c r="N329" s="2" t="s">
        <v>18</v>
      </c>
      <c r="O329">
        <v>4</v>
      </c>
      <c r="R329" t="e">
        <f t="shared" si="56"/>
        <v>#DIV/0!</v>
      </c>
      <c r="S329" t="str">
        <f t="shared" si="57"/>
        <v>DIVISION ERROR</v>
      </c>
      <c r="U329" t="b">
        <v>0</v>
      </c>
      <c r="W329" t="str">
        <f t="shared" si="58"/>
        <v>ODD</v>
      </c>
      <c r="Y329">
        <f t="shared" si="59"/>
        <v>286</v>
      </c>
      <c r="AB329" t="str">
        <f t="shared" si="60"/>
        <v>Good_user</v>
      </c>
      <c r="AE329" t="b">
        <f t="shared" si="61"/>
        <v>1</v>
      </c>
      <c r="AG329" t="b">
        <f t="shared" si="62"/>
        <v>0</v>
      </c>
      <c r="AI329" t="str">
        <f>IF(AND(Dataset!G329 &gt;5000,Dataset!H329&gt;7000),"ACTIVE_CONSUMER","INACTIVE_CONSUMER")</f>
        <v>INACTIVE_CONSUMER</v>
      </c>
      <c r="AN329" t="str">
        <f t="shared" si="63"/>
        <v>Not_eligible</v>
      </c>
      <c r="AQ329" t="str">
        <f>IF(AND(E329="M",F329="checking",Dataset!G329&gt;2000,Dataset!K329&gt;500),"good_client","bad_client")</f>
        <v>good_client</v>
      </c>
      <c r="AT329" t="s">
        <v>482</v>
      </c>
      <c r="AU329" t="str">
        <f>IF(AND(Dataset!F329="Savings",Dataset!AT329="eligible"),"YES","NO")</f>
        <v>NO</v>
      </c>
      <c r="AW329" s="8"/>
      <c r="AX329" s="12" t="s">
        <v>486</v>
      </c>
      <c r="AY329" s="8" t="s">
        <v>489</v>
      </c>
      <c r="AZ329" s="8"/>
      <c r="BD329" t="str">
        <f t="shared" si="64"/>
        <v>yes</v>
      </c>
    </row>
    <row r="330" spans="1:56" x14ac:dyDescent="0.3">
      <c r="A330">
        <f t="shared" si="55"/>
        <v>329</v>
      </c>
      <c r="B330" s="3" t="s">
        <v>182</v>
      </c>
      <c r="C330" s="3" t="s">
        <v>190</v>
      </c>
      <c r="D330" s="2">
        <v>29</v>
      </c>
      <c r="E330" s="2" t="s">
        <v>21</v>
      </c>
      <c r="F330" s="2" t="s">
        <v>22</v>
      </c>
      <c r="G330" s="2">
        <v>4000</v>
      </c>
      <c r="H330" s="2">
        <v>53000</v>
      </c>
      <c r="I330" s="2" t="s">
        <v>16</v>
      </c>
      <c r="J330" s="2">
        <v>10000</v>
      </c>
      <c r="K330" s="2">
        <v>690</v>
      </c>
      <c r="L330" s="2" t="s">
        <v>28</v>
      </c>
      <c r="M330" s="2" t="s">
        <v>80</v>
      </c>
      <c r="N330" s="2" t="s">
        <v>25</v>
      </c>
      <c r="O330">
        <v>6</v>
      </c>
      <c r="R330">
        <f t="shared" si="56"/>
        <v>5.3</v>
      </c>
      <c r="S330">
        <f t="shared" si="57"/>
        <v>5.3</v>
      </c>
      <c r="U330" t="b">
        <v>1</v>
      </c>
      <c r="W330" t="str">
        <f t="shared" si="58"/>
        <v>ODD</v>
      </c>
      <c r="Y330">
        <f t="shared" si="59"/>
        <v>223.5</v>
      </c>
      <c r="AB330" t="str">
        <f t="shared" si="60"/>
        <v>Bad_user</v>
      </c>
      <c r="AE330" t="b">
        <f t="shared" si="61"/>
        <v>0</v>
      </c>
      <c r="AG330" t="b">
        <f t="shared" si="62"/>
        <v>0</v>
      </c>
      <c r="AI330" t="str">
        <f>IF(AND(Dataset!G330 &gt;5000,Dataset!H330&gt;7000),"ACTIVE_CONSUMER","INACTIVE_CONSUMER")</f>
        <v>INACTIVE_CONSUMER</v>
      </c>
      <c r="AN330" t="str">
        <f t="shared" si="63"/>
        <v>Not_eligible</v>
      </c>
      <c r="AQ330" t="str">
        <f>IF(AND(E330="M",F330="checking",Dataset!G330&gt;2000,Dataset!K330&gt;500),"good_client","bad_client")</f>
        <v>bad_client</v>
      </c>
      <c r="AT330" t="s">
        <v>482</v>
      </c>
      <c r="AU330" t="str">
        <f>IF(AND(Dataset!F330="Savings",Dataset!AT330="eligible"),"YES","NO")</f>
        <v>NO</v>
      </c>
      <c r="AW330" s="8"/>
      <c r="AX330" s="12" t="s">
        <v>487</v>
      </c>
      <c r="AY330" s="8" t="s">
        <v>490</v>
      </c>
      <c r="AZ330" s="8"/>
      <c r="BD330" t="str">
        <f t="shared" si="64"/>
        <v>yes</v>
      </c>
    </row>
    <row r="331" spans="1:56" x14ac:dyDescent="0.3">
      <c r="A331">
        <f t="shared" si="55"/>
        <v>330</v>
      </c>
      <c r="B331" s="3" t="s">
        <v>226</v>
      </c>
      <c r="C331" s="3" t="s">
        <v>51</v>
      </c>
      <c r="D331" s="2">
        <v>42</v>
      </c>
      <c r="E331" s="2" t="s">
        <v>14</v>
      </c>
      <c r="F331" s="2" t="s">
        <v>15</v>
      </c>
      <c r="G331" s="2">
        <v>9000</v>
      </c>
      <c r="H331" s="2">
        <v>71000</v>
      </c>
      <c r="I331" s="2" t="s">
        <v>23</v>
      </c>
      <c r="J331" s="2">
        <v>0</v>
      </c>
      <c r="K331" s="2">
        <v>700</v>
      </c>
      <c r="L331" s="2" t="s">
        <v>31</v>
      </c>
      <c r="M331" s="2" t="s">
        <v>81</v>
      </c>
      <c r="N331" s="2" t="s">
        <v>18</v>
      </c>
      <c r="O331">
        <v>5</v>
      </c>
      <c r="R331" t="e">
        <f t="shared" si="56"/>
        <v>#DIV/0!</v>
      </c>
      <c r="S331" t="str">
        <f t="shared" si="57"/>
        <v>DIVISION ERROR</v>
      </c>
      <c r="U331" t="b">
        <v>0</v>
      </c>
      <c r="W331" t="str">
        <f t="shared" si="58"/>
        <v>EVEN</v>
      </c>
      <c r="Y331">
        <f t="shared" si="59"/>
        <v>170</v>
      </c>
      <c r="AB331" t="str">
        <f t="shared" si="60"/>
        <v>Good_user</v>
      </c>
      <c r="AE331" t="b">
        <f t="shared" si="61"/>
        <v>1</v>
      </c>
      <c r="AG331" t="b">
        <f t="shared" si="62"/>
        <v>0</v>
      </c>
      <c r="AI331" t="str">
        <f>IF(AND(Dataset!G331 &gt;5000,Dataset!H331&gt;7000),"ACTIVE_CONSUMER","INACTIVE_CONSUMER")</f>
        <v>ACTIVE_CONSUMER</v>
      </c>
      <c r="AN331" t="str">
        <f t="shared" si="63"/>
        <v>Not_eligible</v>
      </c>
      <c r="AQ331" t="str">
        <f>IF(AND(E331="M",F331="checking",Dataset!G331&gt;2000,Dataset!K331&gt;500),"good_client","bad_client")</f>
        <v>good_client</v>
      </c>
      <c r="AT331" t="s">
        <v>482</v>
      </c>
      <c r="AU331" t="str">
        <f>IF(AND(Dataset!F331="Savings",Dataset!AT331="eligible"),"YES","NO")</f>
        <v>NO</v>
      </c>
      <c r="AW331" s="8"/>
      <c r="AX331" s="12" t="s">
        <v>487</v>
      </c>
      <c r="AY331" s="8" t="s">
        <v>489</v>
      </c>
      <c r="AZ331" s="8"/>
      <c r="BD331" t="str">
        <f t="shared" si="64"/>
        <v>yes</v>
      </c>
    </row>
    <row r="332" spans="1:56" x14ac:dyDescent="0.3">
      <c r="A332">
        <f t="shared" si="55"/>
        <v>331</v>
      </c>
      <c r="B332" s="3" t="s">
        <v>107</v>
      </c>
      <c r="C332" s="3" t="s">
        <v>216</v>
      </c>
      <c r="D332" s="2">
        <v>50</v>
      </c>
      <c r="E332" s="2" t="s">
        <v>21</v>
      </c>
      <c r="F332" s="2" t="s">
        <v>22</v>
      </c>
      <c r="G332" s="2">
        <v>8000</v>
      </c>
      <c r="H332" s="2">
        <v>67000</v>
      </c>
      <c r="I332" s="2" t="s">
        <v>16</v>
      </c>
      <c r="J332" s="2">
        <v>12000</v>
      </c>
      <c r="K332" s="2">
        <v>710</v>
      </c>
      <c r="L332" s="2" t="s">
        <v>17</v>
      </c>
      <c r="M332" s="2" t="s">
        <v>82</v>
      </c>
      <c r="N332" s="2" t="s">
        <v>25</v>
      </c>
      <c r="O332">
        <v>14</v>
      </c>
      <c r="R332">
        <f t="shared" si="56"/>
        <v>5.583333333333333</v>
      </c>
      <c r="S332">
        <f t="shared" si="57"/>
        <v>5.583333333333333</v>
      </c>
      <c r="U332" t="b">
        <v>1</v>
      </c>
      <c r="W332" t="str">
        <f t="shared" si="58"/>
        <v>EVEN</v>
      </c>
      <c r="Y332">
        <f t="shared" si="59"/>
        <v>120.5</v>
      </c>
      <c r="AB332" t="str">
        <f t="shared" si="60"/>
        <v>Bad_user</v>
      </c>
      <c r="AE332" t="b">
        <f t="shared" si="61"/>
        <v>0</v>
      </c>
      <c r="AG332" t="b">
        <f t="shared" si="62"/>
        <v>0</v>
      </c>
      <c r="AI332" t="str">
        <f>IF(AND(Dataset!G332 &gt;5000,Dataset!H332&gt;7000),"ACTIVE_CONSUMER","INACTIVE_CONSUMER")</f>
        <v>ACTIVE_CONSUMER</v>
      </c>
      <c r="AN332" t="str">
        <f t="shared" si="63"/>
        <v>Not_eligible</v>
      </c>
      <c r="AQ332" t="str">
        <f>IF(AND(E332="M",F332="checking",Dataset!G332&gt;2000,Dataset!K332&gt;500),"good_client","bad_client")</f>
        <v>bad_client</v>
      </c>
      <c r="AT332" t="s">
        <v>482</v>
      </c>
      <c r="AU332" t="str">
        <f>IF(AND(Dataset!F332="Savings",Dataset!AT332="eligible"),"YES","NO")</f>
        <v>NO</v>
      </c>
      <c r="AW332" s="8"/>
      <c r="AX332" s="12" t="s">
        <v>486</v>
      </c>
      <c r="AY332" s="8" t="s">
        <v>490</v>
      </c>
      <c r="AZ332" s="8"/>
      <c r="BD332" t="str">
        <f t="shared" si="64"/>
        <v>yes</v>
      </c>
    </row>
    <row r="333" spans="1:56" x14ac:dyDescent="0.3">
      <c r="A333">
        <f t="shared" si="55"/>
        <v>332</v>
      </c>
      <c r="B333" s="3" t="s">
        <v>138</v>
      </c>
      <c r="C333" s="3" t="s">
        <v>190</v>
      </c>
      <c r="D333" s="2">
        <v>28</v>
      </c>
      <c r="E333" s="2" t="s">
        <v>14</v>
      </c>
      <c r="F333" s="2" t="s">
        <v>15</v>
      </c>
      <c r="G333" s="2">
        <v>5000</v>
      </c>
      <c r="H333" s="2">
        <v>55000</v>
      </c>
      <c r="I333" s="2" t="s">
        <v>23</v>
      </c>
      <c r="J333" s="2">
        <v>0</v>
      </c>
      <c r="K333" s="2">
        <v>690</v>
      </c>
      <c r="L333" s="2" t="s">
        <v>24</v>
      </c>
      <c r="M333" s="2" t="s">
        <v>82</v>
      </c>
      <c r="N333" s="2" t="s">
        <v>18</v>
      </c>
      <c r="O333">
        <v>12</v>
      </c>
      <c r="R333" t="e">
        <f t="shared" si="56"/>
        <v>#DIV/0!</v>
      </c>
      <c r="S333" t="str">
        <f t="shared" si="57"/>
        <v>DIVISION ERROR</v>
      </c>
      <c r="U333" t="b">
        <v>0</v>
      </c>
      <c r="W333" t="str">
        <f t="shared" si="58"/>
        <v>EVEN</v>
      </c>
      <c r="Y333">
        <f t="shared" si="59"/>
        <v>223.5</v>
      </c>
      <c r="AB333" t="str">
        <f t="shared" si="60"/>
        <v>Good_user</v>
      </c>
      <c r="AE333" t="b">
        <f t="shared" si="61"/>
        <v>1</v>
      </c>
      <c r="AG333" t="b">
        <f t="shared" si="62"/>
        <v>0</v>
      </c>
      <c r="AI333" t="str">
        <f>IF(AND(Dataset!G333 &gt;5000,Dataset!H333&gt;7000),"ACTIVE_CONSUMER","INACTIVE_CONSUMER")</f>
        <v>INACTIVE_CONSUMER</v>
      </c>
      <c r="AN333" t="str">
        <f t="shared" si="63"/>
        <v>Not_eligible</v>
      </c>
      <c r="AQ333" t="str">
        <f>IF(AND(E333="M",F333="checking",Dataset!G333&gt;2000,Dataset!K333&gt;500),"good_client","bad_client")</f>
        <v>good_client</v>
      </c>
      <c r="AT333" t="s">
        <v>482</v>
      </c>
      <c r="AU333" t="str">
        <f>IF(AND(Dataset!F333="Savings",Dataset!AT333="eligible"),"YES","NO")</f>
        <v>NO</v>
      </c>
      <c r="AW333" s="8"/>
      <c r="AX333" s="12" t="s">
        <v>486</v>
      </c>
      <c r="AY333" s="8" t="s">
        <v>489</v>
      </c>
      <c r="AZ333" s="8"/>
      <c r="BD333" t="str">
        <f t="shared" si="64"/>
        <v>yes</v>
      </c>
    </row>
    <row r="334" spans="1:56" x14ac:dyDescent="0.3">
      <c r="A334">
        <f t="shared" si="55"/>
        <v>333</v>
      </c>
      <c r="B334" s="3" t="s">
        <v>32</v>
      </c>
      <c r="C334" s="3" t="s">
        <v>67</v>
      </c>
      <c r="D334" s="2">
        <v>36</v>
      </c>
      <c r="E334" s="2" t="s">
        <v>21</v>
      </c>
      <c r="F334" s="2" t="s">
        <v>22</v>
      </c>
      <c r="G334" s="2">
        <v>3000</v>
      </c>
      <c r="H334" s="2">
        <v>48000</v>
      </c>
      <c r="I334" s="2" t="s">
        <v>16</v>
      </c>
      <c r="J334" s="2">
        <v>5000</v>
      </c>
      <c r="K334" s="2">
        <v>670</v>
      </c>
      <c r="L334" s="2" t="s">
        <v>28</v>
      </c>
      <c r="M334" s="2" t="s">
        <v>80</v>
      </c>
      <c r="N334" s="2" t="s">
        <v>25</v>
      </c>
      <c r="O334">
        <v>11</v>
      </c>
      <c r="R334">
        <f t="shared" si="56"/>
        <v>9.6</v>
      </c>
      <c r="S334">
        <f t="shared" si="57"/>
        <v>9.6</v>
      </c>
      <c r="U334" t="b">
        <v>1</v>
      </c>
      <c r="W334" t="str">
        <f t="shared" si="58"/>
        <v>EVEN</v>
      </c>
      <c r="Y334">
        <f t="shared" si="59"/>
        <v>334</v>
      </c>
      <c r="AB334" t="str">
        <f t="shared" si="60"/>
        <v>Bad_user</v>
      </c>
      <c r="AE334" t="b">
        <f t="shared" si="61"/>
        <v>0</v>
      </c>
      <c r="AG334" t="b">
        <f t="shared" si="62"/>
        <v>0</v>
      </c>
      <c r="AI334" t="str">
        <f>IF(AND(Dataset!G334 &gt;5000,Dataset!H334&gt;7000),"ACTIVE_CONSUMER","INACTIVE_CONSUMER")</f>
        <v>INACTIVE_CONSUMER</v>
      </c>
      <c r="AN334" t="str">
        <f t="shared" si="63"/>
        <v>Not_eligible</v>
      </c>
      <c r="AQ334" t="str">
        <f>IF(AND(E334="M",F334="checking",Dataset!G334&gt;2000,Dataset!K334&gt;500),"good_client","bad_client")</f>
        <v>bad_client</v>
      </c>
      <c r="AT334" t="s">
        <v>482</v>
      </c>
      <c r="AU334" t="str">
        <f>IF(AND(Dataset!F334="Savings",Dataset!AT334="eligible"),"YES","NO")</f>
        <v>NO</v>
      </c>
      <c r="AW334" s="8"/>
      <c r="AX334" s="12" t="s">
        <v>487</v>
      </c>
      <c r="AY334" s="8" t="s">
        <v>490</v>
      </c>
      <c r="AZ334" s="8"/>
      <c r="BD334" t="str">
        <f t="shared" si="64"/>
        <v>yes</v>
      </c>
    </row>
    <row r="335" spans="1:56" x14ac:dyDescent="0.3">
      <c r="A335">
        <f t="shared" si="55"/>
        <v>334</v>
      </c>
      <c r="B335" s="3" t="s">
        <v>127</v>
      </c>
      <c r="C335" s="3" t="s">
        <v>149</v>
      </c>
      <c r="D335" s="2">
        <v>41</v>
      </c>
      <c r="E335" s="2" t="s">
        <v>14</v>
      </c>
      <c r="F335" s="2" t="s">
        <v>15</v>
      </c>
      <c r="G335" s="2">
        <v>11000</v>
      </c>
      <c r="H335" s="2">
        <v>62000</v>
      </c>
      <c r="I335" s="2" t="s">
        <v>23</v>
      </c>
      <c r="J335" s="2">
        <v>0</v>
      </c>
      <c r="K335" s="2">
        <v>720</v>
      </c>
      <c r="L335" s="2" t="s">
        <v>31</v>
      </c>
      <c r="M335" s="2" t="s">
        <v>80</v>
      </c>
      <c r="N335" s="2" t="s">
        <v>18</v>
      </c>
      <c r="O335">
        <v>8</v>
      </c>
      <c r="R335" t="e">
        <f t="shared" si="56"/>
        <v>#DIV/0!</v>
      </c>
      <c r="S335" t="str">
        <f t="shared" si="57"/>
        <v>DIVISION ERROR</v>
      </c>
      <c r="U335" t="b">
        <v>0</v>
      </c>
      <c r="W335" t="str">
        <f t="shared" si="58"/>
        <v>ODD</v>
      </c>
      <c r="Y335">
        <f t="shared" si="59"/>
        <v>60</v>
      </c>
      <c r="AB335" t="str">
        <f t="shared" si="60"/>
        <v>Good_user</v>
      </c>
      <c r="AE335" t="b">
        <f t="shared" si="61"/>
        <v>1</v>
      </c>
      <c r="AG335" t="b">
        <f t="shared" si="62"/>
        <v>0</v>
      </c>
      <c r="AI335" t="str">
        <f>IF(AND(Dataset!G335 &gt;5000,Dataset!H335&gt;7000),"ACTIVE_CONSUMER","INACTIVE_CONSUMER")</f>
        <v>ACTIVE_CONSUMER</v>
      </c>
      <c r="AN335" t="str">
        <f t="shared" si="63"/>
        <v>Not_eligible</v>
      </c>
      <c r="AQ335" t="str">
        <f>IF(AND(E335="M",F335="checking",Dataset!G335&gt;2000,Dataset!K335&gt;500),"good_client","bad_client")</f>
        <v>good_client</v>
      </c>
      <c r="AT335" t="s">
        <v>482</v>
      </c>
      <c r="AU335" t="str">
        <f>IF(AND(Dataset!F335="Savings",Dataset!AT335="eligible"),"YES","NO")</f>
        <v>NO</v>
      </c>
      <c r="AW335" s="8"/>
      <c r="AX335" s="12" t="s">
        <v>487</v>
      </c>
      <c r="AY335" s="8" t="s">
        <v>489</v>
      </c>
      <c r="AZ335" s="8"/>
      <c r="BD335" t="str">
        <f t="shared" si="64"/>
        <v>yes</v>
      </c>
    </row>
    <row r="336" spans="1:56" x14ac:dyDescent="0.3">
      <c r="A336">
        <f t="shared" si="55"/>
        <v>335</v>
      </c>
      <c r="B336" s="3" t="s">
        <v>295</v>
      </c>
      <c r="C336" s="3" t="s">
        <v>179</v>
      </c>
      <c r="D336" s="2">
        <v>30</v>
      </c>
      <c r="E336" s="2" t="s">
        <v>21</v>
      </c>
      <c r="F336" s="2" t="s">
        <v>22</v>
      </c>
      <c r="G336" s="2">
        <v>5500</v>
      </c>
      <c r="H336" s="2">
        <v>69000</v>
      </c>
      <c r="I336" s="2" t="s">
        <v>16</v>
      </c>
      <c r="J336" s="2">
        <v>10000</v>
      </c>
      <c r="K336" s="2">
        <v>710</v>
      </c>
      <c r="L336" s="2" t="s">
        <v>17</v>
      </c>
      <c r="M336" s="2" t="s">
        <v>80</v>
      </c>
      <c r="N336" s="2" t="s">
        <v>25</v>
      </c>
      <c r="O336">
        <v>4</v>
      </c>
      <c r="R336">
        <f t="shared" si="56"/>
        <v>6.9</v>
      </c>
      <c r="S336">
        <f t="shared" si="57"/>
        <v>6.9</v>
      </c>
      <c r="U336" t="b">
        <v>1</v>
      </c>
      <c r="W336" t="str">
        <f t="shared" si="58"/>
        <v>EVEN</v>
      </c>
      <c r="Y336">
        <f t="shared" si="59"/>
        <v>120.5</v>
      </c>
      <c r="AB336" t="str">
        <f t="shared" si="60"/>
        <v>Bad_user</v>
      </c>
      <c r="AE336" t="b">
        <f t="shared" si="61"/>
        <v>0</v>
      </c>
      <c r="AG336" t="b">
        <f t="shared" si="62"/>
        <v>0</v>
      </c>
      <c r="AI336" t="str">
        <f>IF(AND(Dataset!G336 &gt;5000,Dataset!H336&gt;7000),"ACTIVE_CONSUMER","INACTIVE_CONSUMER")</f>
        <v>ACTIVE_CONSUMER</v>
      </c>
      <c r="AN336" t="str">
        <f t="shared" si="63"/>
        <v>Not_eligible</v>
      </c>
      <c r="AQ336" t="str">
        <f>IF(AND(E336="M",F336="checking",Dataset!G336&gt;2000,Dataset!K336&gt;500),"good_client","bad_client")</f>
        <v>bad_client</v>
      </c>
      <c r="AT336" t="s">
        <v>482</v>
      </c>
      <c r="AU336" t="str">
        <f>IF(AND(Dataset!F336="Savings",Dataset!AT336="eligible"),"YES","NO")</f>
        <v>NO</v>
      </c>
      <c r="AW336" s="8"/>
      <c r="AX336" s="12" t="s">
        <v>487</v>
      </c>
      <c r="AY336" s="8" t="s">
        <v>490</v>
      </c>
      <c r="AZ336" s="8"/>
      <c r="BD336" t="str">
        <f t="shared" si="64"/>
        <v>yes</v>
      </c>
    </row>
    <row r="337" spans="1:56" x14ac:dyDescent="0.3">
      <c r="A337">
        <f t="shared" si="55"/>
        <v>336</v>
      </c>
      <c r="B337" s="3" t="s">
        <v>296</v>
      </c>
      <c r="C337" s="3" t="s">
        <v>227</v>
      </c>
      <c r="D337" s="2">
        <v>29</v>
      </c>
      <c r="E337" s="2" t="s">
        <v>14</v>
      </c>
      <c r="F337" s="2" t="s">
        <v>15</v>
      </c>
      <c r="G337" s="2">
        <v>7000</v>
      </c>
      <c r="H337" s="2">
        <v>74000</v>
      </c>
      <c r="I337" s="2" t="s">
        <v>23</v>
      </c>
      <c r="J337" s="2">
        <v>0</v>
      </c>
      <c r="K337" s="2">
        <v>680</v>
      </c>
      <c r="L337" s="2" t="s">
        <v>24</v>
      </c>
      <c r="M337" s="2" t="s">
        <v>80</v>
      </c>
      <c r="N337" s="2" t="s">
        <v>18</v>
      </c>
      <c r="O337">
        <v>13</v>
      </c>
      <c r="R337" t="e">
        <f t="shared" si="56"/>
        <v>#DIV/0!</v>
      </c>
      <c r="S337" t="str">
        <f t="shared" si="57"/>
        <v>DIVISION ERROR</v>
      </c>
      <c r="U337" t="b">
        <v>0</v>
      </c>
      <c r="W337" t="str">
        <f t="shared" si="58"/>
        <v>ODD</v>
      </c>
      <c r="Y337">
        <f t="shared" si="59"/>
        <v>286</v>
      </c>
      <c r="AB337" t="str">
        <f t="shared" si="60"/>
        <v>Good_user</v>
      </c>
      <c r="AE337" t="b">
        <f t="shared" si="61"/>
        <v>1</v>
      </c>
      <c r="AG337" t="b">
        <f t="shared" si="62"/>
        <v>0</v>
      </c>
      <c r="AI337" t="str">
        <f>IF(AND(Dataset!G337 &gt;5000,Dataset!H337&gt;7000),"ACTIVE_CONSUMER","INACTIVE_CONSUMER")</f>
        <v>ACTIVE_CONSUMER</v>
      </c>
      <c r="AN337" t="str">
        <f t="shared" si="63"/>
        <v>Not_eligible</v>
      </c>
      <c r="AQ337" t="str">
        <f>IF(AND(E337="M",F337="checking",Dataset!G337&gt;2000,Dataset!K337&gt;500),"good_client","bad_client")</f>
        <v>good_client</v>
      </c>
      <c r="AT337" t="s">
        <v>482</v>
      </c>
      <c r="AU337" t="str">
        <f>IF(AND(Dataset!F337="Savings",Dataset!AT337="eligible"),"YES","NO")</f>
        <v>NO</v>
      </c>
      <c r="AW337" s="8"/>
      <c r="AX337" s="12" t="s">
        <v>487</v>
      </c>
      <c r="AY337" s="8" t="s">
        <v>489</v>
      </c>
      <c r="AZ337" s="8"/>
      <c r="BD337" t="str">
        <f t="shared" si="64"/>
        <v>yes</v>
      </c>
    </row>
    <row r="338" spans="1:56" x14ac:dyDescent="0.3">
      <c r="A338">
        <f t="shared" si="55"/>
        <v>337</v>
      </c>
      <c r="B338" s="3" t="s">
        <v>200</v>
      </c>
      <c r="C338" s="3" t="s">
        <v>227</v>
      </c>
      <c r="D338" s="2">
        <v>34</v>
      </c>
      <c r="E338" s="2" t="s">
        <v>21</v>
      </c>
      <c r="F338" s="2" t="s">
        <v>22</v>
      </c>
      <c r="G338" s="2">
        <v>2000</v>
      </c>
      <c r="H338" s="2">
        <v>50000</v>
      </c>
      <c r="I338" s="2" t="s">
        <v>16</v>
      </c>
      <c r="J338" s="2">
        <v>7000</v>
      </c>
      <c r="K338" s="2">
        <v>720</v>
      </c>
      <c r="L338" s="2" t="s">
        <v>28</v>
      </c>
      <c r="M338" s="2" t="s">
        <v>80</v>
      </c>
      <c r="N338" s="2" t="s">
        <v>25</v>
      </c>
      <c r="O338">
        <v>7</v>
      </c>
      <c r="R338">
        <f t="shared" si="56"/>
        <v>7.1428571428571432</v>
      </c>
      <c r="S338">
        <f t="shared" si="57"/>
        <v>7.1428571428571432</v>
      </c>
      <c r="U338" t="b">
        <v>1</v>
      </c>
      <c r="W338" t="str">
        <f t="shared" si="58"/>
        <v>EVEN</v>
      </c>
      <c r="Y338">
        <f t="shared" si="59"/>
        <v>60</v>
      </c>
      <c r="AB338" t="str">
        <f t="shared" si="60"/>
        <v>Bad_user</v>
      </c>
      <c r="AE338" t="b">
        <f t="shared" si="61"/>
        <v>0</v>
      </c>
      <c r="AG338" t="b">
        <f t="shared" si="62"/>
        <v>0</v>
      </c>
      <c r="AI338" t="str">
        <f>IF(AND(Dataset!G338 &gt;5000,Dataset!H338&gt;7000),"ACTIVE_CONSUMER","INACTIVE_CONSUMER")</f>
        <v>INACTIVE_CONSUMER</v>
      </c>
      <c r="AN338" t="str">
        <f t="shared" si="63"/>
        <v>Not_eligible</v>
      </c>
      <c r="AQ338" t="str">
        <f>IF(AND(E338="M",F338="checking",Dataset!G338&gt;2000,Dataset!K338&gt;500),"good_client","bad_client")</f>
        <v>bad_client</v>
      </c>
      <c r="AT338" t="s">
        <v>482</v>
      </c>
      <c r="AU338" t="str">
        <f>IF(AND(Dataset!F338="Savings",Dataset!AT338="eligible"),"YES","NO")</f>
        <v>NO</v>
      </c>
      <c r="AW338" s="8"/>
      <c r="AX338" s="12" t="s">
        <v>487</v>
      </c>
      <c r="AY338" s="8" t="s">
        <v>490</v>
      </c>
      <c r="AZ338" s="8"/>
      <c r="BD338" t="str">
        <f t="shared" si="64"/>
        <v>yes</v>
      </c>
    </row>
    <row r="339" spans="1:56" x14ac:dyDescent="0.3">
      <c r="A339">
        <f t="shared" si="55"/>
        <v>338</v>
      </c>
      <c r="B339" s="3" t="s">
        <v>146</v>
      </c>
      <c r="C339" s="3" t="s">
        <v>222</v>
      </c>
      <c r="D339" s="2">
        <v>37</v>
      </c>
      <c r="E339" s="2" t="s">
        <v>14</v>
      </c>
      <c r="F339" s="2" t="s">
        <v>15</v>
      </c>
      <c r="G339" s="2">
        <v>6000</v>
      </c>
      <c r="H339" s="2">
        <v>55000</v>
      </c>
      <c r="I339" s="2" t="s">
        <v>23</v>
      </c>
      <c r="J339" s="2">
        <v>0</v>
      </c>
      <c r="K339" s="2">
        <v>690</v>
      </c>
      <c r="L339" s="2" t="s">
        <v>31</v>
      </c>
      <c r="M339" s="2" t="s">
        <v>80</v>
      </c>
      <c r="N339" s="2" t="s">
        <v>18</v>
      </c>
      <c r="O339">
        <v>4</v>
      </c>
      <c r="R339" t="e">
        <f t="shared" si="56"/>
        <v>#DIV/0!</v>
      </c>
      <c r="S339" t="str">
        <f t="shared" si="57"/>
        <v>DIVISION ERROR</v>
      </c>
      <c r="U339" t="b">
        <v>0</v>
      </c>
      <c r="W339" t="str">
        <f t="shared" si="58"/>
        <v>ODD</v>
      </c>
      <c r="Y339">
        <f t="shared" si="59"/>
        <v>223.5</v>
      </c>
      <c r="AB339" t="str">
        <f t="shared" si="60"/>
        <v>Good_user</v>
      </c>
      <c r="AE339" t="b">
        <f t="shared" si="61"/>
        <v>1</v>
      </c>
      <c r="AG339" t="b">
        <f t="shared" si="62"/>
        <v>0</v>
      </c>
      <c r="AI339" t="str">
        <f>IF(AND(Dataset!G339 &gt;5000,Dataset!H339&gt;7000),"ACTIVE_CONSUMER","INACTIVE_CONSUMER")</f>
        <v>ACTIVE_CONSUMER</v>
      </c>
      <c r="AN339" t="str">
        <f t="shared" si="63"/>
        <v>Not_eligible</v>
      </c>
      <c r="AQ339" t="str">
        <f>IF(AND(E339="M",F339="checking",Dataset!G339&gt;2000,Dataset!K339&gt;500),"good_client","bad_client")</f>
        <v>good_client</v>
      </c>
      <c r="AT339" t="s">
        <v>482</v>
      </c>
      <c r="AU339" t="str">
        <f>IF(AND(Dataset!F339="Savings",Dataset!AT339="eligible"),"YES","NO")</f>
        <v>NO</v>
      </c>
      <c r="AW339" s="8"/>
      <c r="AX339" s="12" t="s">
        <v>487</v>
      </c>
      <c r="AY339" s="8" t="s">
        <v>489</v>
      </c>
      <c r="AZ339" s="8"/>
      <c r="BD339" t="str">
        <f t="shared" si="64"/>
        <v>yes</v>
      </c>
    </row>
    <row r="340" spans="1:56" x14ac:dyDescent="0.3">
      <c r="A340">
        <f t="shared" si="55"/>
        <v>339</v>
      </c>
      <c r="B340" s="3" t="s">
        <v>297</v>
      </c>
      <c r="C340" s="3" t="s">
        <v>151</v>
      </c>
      <c r="D340" s="2">
        <v>45</v>
      </c>
      <c r="E340" s="2" t="s">
        <v>21</v>
      </c>
      <c r="F340" s="2" t="s">
        <v>22</v>
      </c>
      <c r="G340" s="2">
        <v>3500</v>
      </c>
      <c r="H340" s="2">
        <v>62000</v>
      </c>
      <c r="I340" s="2" t="s">
        <v>16</v>
      </c>
      <c r="J340" s="2">
        <v>13000</v>
      </c>
      <c r="K340" s="2">
        <v>680</v>
      </c>
      <c r="L340" s="2" t="s">
        <v>17</v>
      </c>
      <c r="M340" s="2" t="s">
        <v>82</v>
      </c>
      <c r="N340" s="2" t="s">
        <v>25</v>
      </c>
      <c r="O340">
        <v>14</v>
      </c>
      <c r="R340">
        <f t="shared" si="56"/>
        <v>4.7692307692307692</v>
      </c>
      <c r="S340">
        <f t="shared" si="57"/>
        <v>4.7692307692307692</v>
      </c>
      <c r="U340" t="b">
        <v>1</v>
      </c>
      <c r="W340" t="str">
        <f t="shared" si="58"/>
        <v>ODD</v>
      </c>
      <c r="Y340">
        <f t="shared" si="59"/>
        <v>286</v>
      </c>
      <c r="AB340" t="str">
        <f t="shared" si="60"/>
        <v>Bad_user</v>
      </c>
      <c r="AE340" t="b">
        <f t="shared" si="61"/>
        <v>0</v>
      </c>
      <c r="AG340" t="b">
        <f t="shared" si="62"/>
        <v>0</v>
      </c>
      <c r="AI340" t="str">
        <f>IF(AND(Dataset!G340 &gt;5000,Dataset!H340&gt;7000),"ACTIVE_CONSUMER","INACTIVE_CONSUMER")</f>
        <v>INACTIVE_CONSUMER</v>
      </c>
      <c r="AN340" t="str">
        <f t="shared" si="63"/>
        <v>Not_eligible</v>
      </c>
      <c r="AQ340" t="str">
        <f>IF(AND(E340="M",F340="checking",Dataset!G340&gt;2000,Dataset!K340&gt;500),"good_client","bad_client")</f>
        <v>bad_client</v>
      </c>
      <c r="AT340" t="s">
        <v>482</v>
      </c>
      <c r="AU340" t="str">
        <f>IF(AND(Dataset!F340="Savings",Dataset!AT340="eligible"),"YES","NO")</f>
        <v>NO</v>
      </c>
      <c r="AW340" s="8"/>
      <c r="AX340" s="12" t="s">
        <v>486</v>
      </c>
      <c r="AY340" s="8" t="s">
        <v>490</v>
      </c>
      <c r="AZ340" s="8"/>
      <c r="BD340" t="str">
        <f t="shared" si="64"/>
        <v>yes</v>
      </c>
    </row>
    <row r="341" spans="1:56" x14ac:dyDescent="0.3">
      <c r="A341">
        <f t="shared" si="55"/>
        <v>340</v>
      </c>
      <c r="B341" s="3" t="s">
        <v>130</v>
      </c>
      <c r="C341" s="3" t="s">
        <v>27</v>
      </c>
      <c r="D341" s="2">
        <v>40</v>
      </c>
      <c r="E341" s="2" t="s">
        <v>14</v>
      </c>
      <c r="F341" s="2" t="s">
        <v>15</v>
      </c>
      <c r="G341" s="2">
        <v>4000</v>
      </c>
      <c r="H341" s="2">
        <v>48000</v>
      </c>
      <c r="I341" s="2" t="s">
        <v>23</v>
      </c>
      <c r="J341" s="2">
        <v>0</v>
      </c>
      <c r="K341" s="2">
        <v>710</v>
      </c>
      <c r="L341" s="2" t="s">
        <v>24</v>
      </c>
      <c r="M341" s="2" t="s">
        <v>82</v>
      </c>
      <c r="N341" s="2" t="s">
        <v>18</v>
      </c>
      <c r="O341">
        <v>5</v>
      </c>
      <c r="R341" t="e">
        <f t="shared" si="56"/>
        <v>#DIV/0!</v>
      </c>
      <c r="S341" t="str">
        <f t="shared" si="57"/>
        <v>DIVISION ERROR</v>
      </c>
      <c r="U341" t="b">
        <v>0</v>
      </c>
      <c r="W341" t="str">
        <f t="shared" si="58"/>
        <v>EVEN</v>
      </c>
      <c r="Y341">
        <f t="shared" si="59"/>
        <v>120.5</v>
      </c>
      <c r="AB341" t="str">
        <f t="shared" si="60"/>
        <v>Good_user</v>
      </c>
      <c r="AE341" t="b">
        <f t="shared" si="61"/>
        <v>1</v>
      </c>
      <c r="AG341" t="b">
        <f t="shared" si="62"/>
        <v>0</v>
      </c>
      <c r="AI341" t="str">
        <f>IF(AND(Dataset!G341 &gt;5000,Dataset!H341&gt;7000),"ACTIVE_CONSUMER","INACTIVE_CONSUMER")</f>
        <v>INACTIVE_CONSUMER</v>
      </c>
      <c r="AN341" t="str">
        <f t="shared" si="63"/>
        <v>Not_eligible</v>
      </c>
      <c r="AQ341" t="str">
        <f>IF(AND(E341="M",F341="checking",Dataset!G341&gt;2000,Dataset!K341&gt;500),"good_client","bad_client")</f>
        <v>good_client</v>
      </c>
      <c r="AT341" t="s">
        <v>482</v>
      </c>
      <c r="AU341" t="str">
        <f>IF(AND(Dataset!F341="Savings",Dataset!AT341="eligible"),"YES","NO")</f>
        <v>NO</v>
      </c>
      <c r="AW341" s="8"/>
      <c r="AX341" s="12" t="s">
        <v>486</v>
      </c>
      <c r="AY341" s="8" t="s">
        <v>489</v>
      </c>
      <c r="AZ341" s="8"/>
      <c r="BD341" t="str">
        <f t="shared" si="64"/>
        <v>yes</v>
      </c>
    </row>
    <row r="342" spans="1:56" x14ac:dyDescent="0.3">
      <c r="A342">
        <f t="shared" si="55"/>
        <v>341</v>
      </c>
      <c r="B342" s="3" t="s">
        <v>101</v>
      </c>
      <c r="C342" s="3" t="s">
        <v>223</v>
      </c>
      <c r="D342" s="2">
        <v>27</v>
      </c>
      <c r="E342" s="2" t="s">
        <v>21</v>
      </c>
      <c r="F342" s="2" t="s">
        <v>15</v>
      </c>
      <c r="G342" s="2">
        <v>5500</v>
      </c>
      <c r="H342" s="2">
        <v>59000</v>
      </c>
      <c r="I342" s="2" t="s">
        <v>16</v>
      </c>
      <c r="J342" s="2">
        <v>8000</v>
      </c>
      <c r="K342" s="2">
        <v>700</v>
      </c>
      <c r="L342" s="2" t="s">
        <v>28</v>
      </c>
      <c r="M342" s="2" t="s">
        <v>82</v>
      </c>
      <c r="N342" s="2" t="s">
        <v>25</v>
      </c>
      <c r="O342">
        <v>10</v>
      </c>
      <c r="R342">
        <f t="shared" si="56"/>
        <v>7.375</v>
      </c>
      <c r="S342">
        <f t="shared" si="57"/>
        <v>7.375</v>
      </c>
      <c r="U342" t="b">
        <v>1</v>
      </c>
      <c r="W342" t="str">
        <f t="shared" si="58"/>
        <v>ODD</v>
      </c>
      <c r="Y342">
        <f t="shared" si="59"/>
        <v>170</v>
      </c>
      <c r="AB342" t="str">
        <f t="shared" si="60"/>
        <v>Bad_user</v>
      </c>
      <c r="AE342" t="b">
        <f t="shared" si="61"/>
        <v>0</v>
      </c>
      <c r="AG342" t="b">
        <f t="shared" si="62"/>
        <v>0</v>
      </c>
      <c r="AI342" t="str">
        <f>IF(AND(Dataset!G342 &gt;5000,Dataset!H342&gt;7000),"ACTIVE_CONSUMER","INACTIVE_CONSUMER")</f>
        <v>ACTIVE_CONSUMER</v>
      </c>
      <c r="AN342" t="str">
        <f t="shared" si="63"/>
        <v>Not_eligible</v>
      </c>
      <c r="AQ342" t="str">
        <f>IF(AND(E342="M",F342="checking",Dataset!G342&gt;2000,Dataset!K342&gt;500),"good_client","bad_client")</f>
        <v>bad_client</v>
      </c>
      <c r="AT342" t="s">
        <v>482</v>
      </c>
      <c r="AU342" t="str">
        <f>IF(AND(Dataset!F342="Savings",Dataset!AT342="eligible"),"YES","NO")</f>
        <v>NO</v>
      </c>
      <c r="AW342" s="8"/>
      <c r="AX342" s="12" t="s">
        <v>486</v>
      </c>
      <c r="AY342" s="8" t="s">
        <v>490</v>
      </c>
      <c r="AZ342" s="8"/>
      <c r="BD342" t="str">
        <f t="shared" si="64"/>
        <v>yes</v>
      </c>
    </row>
    <row r="343" spans="1:56" x14ac:dyDescent="0.3">
      <c r="A343">
        <f t="shared" si="55"/>
        <v>342</v>
      </c>
      <c r="B343" s="3" t="s">
        <v>202</v>
      </c>
      <c r="C343" s="3" t="s">
        <v>181</v>
      </c>
      <c r="D343" s="2">
        <v>31</v>
      </c>
      <c r="E343" s="2" t="s">
        <v>14</v>
      </c>
      <c r="F343" s="2" t="s">
        <v>22</v>
      </c>
      <c r="G343" s="2">
        <v>9000</v>
      </c>
      <c r="H343" s="2">
        <v>73000</v>
      </c>
      <c r="I343" s="2" t="s">
        <v>23</v>
      </c>
      <c r="J343" s="2">
        <v>0</v>
      </c>
      <c r="K343" s="2">
        <v>720</v>
      </c>
      <c r="L343" s="2" t="s">
        <v>31</v>
      </c>
      <c r="M343" s="2" t="s">
        <v>82</v>
      </c>
      <c r="N343" s="2" t="s">
        <v>18</v>
      </c>
      <c r="O343">
        <v>10</v>
      </c>
      <c r="R343" t="e">
        <f t="shared" si="56"/>
        <v>#DIV/0!</v>
      </c>
      <c r="S343" t="str">
        <f t="shared" si="57"/>
        <v>DIVISION ERROR</v>
      </c>
      <c r="U343" t="b">
        <v>0</v>
      </c>
      <c r="W343" t="str">
        <f t="shared" si="58"/>
        <v>ODD</v>
      </c>
      <c r="Y343">
        <f t="shared" si="59"/>
        <v>60</v>
      </c>
      <c r="AB343" t="str">
        <f t="shared" si="60"/>
        <v>Good_user</v>
      </c>
      <c r="AE343" t="b">
        <f t="shared" si="61"/>
        <v>1</v>
      </c>
      <c r="AG343" t="b">
        <f t="shared" si="62"/>
        <v>0</v>
      </c>
      <c r="AI343" t="str">
        <f>IF(AND(Dataset!G343 &gt;5000,Dataset!H343&gt;7000),"ACTIVE_CONSUMER","INACTIVE_CONSUMER")</f>
        <v>ACTIVE_CONSUMER</v>
      </c>
      <c r="AN343" t="str">
        <f t="shared" si="63"/>
        <v>Not_eligible</v>
      </c>
      <c r="AQ343" t="str">
        <f>IF(AND(E343="M",F343="checking",Dataset!G343&gt;2000,Dataset!K343&gt;500),"good_client","bad_client")</f>
        <v>bad_client</v>
      </c>
      <c r="AT343" t="s">
        <v>482</v>
      </c>
      <c r="AU343" t="str">
        <f>IF(AND(Dataset!F343="Savings",Dataset!AT343="eligible"),"YES","NO")</f>
        <v>NO</v>
      </c>
      <c r="AW343" s="8"/>
      <c r="AX343" s="12" t="s">
        <v>486</v>
      </c>
      <c r="AY343" s="8" t="s">
        <v>489</v>
      </c>
      <c r="AZ343" s="8"/>
      <c r="BD343" t="str">
        <f t="shared" si="64"/>
        <v>yes</v>
      </c>
    </row>
    <row r="344" spans="1:56" x14ac:dyDescent="0.3">
      <c r="A344">
        <f t="shared" si="55"/>
        <v>343</v>
      </c>
      <c r="B344" s="3" t="s">
        <v>118</v>
      </c>
      <c r="C344" s="3" t="s">
        <v>165</v>
      </c>
      <c r="D344" s="2">
        <v>53</v>
      </c>
      <c r="E344" s="2" t="s">
        <v>21</v>
      </c>
      <c r="F344" s="2" t="s">
        <v>15</v>
      </c>
      <c r="G344" s="2">
        <v>4000</v>
      </c>
      <c r="H344" s="2">
        <v>65000</v>
      </c>
      <c r="I344" s="2" t="s">
        <v>16</v>
      </c>
      <c r="J344" s="2">
        <v>5000</v>
      </c>
      <c r="K344" s="2">
        <v>680</v>
      </c>
      <c r="L344" s="2" t="s">
        <v>17</v>
      </c>
      <c r="M344" s="2" t="s">
        <v>82</v>
      </c>
      <c r="N344" s="2" t="s">
        <v>25</v>
      </c>
      <c r="O344">
        <v>7</v>
      </c>
      <c r="R344">
        <f t="shared" si="56"/>
        <v>13</v>
      </c>
      <c r="S344">
        <f t="shared" si="57"/>
        <v>13</v>
      </c>
      <c r="U344" t="b">
        <v>1</v>
      </c>
      <c r="W344" t="str">
        <f t="shared" si="58"/>
        <v>ODD</v>
      </c>
      <c r="Y344">
        <f t="shared" si="59"/>
        <v>286</v>
      </c>
      <c r="AB344" t="str">
        <f t="shared" si="60"/>
        <v>Bad_user</v>
      </c>
      <c r="AE344" t="b">
        <f t="shared" si="61"/>
        <v>0</v>
      </c>
      <c r="AG344" t="b">
        <f t="shared" si="62"/>
        <v>0</v>
      </c>
      <c r="AI344" t="str">
        <f>IF(AND(Dataset!G344 &gt;5000,Dataset!H344&gt;7000),"ACTIVE_CONSUMER","INACTIVE_CONSUMER")</f>
        <v>INACTIVE_CONSUMER</v>
      </c>
      <c r="AN344" t="str">
        <f t="shared" si="63"/>
        <v>Not_eligible</v>
      </c>
      <c r="AQ344" t="str">
        <f>IF(AND(E344="M",F344="checking",Dataset!G344&gt;2000,Dataset!K344&gt;500),"good_client","bad_client")</f>
        <v>bad_client</v>
      </c>
      <c r="AT344" t="s">
        <v>482</v>
      </c>
      <c r="AU344" t="str">
        <f>IF(AND(Dataset!F344="Savings",Dataset!AT344="eligible"),"YES","NO")</f>
        <v>NO</v>
      </c>
      <c r="AW344" s="8"/>
      <c r="AX344" s="12" t="s">
        <v>486</v>
      </c>
      <c r="AY344" s="8" t="s">
        <v>490</v>
      </c>
      <c r="AZ344" s="8"/>
      <c r="BD344" t="str">
        <f t="shared" si="64"/>
        <v>yes</v>
      </c>
    </row>
    <row r="345" spans="1:56" x14ac:dyDescent="0.3">
      <c r="A345">
        <f t="shared" si="55"/>
        <v>344</v>
      </c>
      <c r="B345" s="3" t="s">
        <v>122</v>
      </c>
      <c r="C345" s="3" t="s">
        <v>41</v>
      </c>
      <c r="D345" s="2">
        <v>28</v>
      </c>
      <c r="E345" s="2" t="s">
        <v>14</v>
      </c>
      <c r="F345" s="2" t="s">
        <v>22</v>
      </c>
      <c r="G345" s="2">
        <v>8000</v>
      </c>
      <c r="H345" s="2">
        <v>60000</v>
      </c>
      <c r="I345" s="2" t="s">
        <v>23</v>
      </c>
      <c r="J345" s="2">
        <v>0</v>
      </c>
      <c r="K345" s="2">
        <v>710</v>
      </c>
      <c r="L345" s="2" t="s">
        <v>24</v>
      </c>
      <c r="M345" s="2" t="s">
        <v>82</v>
      </c>
      <c r="N345" s="2" t="s">
        <v>18</v>
      </c>
      <c r="O345">
        <v>5</v>
      </c>
      <c r="R345" t="e">
        <f t="shared" si="56"/>
        <v>#DIV/0!</v>
      </c>
      <c r="S345" t="str">
        <f t="shared" si="57"/>
        <v>DIVISION ERROR</v>
      </c>
      <c r="U345" t="b">
        <v>0</v>
      </c>
      <c r="W345" t="str">
        <f t="shared" si="58"/>
        <v>EVEN</v>
      </c>
      <c r="Y345">
        <f t="shared" si="59"/>
        <v>120.5</v>
      </c>
      <c r="AB345" t="str">
        <f t="shared" si="60"/>
        <v>Good_user</v>
      </c>
      <c r="AE345" t="b">
        <f t="shared" si="61"/>
        <v>1</v>
      </c>
      <c r="AG345" t="b">
        <f t="shared" si="62"/>
        <v>0</v>
      </c>
      <c r="AI345" t="str">
        <f>IF(AND(Dataset!G345 &gt;5000,Dataset!H345&gt;7000),"ACTIVE_CONSUMER","INACTIVE_CONSUMER")</f>
        <v>ACTIVE_CONSUMER</v>
      </c>
      <c r="AN345" t="str">
        <f t="shared" si="63"/>
        <v>Not_eligible</v>
      </c>
      <c r="AQ345" t="str">
        <f>IF(AND(E345="M",F345="checking",Dataset!G345&gt;2000,Dataset!K345&gt;500),"good_client","bad_client")</f>
        <v>bad_client</v>
      </c>
      <c r="AT345" t="s">
        <v>482</v>
      </c>
      <c r="AU345" t="str">
        <f>IF(AND(Dataset!F345="Savings",Dataset!AT345="eligible"),"YES","NO")</f>
        <v>NO</v>
      </c>
      <c r="AW345" s="8"/>
      <c r="AX345" s="12" t="s">
        <v>486</v>
      </c>
      <c r="AY345" s="8" t="s">
        <v>489</v>
      </c>
      <c r="AZ345" s="8"/>
      <c r="BD345" t="str">
        <f t="shared" si="64"/>
        <v>yes</v>
      </c>
    </row>
    <row r="346" spans="1:56" x14ac:dyDescent="0.3">
      <c r="A346">
        <f t="shared" si="55"/>
        <v>345</v>
      </c>
      <c r="B346" s="3" t="s">
        <v>36</v>
      </c>
      <c r="C346" s="3" t="s">
        <v>298</v>
      </c>
      <c r="D346" s="2">
        <v>46</v>
      </c>
      <c r="E346" s="2" t="s">
        <v>21</v>
      </c>
      <c r="F346" s="2" t="s">
        <v>15</v>
      </c>
      <c r="G346" s="2">
        <v>2500</v>
      </c>
      <c r="H346" s="2">
        <v>53000</v>
      </c>
      <c r="I346" s="2" t="s">
        <v>16</v>
      </c>
      <c r="J346" s="2">
        <v>8000</v>
      </c>
      <c r="K346" s="2">
        <v>690</v>
      </c>
      <c r="L346" s="2" t="s">
        <v>28</v>
      </c>
      <c r="M346" s="2" t="s">
        <v>81</v>
      </c>
      <c r="N346" s="2" t="s">
        <v>25</v>
      </c>
      <c r="O346">
        <v>15</v>
      </c>
      <c r="R346">
        <f t="shared" si="56"/>
        <v>6.625</v>
      </c>
      <c r="S346">
        <f t="shared" si="57"/>
        <v>6.625</v>
      </c>
      <c r="U346" t="b">
        <v>1</v>
      </c>
      <c r="W346" t="str">
        <f t="shared" si="58"/>
        <v>EVEN</v>
      </c>
      <c r="Y346">
        <f t="shared" si="59"/>
        <v>223.5</v>
      </c>
      <c r="AB346" t="str">
        <f t="shared" si="60"/>
        <v>Bad_user</v>
      </c>
      <c r="AE346" t="b">
        <f t="shared" si="61"/>
        <v>0</v>
      </c>
      <c r="AG346" t="b">
        <f t="shared" si="62"/>
        <v>0</v>
      </c>
      <c r="AI346" t="str">
        <f>IF(AND(Dataset!G346 &gt;5000,Dataset!H346&gt;7000),"ACTIVE_CONSUMER","INACTIVE_CONSUMER")</f>
        <v>INACTIVE_CONSUMER</v>
      </c>
      <c r="AN346" t="str">
        <f t="shared" si="63"/>
        <v>Not_eligible</v>
      </c>
      <c r="AQ346" t="str">
        <f>IF(AND(E346="M",F346="checking",Dataset!G346&gt;2000,Dataset!K346&gt;500),"good_client","bad_client")</f>
        <v>bad_client</v>
      </c>
      <c r="AT346" t="s">
        <v>482</v>
      </c>
      <c r="AU346" t="str">
        <f>IF(AND(Dataset!F346="Savings",Dataset!AT346="eligible"),"YES","NO")</f>
        <v>NO</v>
      </c>
      <c r="AW346" s="8"/>
      <c r="AX346" s="12" t="s">
        <v>487</v>
      </c>
      <c r="AY346" s="8" t="s">
        <v>490</v>
      </c>
      <c r="AZ346" s="8"/>
      <c r="BD346" t="str">
        <f t="shared" si="64"/>
        <v>yes</v>
      </c>
    </row>
    <row r="347" spans="1:56" x14ac:dyDescent="0.3">
      <c r="A347">
        <f t="shared" si="55"/>
        <v>346</v>
      </c>
      <c r="B347" s="3" t="s">
        <v>273</v>
      </c>
      <c r="C347" s="3" t="s">
        <v>212</v>
      </c>
      <c r="D347" s="2">
        <v>39</v>
      </c>
      <c r="E347" s="2" t="s">
        <v>14</v>
      </c>
      <c r="F347" s="2" t="s">
        <v>22</v>
      </c>
      <c r="G347" s="2">
        <v>12000</v>
      </c>
      <c r="H347" s="2">
        <v>68000</v>
      </c>
      <c r="I347" s="2" t="s">
        <v>23</v>
      </c>
      <c r="J347" s="2">
        <v>0</v>
      </c>
      <c r="K347" s="2">
        <v>720</v>
      </c>
      <c r="L347" s="2" t="s">
        <v>31</v>
      </c>
      <c r="M347" s="2" t="s">
        <v>81</v>
      </c>
      <c r="N347" s="2" t="s">
        <v>18</v>
      </c>
      <c r="O347">
        <v>4</v>
      </c>
      <c r="R347" t="e">
        <f t="shared" si="56"/>
        <v>#DIV/0!</v>
      </c>
      <c r="S347" t="str">
        <f t="shared" si="57"/>
        <v>DIVISION ERROR</v>
      </c>
      <c r="U347" t="b">
        <v>0</v>
      </c>
      <c r="W347" t="str">
        <f t="shared" si="58"/>
        <v>ODD</v>
      </c>
      <c r="Y347">
        <f t="shared" si="59"/>
        <v>60</v>
      </c>
      <c r="AB347" t="str">
        <f t="shared" si="60"/>
        <v>Good_user</v>
      </c>
      <c r="AE347" t="b">
        <f t="shared" si="61"/>
        <v>1</v>
      </c>
      <c r="AG347" t="b">
        <f t="shared" si="62"/>
        <v>0</v>
      </c>
      <c r="AI347" t="str">
        <f>IF(AND(Dataset!G347 &gt;5000,Dataset!H347&gt;7000),"ACTIVE_CONSUMER","INACTIVE_CONSUMER")</f>
        <v>ACTIVE_CONSUMER</v>
      </c>
      <c r="AN347" t="str">
        <f t="shared" si="63"/>
        <v>Not_eligible</v>
      </c>
      <c r="AQ347" t="str">
        <f>IF(AND(E347="M",F347="checking",Dataset!G347&gt;2000,Dataset!K347&gt;500),"good_client","bad_client")</f>
        <v>bad_client</v>
      </c>
      <c r="AT347" t="s">
        <v>482</v>
      </c>
      <c r="AU347" t="str">
        <f>IF(AND(Dataset!F347="Savings",Dataset!AT347="eligible"),"YES","NO")</f>
        <v>NO</v>
      </c>
      <c r="AW347" s="8"/>
      <c r="AX347" s="12" t="s">
        <v>487</v>
      </c>
      <c r="AY347" s="8" t="s">
        <v>489</v>
      </c>
      <c r="AZ347" s="8"/>
      <c r="BD347" t="str">
        <f t="shared" si="64"/>
        <v>yes</v>
      </c>
    </row>
    <row r="348" spans="1:56" x14ac:dyDescent="0.3">
      <c r="A348">
        <f t="shared" si="55"/>
        <v>347</v>
      </c>
      <c r="B348" s="3" t="s">
        <v>186</v>
      </c>
      <c r="C348" s="3" t="s">
        <v>63</v>
      </c>
      <c r="D348" s="2">
        <v>27</v>
      </c>
      <c r="E348" s="2" t="s">
        <v>21</v>
      </c>
      <c r="F348" s="2" t="s">
        <v>15</v>
      </c>
      <c r="G348" s="2">
        <v>7000</v>
      </c>
      <c r="H348" s="2">
        <v>71000</v>
      </c>
      <c r="I348" s="2" t="s">
        <v>16</v>
      </c>
      <c r="J348" s="2">
        <v>12000</v>
      </c>
      <c r="K348" s="2">
        <v>680</v>
      </c>
      <c r="L348" s="2" t="s">
        <v>17</v>
      </c>
      <c r="M348" s="2" t="s">
        <v>81</v>
      </c>
      <c r="N348" s="2" t="s">
        <v>25</v>
      </c>
      <c r="O348">
        <v>15</v>
      </c>
      <c r="R348">
        <f t="shared" si="56"/>
        <v>5.916666666666667</v>
      </c>
      <c r="S348">
        <f t="shared" si="57"/>
        <v>5.916666666666667</v>
      </c>
      <c r="U348" t="b">
        <v>1</v>
      </c>
      <c r="W348" t="str">
        <f t="shared" si="58"/>
        <v>ODD</v>
      </c>
      <c r="Y348">
        <f t="shared" si="59"/>
        <v>286</v>
      </c>
      <c r="AB348" t="str">
        <f t="shared" si="60"/>
        <v>Bad_user</v>
      </c>
      <c r="AE348" t="b">
        <f t="shared" si="61"/>
        <v>0</v>
      </c>
      <c r="AG348" t="b">
        <f t="shared" si="62"/>
        <v>0</v>
      </c>
      <c r="AI348" t="str">
        <f>IF(AND(Dataset!G348 &gt;5000,Dataset!H348&gt;7000),"ACTIVE_CONSUMER","INACTIVE_CONSUMER")</f>
        <v>ACTIVE_CONSUMER</v>
      </c>
      <c r="AN348" t="str">
        <f t="shared" si="63"/>
        <v>Not_eligible</v>
      </c>
      <c r="AQ348" t="str">
        <f>IF(AND(E348="M",F348="checking",Dataset!G348&gt;2000,Dataset!K348&gt;500),"good_client","bad_client")</f>
        <v>bad_client</v>
      </c>
      <c r="AT348" t="s">
        <v>482</v>
      </c>
      <c r="AU348" t="str">
        <f>IF(AND(Dataset!F348="Savings",Dataset!AT348="eligible"),"YES","NO")</f>
        <v>NO</v>
      </c>
      <c r="AW348" s="8"/>
      <c r="AX348" s="12" t="s">
        <v>487</v>
      </c>
      <c r="AY348" s="8" t="s">
        <v>490</v>
      </c>
      <c r="AZ348" s="8"/>
      <c r="BD348" t="str">
        <f t="shared" si="64"/>
        <v>yes</v>
      </c>
    </row>
    <row r="349" spans="1:56" x14ac:dyDescent="0.3">
      <c r="A349">
        <f t="shared" si="55"/>
        <v>348</v>
      </c>
      <c r="B349" s="3" t="s">
        <v>299</v>
      </c>
      <c r="C349" s="3" t="s">
        <v>151</v>
      </c>
      <c r="D349" s="2">
        <v>34</v>
      </c>
      <c r="E349" s="2" t="s">
        <v>14</v>
      </c>
      <c r="F349" s="2" t="s">
        <v>22</v>
      </c>
      <c r="G349" s="2">
        <v>5000</v>
      </c>
      <c r="H349" s="2">
        <v>56000</v>
      </c>
      <c r="I349" s="2" t="s">
        <v>23</v>
      </c>
      <c r="J349" s="2">
        <v>0</v>
      </c>
      <c r="K349" s="2">
        <v>700</v>
      </c>
      <c r="L349" s="2" t="s">
        <v>24</v>
      </c>
      <c r="M349" s="2" t="s">
        <v>81</v>
      </c>
      <c r="N349" s="2" t="s">
        <v>18</v>
      </c>
      <c r="O349">
        <v>3</v>
      </c>
      <c r="R349" t="e">
        <f t="shared" si="56"/>
        <v>#DIV/0!</v>
      </c>
      <c r="S349" t="str">
        <f t="shared" si="57"/>
        <v>DIVISION ERROR</v>
      </c>
      <c r="U349" t="b">
        <v>0</v>
      </c>
      <c r="W349" t="str">
        <f t="shared" si="58"/>
        <v>EVEN</v>
      </c>
      <c r="Y349">
        <f t="shared" si="59"/>
        <v>170</v>
      </c>
      <c r="AB349" t="str">
        <f t="shared" si="60"/>
        <v>Good_user</v>
      </c>
      <c r="AE349" t="b">
        <f t="shared" si="61"/>
        <v>1</v>
      </c>
      <c r="AG349" t="b">
        <f t="shared" si="62"/>
        <v>0</v>
      </c>
      <c r="AI349" t="str">
        <f>IF(AND(Dataset!G349 &gt;5000,Dataset!H349&gt;7000),"ACTIVE_CONSUMER","INACTIVE_CONSUMER")</f>
        <v>INACTIVE_CONSUMER</v>
      </c>
      <c r="AN349" t="str">
        <f t="shared" si="63"/>
        <v>Not_eligible</v>
      </c>
      <c r="AQ349" t="str">
        <f>IF(AND(E349="M",F349="checking",Dataset!G349&gt;2000,Dataset!K349&gt;500),"good_client","bad_client")</f>
        <v>bad_client</v>
      </c>
      <c r="AT349" t="s">
        <v>482</v>
      </c>
      <c r="AU349" t="str">
        <f>IF(AND(Dataset!F349="Savings",Dataset!AT349="eligible"),"YES","NO")</f>
        <v>NO</v>
      </c>
      <c r="AW349" s="8"/>
      <c r="AX349" s="12" t="s">
        <v>487</v>
      </c>
      <c r="AY349" s="8" t="s">
        <v>489</v>
      </c>
      <c r="AZ349" s="8"/>
      <c r="BD349" t="str">
        <f t="shared" si="64"/>
        <v>yes</v>
      </c>
    </row>
    <row r="350" spans="1:56" x14ac:dyDescent="0.3">
      <c r="A350">
        <f t="shared" si="55"/>
        <v>349</v>
      </c>
      <c r="B350" s="3" t="s">
        <v>300</v>
      </c>
      <c r="C350" s="3" t="s">
        <v>177</v>
      </c>
      <c r="D350" s="2">
        <v>32</v>
      </c>
      <c r="E350" s="2" t="s">
        <v>21</v>
      </c>
      <c r="F350" s="2" t="s">
        <v>15</v>
      </c>
      <c r="G350" s="2">
        <v>1500</v>
      </c>
      <c r="H350" s="2">
        <v>45000</v>
      </c>
      <c r="I350" s="2" t="s">
        <v>16</v>
      </c>
      <c r="J350" s="2">
        <v>0</v>
      </c>
      <c r="K350" s="2">
        <v>670</v>
      </c>
      <c r="L350" s="2" t="s">
        <v>28</v>
      </c>
      <c r="M350" s="2" t="s">
        <v>81</v>
      </c>
      <c r="N350" s="2" t="s">
        <v>25</v>
      </c>
      <c r="O350">
        <v>14</v>
      </c>
      <c r="R350" t="e">
        <f t="shared" si="56"/>
        <v>#DIV/0!</v>
      </c>
      <c r="S350" t="str">
        <f t="shared" si="57"/>
        <v>DIVISION ERROR</v>
      </c>
      <c r="U350" t="b">
        <v>0</v>
      </c>
      <c r="W350" t="str">
        <f t="shared" si="58"/>
        <v>EVEN</v>
      </c>
      <c r="Y350">
        <f t="shared" si="59"/>
        <v>334</v>
      </c>
      <c r="AB350" t="str">
        <f t="shared" si="60"/>
        <v>Bad_user</v>
      </c>
      <c r="AE350" t="b">
        <f t="shared" si="61"/>
        <v>1</v>
      </c>
      <c r="AG350" t="b">
        <f t="shared" si="62"/>
        <v>0</v>
      </c>
      <c r="AI350" t="str">
        <f>IF(AND(Dataset!G350 &gt;5000,Dataset!H350&gt;7000),"ACTIVE_CONSUMER","INACTIVE_CONSUMER")</f>
        <v>INACTIVE_CONSUMER</v>
      </c>
      <c r="AN350" t="str">
        <f t="shared" si="63"/>
        <v>Not_eligible</v>
      </c>
      <c r="AQ350" t="str">
        <f>IF(AND(E350="M",F350="checking",Dataset!G350&gt;2000,Dataset!K350&gt;500),"good_client","bad_client")</f>
        <v>bad_client</v>
      </c>
      <c r="AT350" t="s">
        <v>482</v>
      </c>
      <c r="AU350" t="str">
        <f>IF(AND(Dataset!F350="Savings",Dataset!AT350="eligible"),"YES","NO")</f>
        <v>NO</v>
      </c>
      <c r="AW350" s="8"/>
      <c r="AX350" s="12" t="s">
        <v>487</v>
      </c>
      <c r="AY350" s="8" t="s">
        <v>490</v>
      </c>
      <c r="AZ350" s="8"/>
      <c r="BD350" t="str">
        <f t="shared" si="64"/>
        <v>yes</v>
      </c>
    </row>
    <row r="351" spans="1:56" x14ac:dyDescent="0.3">
      <c r="N351" s="2"/>
    </row>
  </sheetData>
  <autoFilter ref="A1:AB350" xr:uid="{E3075A48-2E15-4298-B56E-AE87CA2BDF5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DB4C2-1F08-45FC-A2BA-FDB9A4A05521}">
  <dimension ref="B2:B46"/>
  <sheetViews>
    <sheetView topLeftCell="A17" workbookViewId="0">
      <selection activeCell="H42" sqref="H42"/>
    </sheetView>
  </sheetViews>
  <sheetFormatPr defaultRowHeight="14.4" x14ac:dyDescent="0.3"/>
  <sheetData>
    <row r="2" spans="2:2" ht="18" x14ac:dyDescent="0.3">
      <c r="B2" s="5" t="s">
        <v>303</v>
      </c>
    </row>
    <row r="3" spans="2:2" x14ac:dyDescent="0.3">
      <c r="B3" s="4" t="s">
        <v>304</v>
      </c>
    </row>
    <row r="4" spans="2:2" x14ac:dyDescent="0.3">
      <c r="B4" s="4" t="s">
        <v>305</v>
      </c>
    </row>
    <row r="5" spans="2:2" x14ac:dyDescent="0.3">
      <c r="B5" s="4" t="s">
        <v>306</v>
      </c>
    </row>
    <row r="6" spans="2:2" x14ac:dyDescent="0.3">
      <c r="B6" s="4" t="s">
        <v>307</v>
      </c>
    </row>
    <row r="7" spans="2:2" x14ac:dyDescent="0.3">
      <c r="B7" s="4" t="s">
        <v>308</v>
      </c>
    </row>
    <row r="8" spans="2:2" x14ac:dyDescent="0.3">
      <c r="B8" s="4" t="s">
        <v>358</v>
      </c>
    </row>
    <row r="9" spans="2:2" x14ac:dyDescent="0.3">
      <c r="B9" s="4" t="s">
        <v>309</v>
      </c>
    </row>
    <row r="10" spans="2:2" x14ac:dyDescent="0.3">
      <c r="B10" s="4" t="s">
        <v>310</v>
      </c>
    </row>
    <row r="11" spans="2:2" x14ac:dyDescent="0.3">
      <c r="B11" s="4" t="s">
        <v>311</v>
      </c>
    </row>
    <row r="12" spans="2:2" x14ac:dyDescent="0.3">
      <c r="B12" s="4" t="s">
        <v>312</v>
      </c>
    </row>
    <row r="13" spans="2:2" x14ac:dyDescent="0.3">
      <c r="B13" s="4" t="s">
        <v>313</v>
      </c>
    </row>
    <row r="14" spans="2:2" x14ac:dyDescent="0.3">
      <c r="B14" s="4" t="s">
        <v>314</v>
      </c>
    </row>
    <row r="15" spans="2:2" x14ac:dyDescent="0.3">
      <c r="B15" s="4" t="s">
        <v>315</v>
      </c>
    </row>
    <row r="16" spans="2:2" x14ac:dyDescent="0.3">
      <c r="B16" s="4"/>
    </row>
    <row r="17" spans="2:2" ht="18" x14ac:dyDescent="0.3">
      <c r="B17" s="5" t="s">
        <v>316</v>
      </c>
    </row>
    <row r="18" spans="2:2" x14ac:dyDescent="0.3">
      <c r="B18" s="4" t="s">
        <v>317</v>
      </c>
    </row>
    <row r="19" spans="2:2" x14ac:dyDescent="0.3">
      <c r="B19" s="4" t="s">
        <v>318</v>
      </c>
    </row>
    <row r="20" spans="2:2" x14ac:dyDescent="0.3">
      <c r="B20" s="4" t="s">
        <v>319</v>
      </c>
    </row>
    <row r="21" spans="2:2" x14ac:dyDescent="0.3">
      <c r="B21" s="4" t="s">
        <v>320</v>
      </c>
    </row>
    <row r="22" spans="2:2" x14ac:dyDescent="0.3">
      <c r="B22" s="4" t="s">
        <v>321</v>
      </c>
    </row>
    <row r="23" spans="2:2" x14ac:dyDescent="0.3">
      <c r="B23" s="4" t="s">
        <v>322</v>
      </c>
    </row>
    <row r="24" spans="2:2" x14ac:dyDescent="0.3">
      <c r="B24" s="4" t="s">
        <v>323</v>
      </c>
    </row>
    <row r="25" spans="2:2" x14ac:dyDescent="0.3">
      <c r="B25" s="4" t="s">
        <v>324</v>
      </c>
    </row>
    <row r="26" spans="2:2" x14ac:dyDescent="0.3">
      <c r="B26" s="4" t="s">
        <v>325</v>
      </c>
    </row>
    <row r="27" spans="2:2" x14ac:dyDescent="0.3">
      <c r="B27" s="4" t="s">
        <v>326</v>
      </c>
    </row>
    <row r="28" spans="2:2" x14ac:dyDescent="0.3">
      <c r="B28" s="4" t="s">
        <v>327</v>
      </c>
    </row>
    <row r="29" spans="2:2" x14ac:dyDescent="0.3">
      <c r="B29" s="4" t="s">
        <v>328</v>
      </c>
    </row>
    <row r="30" spans="2:2" x14ac:dyDescent="0.3">
      <c r="B30" s="4" t="s">
        <v>329</v>
      </c>
    </row>
    <row r="31" spans="2:2" x14ac:dyDescent="0.3">
      <c r="B31" s="4"/>
    </row>
    <row r="32" spans="2:2" ht="18" x14ac:dyDescent="0.3">
      <c r="B32" s="5" t="s">
        <v>330</v>
      </c>
    </row>
    <row r="33" spans="2:2" x14ac:dyDescent="0.3">
      <c r="B33" s="4" t="s">
        <v>331</v>
      </c>
    </row>
    <row r="34" spans="2:2" x14ac:dyDescent="0.3">
      <c r="B34" s="4" t="s">
        <v>332</v>
      </c>
    </row>
    <row r="35" spans="2:2" x14ac:dyDescent="0.3">
      <c r="B35" s="4" t="s">
        <v>333</v>
      </c>
    </row>
    <row r="36" spans="2:2" x14ac:dyDescent="0.3">
      <c r="B36" s="4" t="s">
        <v>334</v>
      </c>
    </row>
    <row r="37" spans="2:2" x14ac:dyDescent="0.3">
      <c r="B37" s="4" t="s">
        <v>335</v>
      </c>
    </row>
    <row r="38" spans="2:2" x14ac:dyDescent="0.3">
      <c r="B38" s="4" t="s">
        <v>336</v>
      </c>
    </row>
    <row r="39" spans="2:2" x14ac:dyDescent="0.3">
      <c r="B39" s="4" t="s">
        <v>337</v>
      </c>
    </row>
    <row r="40" spans="2:2" x14ac:dyDescent="0.3">
      <c r="B40" s="4" t="s">
        <v>338</v>
      </c>
    </row>
    <row r="41" spans="2:2" x14ac:dyDescent="0.3">
      <c r="B41" s="4" t="s">
        <v>339</v>
      </c>
    </row>
    <row r="42" spans="2:2" x14ac:dyDescent="0.3">
      <c r="B42" s="4" t="s">
        <v>340</v>
      </c>
    </row>
    <row r="43" spans="2:2" x14ac:dyDescent="0.3">
      <c r="B43" s="4" t="s">
        <v>341</v>
      </c>
    </row>
    <row r="44" spans="2:2" x14ac:dyDescent="0.3">
      <c r="B44" s="4" t="s">
        <v>342</v>
      </c>
    </row>
    <row r="45" spans="2:2" x14ac:dyDescent="0.3">
      <c r="B45" s="4" t="s">
        <v>343</v>
      </c>
    </row>
    <row r="46" spans="2:2" x14ac:dyDescent="0.3">
      <c r="B46" s="4" t="s">
        <v>344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7125-AE9F-4D1A-9D4A-A1F55FA49A86}">
  <dimension ref="A1:P46"/>
  <sheetViews>
    <sheetView topLeftCell="A24" workbookViewId="0">
      <selection activeCell="N24" sqref="N24"/>
    </sheetView>
  </sheetViews>
  <sheetFormatPr defaultRowHeight="14.4" x14ac:dyDescent="0.3"/>
  <sheetData>
    <row r="1" spans="1:12" ht="18" x14ac:dyDescent="0.35">
      <c r="B1" s="6" t="s">
        <v>346</v>
      </c>
    </row>
    <row r="2" spans="1:12" x14ac:dyDescent="0.3">
      <c r="A2" t="s">
        <v>83</v>
      </c>
      <c r="B2" t="s">
        <v>345</v>
      </c>
    </row>
    <row r="3" spans="1:12" x14ac:dyDescent="0.3">
      <c r="A3" t="s">
        <v>347</v>
      </c>
      <c r="B3" t="s">
        <v>464</v>
      </c>
    </row>
    <row r="4" spans="1:12" x14ac:dyDescent="0.3">
      <c r="B4" t="s">
        <v>465</v>
      </c>
      <c r="F4" s="7">
        <f>AVERAGE(Dataset!H2:H350)</f>
        <v>60260.744985673351</v>
      </c>
    </row>
    <row r="7" spans="1:12" x14ac:dyDescent="0.3">
      <c r="A7" t="s">
        <v>84</v>
      </c>
      <c r="B7" t="s">
        <v>348</v>
      </c>
    </row>
    <row r="8" spans="1:12" x14ac:dyDescent="0.3">
      <c r="A8" t="s">
        <v>349</v>
      </c>
      <c r="B8" t="s">
        <v>394</v>
      </c>
      <c r="F8" s="7">
        <f>MEDIAN(Dataset!G2:G350)</f>
        <v>5500</v>
      </c>
    </row>
    <row r="10" spans="1:12" x14ac:dyDescent="0.3">
      <c r="A10" t="s">
        <v>85</v>
      </c>
      <c r="B10" t="s">
        <v>350</v>
      </c>
    </row>
    <row r="11" spans="1:12" x14ac:dyDescent="0.3">
      <c r="A11" t="s">
        <v>351</v>
      </c>
      <c r="B11" t="s">
        <v>393</v>
      </c>
      <c r="G11" s="7">
        <f>SMALL(Dataset!J2:J350,5)</f>
        <v>0</v>
      </c>
    </row>
    <row r="12" spans="1:12" x14ac:dyDescent="0.3">
      <c r="B12" t="s">
        <v>352</v>
      </c>
    </row>
    <row r="14" spans="1:12" x14ac:dyDescent="0.3">
      <c r="A14" s="14" t="s">
        <v>86</v>
      </c>
      <c r="B14" t="s">
        <v>353</v>
      </c>
    </row>
    <row r="15" spans="1:12" x14ac:dyDescent="0.3">
      <c r="A15" t="s">
        <v>354</v>
      </c>
      <c r="B15" t="s">
        <v>392</v>
      </c>
      <c r="F15" s="7">
        <f>LARGE(Dataset!K2:K350,3)</f>
        <v>750</v>
      </c>
      <c r="G15" t="s">
        <v>493</v>
      </c>
      <c r="H15" t="s">
        <v>492</v>
      </c>
      <c r="L15" s="7">
        <f>LARGE(_xlfn.UNIQUE(Dataset!K2:K350),3)</f>
        <v>730</v>
      </c>
    </row>
    <row r="17" spans="1:16" x14ac:dyDescent="0.3">
      <c r="A17" t="s">
        <v>87</v>
      </c>
      <c r="B17" t="s">
        <v>355</v>
      </c>
    </row>
    <row r="18" spans="1:16" x14ac:dyDescent="0.3">
      <c r="A18" t="s">
        <v>356</v>
      </c>
      <c r="B18" t="s">
        <v>391</v>
      </c>
      <c r="F18" s="7">
        <f>_xlfn.MODE.SNGL(Dataset!K2:K350)</f>
        <v>720</v>
      </c>
    </row>
    <row r="20" spans="1:16" x14ac:dyDescent="0.3">
      <c r="A20" t="s">
        <v>88</v>
      </c>
      <c r="B20" t="s">
        <v>360</v>
      </c>
    </row>
    <row r="21" spans="1:16" x14ac:dyDescent="0.3">
      <c r="A21" t="s">
        <v>357</v>
      </c>
      <c r="B21" t="s">
        <v>494</v>
      </c>
      <c r="P21" s="7">
        <f>COUNTIFS(Dataset!D2:D350,"&gt;30",Dataset!E2:E350,"F",Dataset!M2:M350,"Premium",Dataset!N2:N350,"Active")</f>
        <v>0</v>
      </c>
    </row>
    <row r="23" spans="1:16" x14ac:dyDescent="0.3">
      <c r="A23" t="s">
        <v>89</v>
      </c>
      <c r="B23" t="s">
        <v>359</v>
      </c>
    </row>
    <row r="24" spans="1:16" x14ac:dyDescent="0.3">
      <c r="A24" t="s">
        <v>361</v>
      </c>
      <c r="B24" t="s">
        <v>364</v>
      </c>
    </row>
    <row r="26" spans="1:16" x14ac:dyDescent="0.3">
      <c r="A26" t="s">
        <v>90</v>
      </c>
      <c r="B26" t="s">
        <v>365</v>
      </c>
    </row>
    <row r="27" spans="1:16" x14ac:dyDescent="0.3">
      <c r="A27" t="s">
        <v>366</v>
      </c>
      <c r="B27" t="s">
        <v>367</v>
      </c>
    </row>
    <row r="29" spans="1:16" x14ac:dyDescent="0.3">
      <c r="A29" t="s">
        <v>91</v>
      </c>
      <c r="B29" t="s">
        <v>369</v>
      </c>
    </row>
    <row r="30" spans="1:16" x14ac:dyDescent="0.3">
      <c r="A30" t="s">
        <v>370</v>
      </c>
      <c r="B30" t="s">
        <v>372</v>
      </c>
    </row>
    <row r="32" spans="1:16" x14ac:dyDescent="0.3">
      <c r="A32" s="14" t="s">
        <v>92</v>
      </c>
      <c r="B32" t="s">
        <v>373</v>
      </c>
    </row>
    <row r="33" spans="1:9" x14ac:dyDescent="0.3">
      <c r="A33" t="s">
        <v>374</v>
      </c>
      <c r="B33" s="2" t="s">
        <v>377</v>
      </c>
    </row>
    <row r="35" spans="1:9" x14ac:dyDescent="0.3">
      <c r="A35" t="s">
        <v>93</v>
      </c>
      <c r="B35" t="s">
        <v>375</v>
      </c>
    </row>
    <row r="36" spans="1:9" x14ac:dyDescent="0.3">
      <c r="A36" t="s">
        <v>376</v>
      </c>
      <c r="B36" t="s">
        <v>378</v>
      </c>
    </row>
    <row r="38" spans="1:9" x14ac:dyDescent="0.3">
      <c r="A38" t="s">
        <v>94</v>
      </c>
      <c r="B38" t="s">
        <v>379</v>
      </c>
    </row>
    <row r="39" spans="1:9" x14ac:dyDescent="0.3">
      <c r="A39" t="s">
        <v>380</v>
      </c>
      <c r="B39" t="s">
        <v>381</v>
      </c>
      <c r="I39" s="7">
        <f>COUNT(Dataset!G2:G350)</f>
        <v>349</v>
      </c>
    </row>
    <row r="40" spans="1:9" x14ac:dyDescent="0.3">
      <c r="B40" t="s">
        <v>388</v>
      </c>
      <c r="I40" s="7">
        <f>SMALL(Dataset!G2:G350,1)</f>
        <v>1500</v>
      </c>
    </row>
    <row r="42" spans="1:9" x14ac:dyDescent="0.3">
      <c r="A42" t="s">
        <v>95</v>
      </c>
      <c r="B42" t="s">
        <v>382</v>
      </c>
    </row>
    <row r="43" spans="1:9" x14ac:dyDescent="0.3">
      <c r="A43" t="s">
        <v>383</v>
      </c>
      <c r="B43" t="s">
        <v>384</v>
      </c>
    </row>
    <row r="44" spans="1:9" x14ac:dyDescent="0.3">
      <c r="B44" t="s">
        <v>389</v>
      </c>
      <c r="I44" s="7">
        <f>SUM(Dataset!H2:H350)</f>
        <v>21031000</v>
      </c>
    </row>
    <row r="45" spans="1:9" x14ac:dyDescent="0.3">
      <c r="B45" t="s">
        <v>390</v>
      </c>
      <c r="I45" s="7">
        <f>MAX(Dataset!H2:H350)</f>
        <v>85000</v>
      </c>
    </row>
    <row r="46" spans="1:9" x14ac:dyDescent="0.3">
      <c r="I46" s="7">
        <f>LARGE(Dataset!G2:G350,1)</f>
        <v>15000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F3437-ECFC-4139-B4A8-8EC0F26F9D0C}">
  <dimension ref="A1:O49"/>
  <sheetViews>
    <sheetView topLeftCell="A28" workbookViewId="0">
      <selection activeCell="O17" sqref="O17"/>
    </sheetView>
  </sheetViews>
  <sheetFormatPr defaultRowHeight="14.4" x14ac:dyDescent="0.3"/>
  <sheetData>
    <row r="1" spans="1:13" ht="18" x14ac:dyDescent="0.35">
      <c r="B1" s="6" t="s">
        <v>386</v>
      </c>
    </row>
    <row r="2" spans="1:13" x14ac:dyDescent="0.3">
      <c r="A2" t="s">
        <v>83</v>
      </c>
      <c r="B2" t="s">
        <v>385</v>
      </c>
    </row>
    <row r="3" spans="1:13" x14ac:dyDescent="0.3">
      <c r="A3" t="s">
        <v>347</v>
      </c>
      <c r="B3" t="s">
        <v>387</v>
      </c>
      <c r="M3" s="7">
        <f>COUNTIF(Dataset!N2:N350,Dataset!N335)</f>
        <v>182</v>
      </c>
    </row>
    <row r="4" spans="1:13" x14ac:dyDescent="0.3">
      <c r="B4" t="s">
        <v>471</v>
      </c>
      <c r="M4" s="7" cm="1">
        <f t="array" ref="M4">_xlfn.PERCENTILE.INC(IF(Dataset!N2:N350="Active",Dataset!H2:H350),0.5)</f>
        <v>60000</v>
      </c>
    </row>
    <row r="6" spans="1:13" x14ac:dyDescent="0.3">
      <c r="A6" t="s">
        <v>84</v>
      </c>
      <c r="B6" t="s">
        <v>395</v>
      </c>
    </row>
    <row r="7" spans="1:13" x14ac:dyDescent="0.3">
      <c r="A7" t="s">
        <v>349</v>
      </c>
      <c r="B7" t="s">
        <v>396</v>
      </c>
      <c r="M7" s="7">
        <f>COUNTIF(Dataset!I2:I350,Dataset!I335)</f>
        <v>169</v>
      </c>
    </row>
    <row r="8" spans="1:13" x14ac:dyDescent="0.3">
      <c r="B8" t="s">
        <v>397</v>
      </c>
      <c r="M8" s="7">
        <f>MAX(Dataset!J2:J350)</f>
        <v>20000</v>
      </c>
    </row>
    <row r="10" spans="1:13" x14ac:dyDescent="0.3">
      <c r="A10" t="s">
        <v>85</v>
      </c>
      <c r="B10" t="s">
        <v>398</v>
      </c>
    </row>
    <row r="11" spans="1:13" x14ac:dyDescent="0.3">
      <c r="A11" t="s">
        <v>351</v>
      </c>
      <c r="B11" t="s">
        <v>495</v>
      </c>
      <c r="M11" s="7" cm="1">
        <f t="array" ref="M11">SMALL(_xlfn.UNIQUE(IF(Dataset!I2:I350="no",Dataset!G2:G350)),3)</f>
        <v>2200</v>
      </c>
    </row>
    <row r="13" spans="1:13" x14ac:dyDescent="0.3">
      <c r="A13" s="13" t="s">
        <v>86</v>
      </c>
      <c r="B13" t="s">
        <v>399</v>
      </c>
    </row>
    <row r="14" spans="1:13" x14ac:dyDescent="0.3">
      <c r="A14" t="s">
        <v>354</v>
      </c>
      <c r="B14" t="s">
        <v>400</v>
      </c>
    </row>
    <row r="16" spans="1:13" x14ac:dyDescent="0.3">
      <c r="A16" t="s">
        <v>87</v>
      </c>
      <c r="B16" t="s">
        <v>401</v>
      </c>
    </row>
    <row r="17" spans="1:15" x14ac:dyDescent="0.3">
      <c r="A17" t="s">
        <v>402</v>
      </c>
      <c r="B17" t="s">
        <v>403</v>
      </c>
      <c r="O17" s="7" cm="1">
        <f t="array" ref="O17">SMALL(_xlfn.UNIQUE(IF(Dataset!E2:E350="F",Dataset!H2:H350)),2)</f>
        <v>47000</v>
      </c>
    </row>
    <row r="19" spans="1:15" x14ac:dyDescent="0.3">
      <c r="A19" t="s">
        <v>88</v>
      </c>
      <c r="B19" t="s">
        <v>404</v>
      </c>
    </row>
    <row r="20" spans="1:15" x14ac:dyDescent="0.3">
      <c r="A20" t="s">
        <v>405</v>
      </c>
      <c r="B20" t="s">
        <v>406</v>
      </c>
      <c r="L20" s="7" cm="1">
        <f t="array" ref="L20">_xlfn.MODE.MULT(Dataset!G2:G350)</f>
        <v>4000</v>
      </c>
    </row>
    <row r="21" spans="1:15" x14ac:dyDescent="0.3">
      <c r="B21" t="s">
        <v>472</v>
      </c>
      <c r="L21" s="7">
        <f>AVERAGE(Dataset!G2:G350)</f>
        <v>6148.997134670487</v>
      </c>
    </row>
    <row r="23" spans="1:15" x14ac:dyDescent="0.3">
      <c r="A23" t="s">
        <v>89</v>
      </c>
      <c r="B23" t="s">
        <v>407</v>
      </c>
    </row>
    <row r="24" spans="1:15" x14ac:dyDescent="0.3">
      <c r="A24" t="s">
        <v>408</v>
      </c>
      <c r="B24" t="s">
        <v>409</v>
      </c>
      <c r="K24" s="7">
        <f>_xlfn.PERCENTILE.INC(Dataset!H2:H350,0.75)</f>
        <v>70000</v>
      </c>
    </row>
    <row r="25" spans="1:15" x14ac:dyDescent="0.3">
      <c r="B25" t="s">
        <v>410</v>
      </c>
      <c r="K25" s="7">
        <f>_xlfn.PERCENTILE.INC(Dataset!G2:G350,0.75)</f>
        <v>8000</v>
      </c>
    </row>
    <row r="27" spans="1:15" x14ac:dyDescent="0.3">
      <c r="A27" t="s">
        <v>90</v>
      </c>
      <c r="B27" t="s">
        <v>411</v>
      </c>
    </row>
    <row r="28" spans="1:15" x14ac:dyDescent="0.3">
      <c r="A28" t="s">
        <v>366</v>
      </c>
      <c r="B28" t="s">
        <v>412</v>
      </c>
    </row>
    <row r="30" spans="1:15" x14ac:dyDescent="0.3">
      <c r="A30" t="s">
        <v>91</v>
      </c>
      <c r="B30" t="s">
        <v>413</v>
      </c>
    </row>
    <row r="31" spans="1:15" x14ac:dyDescent="0.3">
      <c r="A31" t="s">
        <v>370</v>
      </c>
      <c r="B31" t="s">
        <v>414</v>
      </c>
    </row>
    <row r="33" spans="1:13" x14ac:dyDescent="0.3">
      <c r="A33" t="s">
        <v>92</v>
      </c>
      <c r="B33" t="s">
        <v>415</v>
      </c>
    </row>
    <row r="34" spans="1:13" x14ac:dyDescent="0.3">
      <c r="A34" t="s">
        <v>374</v>
      </c>
      <c r="B34" t="s">
        <v>416</v>
      </c>
    </row>
    <row r="36" spans="1:13" x14ac:dyDescent="0.3">
      <c r="A36" t="s">
        <v>93</v>
      </c>
      <c r="B36" t="s">
        <v>417</v>
      </c>
    </row>
    <row r="37" spans="1:13" x14ac:dyDescent="0.3">
      <c r="A37" t="s">
        <v>418</v>
      </c>
      <c r="B37" t="s">
        <v>419</v>
      </c>
      <c r="M37" s="7">
        <f>SUMIF(Dataset!S2:S350,Dataset!S3,Dataset!H2:H350)</f>
        <v>248000</v>
      </c>
    </row>
    <row r="39" spans="1:13" x14ac:dyDescent="0.3">
      <c r="A39" t="s">
        <v>94</v>
      </c>
      <c r="B39" t="s">
        <v>420</v>
      </c>
    </row>
    <row r="40" spans="1:13" x14ac:dyDescent="0.3">
      <c r="A40" t="s">
        <v>380</v>
      </c>
      <c r="B40" t="s">
        <v>421</v>
      </c>
    </row>
    <row r="42" spans="1:13" x14ac:dyDescent="0.3">
      <c r="A42" t="s">
        <v>95</v>
      </c>
      <c r="B42" t="s">
        <v>422</v>
      </c>
    </row>
    <row r="43" spans="1:13" x14ac:dyDescent="0.3">
      <c r="A43" t="s">
        <v>423</v>
      </c>
      <c r="B43" t="s">
        <v>424</v>
      </c>
      <c r="L43" s="7">
        <f>COUNTIF(Dataset!L2:L350,Dataset!L339)</f>
        <v>86</v>
      </c>
    </row>
    <row r="44" spans="1:13" x14ac:dyDescent="0.3">
      <c r="B44" t="s">
        <v>425</v>
      </c>
      <c r="L44" s="7">
        <f>SUMIF(Dataset!L2:L350,Dataset!L339,Dataset!G2:G350)</f>
        <v>613500</v>
      </c>
    </row>
    <row r="45" spans="1:13" x14ac:dyDescent="0.3">
      <c r="B45" t="s">
        <v>426</v>
      </c>
      <c r="L45" s="7">
        <f>_xlfn.MAXIFS(Dataset!G2:G350,Dataset!L2:L350,Dataset!L331)</f>
        <v>15000</v>
      </c>
    </row>
    <row r="49" spans="1:1" x14ac:dyDescent="0.3">
      <c r="A4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BB96-244B-4B66-A436-28881C88891D}">
  <dimension ref="A1:U52"/>
  <sheetViews>
    <sheetView tabSelected="1" workbookViewId="0">
      <selection activeCell="B8" sqref="B8"/>
    </sheetView>
  </sheetViews>
  <sheetFormatPr defaultRowHeight="14.4" x14ac:dyDescent="0.3"/>
  <sheetData>
    <row r="1" spans="1:21" ht="18" x14ac:dyDescent="0.35">
      <c r="B1" s="6" t="s">
        <v>99</v>
      </c>
    </row>
    <row r="2" spans="1:21" x14ac:dyDescent="0.3">
      <c r="A2" t="s">
        <v>83</v>
      </c>
      <c r="B2" t="s">
        <v>427</v>
      </c>
    </row>
    <row r="3" spans="1:21" x14ac:dyDescent="0.3">
      <c r="A3" t="s">
        <v>347</v>
      </c>
      <c r="B3" t="s">
        <v>428</v>
      </c>
      <c r="U3" s="7">
        <f>_xlfn.MAXIFS(Dataset!G2:G350,Dataset!E2:E350,Dataset!E330,Dataset!L2:L350,Dataset!L334,Dataset!K2:K350,"&gt;500")</f>
        <v>15000</v>
      </c>
    </row>
    <row r="5" spans="1:21" x14ac:dyDescent="0.3">
      <c r="A5" t="s">
        <v>84</v>
      </c>
      <c r="B5" t="s">
        <v>429</v>
      </c>
    </row>
    <row r="6" spans="1:21" x14ac:dyDescent="0.3">
      <c r="A6" t="s">
        <v>349</v>
      </c>
      <c r="B6" t="s">
        <v>430</v>
      </c>
    </row>
    <row r="8" spans="1:21" x14ac:dyDescent="0.3">
      <c r="A8" t="s">
        <v>85</v>
      </c>
      <c r="B8" t="s">
        <v>431</v>
      </c>
    </row>
    <row r="9" spans="1:21" x14ac:dyDescent="0.3">
      <c r="A9" t="s">
        <v>351</v>
      </c>
      <c r="B9" t="s">
        <v>496</v>
      </c>
      <c r="S9" s="7">
        <f>_xlfn.MINIFS(Dataset!G2:G350,Dataset!E2:E350,"F",Dataset!N2:N350,"Inactive")</f>
        <v>1500</v>
      </c>
    </row>
    <row r="10" spans="1:21" x14ac:dyDescent="0.3">
      <c r="B10" t="s">
        <v>432</v>
      </c>
      <c r="S10" s="7">
        <f>COUNTIF(Dataset!N2:N350,Dataset!N337)</f>
        <v>182</v>
      </c>
    </row>
    <row r="12" spans="1:21" x14ac:dyDescent="0.3">
      <c r="A12" t="s">
        <v>86</v>
      </c>
      <c r="B12" t="s">
        <v>433</v>
      </c>
    </row>
    <row r="13" spans="1:21" x14ac:dyDescent="0.3">
      <c r="A13" t="s">
        <v>354</v>
      </c>
      <c r="B13" t="s">
        <v>434</v>
      </c>
    </row>
    <row r="15" spans="1:21" x14ac:dyDescent="0.3">
      <c r="A15" t="s">
        <v>87</v>
      </c>
      <c r="B15" t="s">
        <v>435</v>
      </c>
    </row>
    <row r="16" spans="1:21" x14ac:dyDescent="0.3">
      <c r="A16" t="s">
        <v>356</v>
      </c>
      <c r="B16" t="s">
        <v>463</v>
      </c>
      <c r="N16" s="7">
        <f>_xlfn.MAXIFS(Dataset!G2:G350,Dataset!AT2:AT350,"eligible")</f>
        <v>0</v>
      </c>
    </row>
    <row r="17" spans="1:18" x14ac:dyDescent="0.3">
      <c r="B17" t="s">
        <v>483</v>
      </c>
    </row>
    <row r="19" spans="1:18" x14ac:dyDescent="0.3">
      <c r="A19" s="14" t="s">
        <v>88</v>
      </c>
      <c r="B19" t="s">
        <v>436</v>
      </c>
    </row>
    <row r="20" spans="1:18" x14ac:dyDescent="0.3">
      <c r="A20" t="s">
        <v>357</v>
      </c>
      <c r="B20" t="s">
        <v>437</v>
      </c>
    </row>
    <row r="22" spans="1:18" x14ac:dyDescent="0.3">
      <c r="A22" s="14" t="s">
        <v>89</v>
      </c>
      <c r="B22" t="s">
        <v>438</v>
      </c>
    </row>
    <row r="23" spans="1:18" x14ac:dyDescent="0.3">
      <c r="A23" t="s">
        <v>361</v>
      </c>
      <c r="B23" t="s">
        <v>439</v>
      </c>
    </row>
    <row r="25" spans="1:18" x14ac:dyDescent="0.3">
      <c r="A25" t="s">
        <v>90</v>
      </c>
      <c r="B25" t="s">
        <v>440</v>
      </c>
    </row>
    <row r="26" spans="1:18" x14ac:dyDescent="0.3">
      <c r="A26" t="s">
        <v>366</v>
      </c>
      <c r="B26" t="s">
        <v>441</v>
      </c>
      <c r="R26" s="7" cm="1">
        <f t="array" ref="R26">_xlfn.PERCENTILE.INC(IF(Dataset!L2:L350="Mutual Funds",Dataset!G2:G350),0.2)</f>
        <v>2599.9999999999995</v>
      </c>
    </row>
    <row r="28" spans="1:18" x14ac:dyDescent="0.3">
      <c r="A28" t="s">
        <v>91</v>
      </c>
      <c r="B28" t="s">
        <v>442</v>
      </c>
    </row>
    <row r="29" spans="1:18" x14ac:dyDescent="0.3">
      <c r="A29" t="s">
        <v>370</v>
      </c>
      <c r="B29" t="s">
        <v>443</v>
      </c>
      <c r="O29" s="7">
        <f>_xlfn.MAXIFS(Dataset!H2:H350,Dataset!L2:L350,Dataset!L2)</f>
        <v>80000</v>
      </c>
    </row>
    <row r="30" spans="1:18" x14ac:dyDescent="0.3">
      <c r="B30" t="s">
        <v>444</v>
      </c>
      <c r="O30" s="7">
        <f>_xlfn.MAXIFS(Dataset!H2:H350,Dataset!L2:L350,Dataset!L3)</f>
        <v>77000</v>
      </c>
    </row>
    <row r="31" spans="1:18" x14ac:dyDescent="0.3">
      <c r="B31" t="s">
        <v>445</v>
      </c>
      <c r="O31" s="7">
        <f>_xlfn.MAXIFS(Dataset!H2:H350,Dataset!L2:L350,Dataset!L5)</f>
        <v>74000</v>
      </c>
    </row>
    <row r="32" spans="1:18" x14ac:dyDescent="0.3">
      <c r="B32" t="s">
        <v>446</v>
      </c>
      <c r="O32" s="7">
        <f>_xlfn.MAXIFS(Dataset!H2:H350,Dataset!L2:L350,Dataset!L4)</f>
        <v>85000</v>
      </c>
    </row>
    <row r="34" spans="1:17" x14ac:dyDescent="0.3">
      <c r="A34" t="s">
        <v>92</v>
      </c>
      <c r="B34" t="s">
        <v>447</v>
      </c>
    </row>
    <row r="35" spans="1:17" x14ac:dyDescent="0.3">
      <c r="A35" t="s">
        <v>374</v>
      </c>
      <c r="B35" t="s">
        <v>448</v>
      </c>
      <c r="O35" s="7">
        <f>_xlfn.MAXIFS(Dataset!H2:H350,Dataset!M2:M350,Dataset!M2)</f>
        <v>82000</v>
      </c>
    </row>
    <row r="36" spans="1:17" x14ac:dyDescent="0.3">
      <c r="B36" t="s">
        <v>449</v>
      </c>
      <c r="O36" s="7">
        <f>_xlfn.MAXIFS(Dataset!H2:H350,Dataset!M2:M350,Dataset!M3)</f>
        <v>74000</v>
      </c>
    </row>
    <row r="37" spans="1:17" x14ac:dyDescent="0.3">
      <c r="B37" t="s">
        <v>450</v>
      </c>
      <c r="O37" s="7">
        <f>_xlfn.MAXIFS(Dataset!H2:H350,Dataset!M2:M350,Dataset!M4)</f>
        <v>85000</v>
      </c>
    </row>
    <row r="39" spans="1:17" x14ac:dyDescent="0.3">
      <c r="A39" t="s">
        <v>93</v>
      </c>
      <c r="B39" t="s">
        <v>451</v>
      </c>
    </row>
    <row r="40" spans="1:17" x14ac:dyDescent="0.3">
      <c r="A40" t="s">
        <v>376</v>
      </c>
      <c r="B40" t="s">
        <v>452</v>
      </c>
      <c r="N40" s="7" cm="1">
        <f t="array" ref="N40">SMALL(IF(Dataset!E2:E350="F",Dataset!H2:H350),2)</f>
        <v>45000</v>
      </c>
    </row>
    <row r="42" spans="1:17" x14ac:dyDescent="0.3">
      <c r="A42" t="s">
        <v>94</v>
      </c>
      <c r="B42" t="s">
        <v>453</v>
      </c>
    </row>
    <row r="43" spans="1:17" x14ac:dyDescent="0.3">
      <c r="A43" t="s">
        <v>380</v>
      </c>
      <c r="B43" t="s">
        <v>454</v>
      </c>
      <c r="N43" s="7">
        <f>COUNTIF(Dataset!G2:G350,"&gt;6000")</f>
        <v>136</v>
      </c>
    </row>
    <row r="44" spans="1:17" x14ac:dyDescent="0.3">
      <c r="B44" t="s">
        <v>455</v>
      </c>
      <c r="Q44" s="7">
        <f>MAX(Dataset!H2:H350)</f>
        <v>85000</v>
      </c>
    </row>
    <row r="46" spans="1:17" x14ac:dyDescent="0.3">
      <c r="A46" t="s">
        <v>95</v>
      </c>
      <c r="B46" t="s">
        <v>456</v>
      </c>
    </row>
    <row r="47" spans="1:17" x14ac:dyDescent="0.3">
      <c r="A47" t="s">
        <v>383</v>
      </c>
      <c r="B47" t="s">
        <v>457</v>
      </c>
      <c r="M47" s="7">
        <f>SUMIF(Dataset!F2:F350,Dataset!F330,Dataset!H2:H350)</f>
        <v>9611000</v>
      </c>
    </row>
    <row r="48" spans="1:17" x14ac:dyDescent="0.3">
      <c r="B48" t="s">
        <v>458</v>
      </c>
      <c r="M48" s="7">
        <f>_xlfn.MAXIFS(Dataset!H2:H350,Dataset!F2:F350,Dataset!F340)</f>
        <v>80000</v>
      </c>
    </row>
    <row r="50" spans="1:5" x14ac:dyDescent="0.3">
      <c r="A50" t="s">
        <v>96</v>
      </c>
      <c r="B50" t="s">
        <v>459</v>
      </c>
    </row>
    <row r="51" spans="1:5" x14ac:dyDescent="0.3">
      <c r="A51" t="s">
        <v>460</v>
      </c>
      <c r="B51" t="s">
        <v>461</v>
      </c>
    </row>
    <row r="52" spans="1:5" x14ac:dyDescent="0.3">
      <c r="B52" t="s">
        <v>462</v>
      </c>
      <c r="E52" s="7">
        <f>_xlfn.MINIFS(Dataset!F1:F349,Dataset!H1:H349,Dataset!H1,Dataset!I1:I349,Dataset!I2)</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QUESTIONS</vt:lpstr>
      <vt:lpstr>EASY</vt:lpstr>
      <vt:lpstr>MEDIUM</vt:lpstr>
      <vt:lpstr>HARD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SAXENA</dc:creator>
  <cp:lastModifiedBy>ANANYA SAXENA</cp:lastModifiedBy>
  <dcterms:created xsi:type="dcterms:W3CDTF">2024-09-05T16:39:58Z</dcterms:created>
  <dcterms:modified xsi:type="dcterms:W3CDTF">2025-01-24T11:56:05Z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2024-09-06T09:03:56Z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5dc6faec-6a3b-4875-88f2-4f842008fdf8</vt:lpwstr>
  </property>
  <property fmtid="{D5CDD505-2E9C-101B-9397-08002B2CF9AE}" pid="7" name="MSIP_Label_defa4170-0d19-0005-0004-bc88714345d2_ActionId">
    <vt:lpwstr>7a4499d6-b37e-488f-843e-d8bd0035c8d4</vt:lpwstr>
  </property>
  <property fmtid="{D5CDD505-2E9C-101B-9397-08002B2CF9AE}" pid="8" name="MSIP_Label_defa4170-0d19-0005-0004-bc88714345d2_ContentBits">
    <vt:lpwstr>0</vt:lpwstr>
  </property>
</Properties>
</file>