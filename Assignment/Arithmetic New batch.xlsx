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NANYA SAXENA\Downloads\"/>
    </mc:Choice>
  </mc:AlternateContent>
  <xr:revisionPtr revIDLastSave="0" documentId="8_{9AC8413C-5869-47B9-A729-E3D728D31795}" xr6:coauthVersionLast="47" xr6:coauthVersionMax="47" xr10:uidLastSave="{00000000-0000-0000-0000-000000000000}"/>
  <bookViews>
    <workbookView xWindow="-108" yWindow="-108" windowWidth="23256" windowHeight="12456" activeTab="1" xr2:uid="{0833FE7C-F57E-4B51-868C-5BA358F063CF}"/>
  </bookViews>
  <sheets>
    <sheet name="Dataset" sheetId="2" r:id="rId1"/>
    <sheet name="Questions" sheetId="3" r:id="rId2"/>
    <sheet name="Sheet1" sheetId="1" r:id="rId3"/>
  </sheets>
  <definedNames>
    <definedName name="_xlnm._FilterDatabase" localSheetId="0" hidden="1">Dataset!$A$1:$R$501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01" i="2" l="1"/>
  <c r="V501" i="2" s="1"/>
  <c r="W501" i="2" s="1"/>
  <c r="X501" i="2" s="1"/>
  <c r="K501" i="2"/>
  <c r="J501" i="2"/>
  <c r="U500" i="2"/>
  <c r="V500" i="2" s="1"/>
  <c r="W500" i="2" s="1"/>
  <c r="X500" i="2" s="1"/>
  <c r="K500" i="2"/>
  <c r="J500" i="2"/>
  <c r="U499" i="2"/>
  <c r="V499" i="2" s="1"/>
  <c r="W499" i="2" s="1"/>
  <c r="X499" i="2" s="1"/>
  <c r="K499" i="2"/>
  <c r="J499" i="2"/>
  <c r="U498" i="2"/>
  <c r="V498" i="2" s="1"/>
  <c r="W498" i="2" s="1"/>
  <c r="X498" i="2" s="1"/>
  <c r="K498" i="2"/>
  <c r="J498" i="2"/>
  <c r="U497" i="2"/>
  <c r="V497" i="2" s="1"/>
  <c r="W497" i="2" s="1"/>
  <c r="X497" i="2" s="1"/>
  <c r="K497" i="2"/>
  <c r="J497" i="2"/>
  <c r="U496" i="2"/>
  <c r="V496" i="2" s="1"/>
  <c r="W496" i="2" s="1"/>
  <c r="X496" i="2" s="1"/>
  <c r="K496" i="2"/>
  <c r="J496" i="2"/>
  <c r="U495" i="2"/>
  <c r="V495" i="2" s="1"/>
  <c r="W495" i="2" s="1"/>
  <c r="X495" i="2" s="1"/>
  <c r="K495" i="2"/>
  <c r="J495" i="2"/>
  <c r="V494" i="2"/>
  <c r="W494" i="2" s="1"/>
  <c r="X494" i="2" s="1"/>
  <c r="U494" i="2"/>
  <c r="K494" i="2"/>
  <c r="J494" i="2"/>
  <c r="W493" i="2"/>
  <c r="X493" i="2" s="1"/>
  <c r="V493" i="2"/>
  <c r="U493" i="2"/>
  <c r="K493" i="2"/>
  <c r="J493" i="2"/>
  <c r="U492" i="2"/>
  <c r="V492" i="2" s="1"/>
  <c r="W492" i="2" s="1"/>
  <c r="X492" i="2" s="1"/>
  <c r="K492" i="2"/>
  <c r="J492" i="2"/>
  <c r="U491" i="2"/>
  <c r="V491" i="2" s="1"/>
  <c r="W491" i="2" s="1"/>
  <c r="X491" i="2" s="1"/>
  <c r="K491" i="2"/>
  <c r="J491" i="2"/>
  <c r="U490" i="2"/>
  <c r="V490" i="2" s="1"/>
  <c r="W490" i="2" s="1"/>
  <c r="X490" i="2" s="1"/>
  <c r="K490" i="2"/>
  <c r="J490" i="2"/>
  <c r="U489" i="2"/>
  <c r="V489" i="2" s="1"/>
  <c r="W489" i="2" s="1"/>
  <c r="X489" i="2" s="1"/>
  <c r="K489" i="2"/>
  <c r="J489" i="2"/>
  <c r="U488" i="2"/>
  <c r="V488" i="2" s="1"/>
  <c r="W488" i="2" s="1"/>
  <c r="X488" i="2" s="1"/>
  <c r="K488" i="2"/>
  <c r="J488" i="2"/>
  <c r="U487" i="2"/>
  <c r="V487" i="2" s="1"/>
  <c r="W487" i="2" s="1"/>
  <c r="X487" i="2" s="1"/>
  <c r="K487" i="2"/>
  <c r="J487" i="2"/>
  <c r="U486" i="2"/>
  <c r="V486" i="2" s="1"/>
  <c r="W486" i="2" s="1"/>
  <c r="X486" i="2" s="1"/>
  <c r="K486" i="2"/>
  <c r="J486" i="2"/>
  <c r="W485" i="2"/>
  <c r="X485" i="2" s="1"/>
  <c r="V485" i="2"/>
  <c r="U485" i="2"/>
  <c r="K485" i="2"/>
  <c r="J485" i="2"/>
  <c r="U484" i="2"/>
  <c r="V484" i="2" s="1"/>
  <c r="W484" i="2" s="1"/>
  <c r="X484" i="2" s="1"/>
  <c r="K484" i="2"/>
  <c r="J484" i="2"/>
  <c r="U483" i="2"/>
  <c r="V483" i="2" s="1"/>
  <c r="W483" i="2" s="1"/>
  <c r="X483" i="2" s="1"/>
  <c r="K483" i="2"/>
  <c r="J483" i="2"/>
  <c r="U482" i="2"/>
  <c r="V482" i="2" s="1"/>
  <c r="W482" i="2" s="1"/>
  <c r="X482" i="2" s="1"/>
  <c r="K482" i="2"/>
  <c r="J482" i="2"/>
  <c r="U481" i="2"/>
  <c r="V481" i="2" s="1"/>
  <c r="W481" i="2" s="1"/>
  <c r="X481" i="2" s="1"/>
  <c r="K481" i="2"/>
  <c r="J481" i="2"/>
  <c r="X480" i="2"/>
  <c r="W480" i="2"/>
  <c r="U480" i="2"/>
  <c r="V480" i="2" s="1"/>
  <c r="K480" i="2"/>
  <c r="J480" i="2"/>
  <c r="W479" i="2"/>
  <c r="X479" i="2" s="1"/>
  <c r="V479" i="2"/>
  <c r="U479" i="2"/>
  <c r="K479" i="2"/>
  <c r="J479" i="2"/>
  <c r="U478" i="2"/>
  <c r="V478" i="2" s="1"/>
  <c r="W478" i="2" s="1"/>
  <c r="X478" i="2" s="1"/>
  <c r="K478" i="2"/>
  <c r="J478" i="2"/>
  <c r="W477" i="2"/>
  <c r="X477" i="2" s="1"/>
  <c r="V477" i="2"/>
  <c r="U477" i="2"/>
  <c r="K477" i="2"/>
  <c r="J477" i="2"/>
  <c r="U476" i="2"/>
  <c r="V476" i="2" s="1"/>
  <c r="W476" i="2" s="1"/>
  <c r="X476" i="2" s="1"/>
  <c r="K476" i="2"/>
  <c r="J476" i="2"/>
  <c r="U475" i="2"/>
  <c r="V475" i="2" s="1"/>
  <c r="W475" i="2" s="1"/>
  <c r="X475" i="2" s="1"/>
  <c r="K475" i="2"/>
  <c r="J475" i="2"/>
  <c r="U474" i="2"/>
  <c r="V474" i="2" s="1"/>
  <c r="W474" i="2" s="1"/>
  <c r="X474" i="2" s="1"/>
  <c r="K474" i="2"/>
  <c r="J474" i="2"/>
  <c r="X473" i="2"/>
  <c r="W473" i="2"/>
  <c r="V473" i="2"/>
  <c r="U473" i="2"/>
  <c r="K473" i="2"/>
  <c r="J473" i="2"/>
  <c r="U472" i="2"/>
  <c r="V472" i="2" s="1"/>
  <c r="W472" i="2" s="1"/>
  <c r="X472" i="2" s="1"/>
  <c r="K472" i="2"/>
  <c r="J472" i="2"/>
  <c r="U471" i="2"/>
  <c r="V471" i="2" s="1"/>
  <c r="W471" i="2" s="1"/>
  <c r="X471" i="2" s="1"/>
  <c r="K471" i="2"/>
  <c r="J471" i="2"/>
  <c r="X470" i="2"/>
  <c r="W470" i="2"/>
  <c r="V470" i="2"/>
  <c r="U470" i="2"/>
  <c r="K470" i="2"/>
  <c r="J470" i="2"/>
  <c r="W469" i="2"/>
  <c r="X469" i="2" s="1"/>
  <c r="V469" i="2"/>
  <c r="U469" i="2"/>
  <c r="K469" i="2"/>
  <c r="J469" i="2"/>
  <c r="V468" i="2"/>
  <c r="W468" i="2" s="1"/>
  <c r="X468" i="2" s="1"/>
  <c r="U468" i="2"/>
  <c r="K468" i="2"/>
  <c r="J468" i="2"/>
  <c r="U467" i="2"/>
  <c r="V467" i="2" s="1"/>
  <c r="W467" i="2" s="1"/>
  <c r="X467" i="2" s="1"/>
  <c r="K467" i="2"/>
  <c r="J467" i="2"/>
  <c r="U466" i="2"/>
  <c r="V466" i="2" s="1"/>
  <c r="W466" i="2" s="1"/>
  <c r="X466" i="2" s="1"/>
  <c r="K466" i="2"/>
  <c r="J466" i="2"/>
  <c r="U465" i="2"/>
  <c r="V465" i="2" s="1"/>
  <c r="W465" i="2" s="1"/>
  <c r="X465" i="2" s="1"/>
  <c r="K465" i="2"/>
  <c r="J465" i="2"/>
  <c r="X464" i="2"/>
  <c r="W464" i="2"/>
  <c r="U464" i="2"/>
  <c r="V464" i="2" s="1"/>
  <c r="K464" i="2"/>
  <c r="J464" i="2"/>
  <c r="U463" i="2"/>
  <c r="V463" i="2" s="1"/>
  <c r="W463" i="2" s="1"/>
  <c r="X463" i="2" s="1"/>
  <c r="K463" i="2"/>
  <c r="J463" i="2"/>
  <c r="U462" i="2"/>
  <c r="V462" i="2" s="1"/>
  <c r="W462" i="2" s="1"/>
  <c r="X462" i="2" s="1"/>
  <c r="K462" i="2"/>
  <c r="J462" i="2"/>
  <c r="W461" i="2"/>
  <c r="X461" i="2" s="1"/>
  <c r="V461" i="2"/>
  <c r="U461" i="2"/>
  <c r="K461" i="2"/>
  <c r="J461" i="2"/>
  <c r="U460" i="2"/>
  <c r="V460" i="2" s="1"/>
  <c r="W460" i="2" s="1"/>
  <c r="X460" i="2" s="1"/>
  <c r="K460" i="2"/>
  <c r="J460" i="2"/>
  <c r="U459" i="2"/>
  <c r="V459" i="2" s="1"/>
  <c r="W459" i="2" s="1"/>
  <c r="X459" i="2" s="1"/>
  <c r="K459" i="2"/>
  <c r="J459" i="2"/>
  <c r="U458" i="2"/>
  <c r="V458" i="2" s="1"/>
  <c r="W458" i="2" s="1"/>
  <c r="X458" i="2" s="1"/>
  <c r="K458" i="2"/>
  <c r="J458" i="2"/>
  <c r="V457" i="2"/>
  <c r="W457" i="2" s="1"/>
  <c r="X457" i="2" s="1"/>
  <c r="U457" i="2"/>
  <c r="K457" i="2"/>
  <c r="J457" i="2"/>
  <c r="U456" i="2"/>
  <c r="V456" i="2" s="1"/>
  <c r="W456" i="2" s="1"/>
  <c r="X456" i="2" s="1"/>
  <c r="K456" i="2"/>
  <c r="J456" i="2"/>
  <c r="V455" i="2"/>
  <c r="W455" i="2" s="1"/>
  <c r="X455" i="2" s="1"/>
  <c r="U455" i="2"/>
  <c r="K455" i="2"/>
  <c r="J455" i="2"/>
  <c r="U454" i="2"/>
  <c r="V454" i="2" s="1"/>
  <c r="W454" i="2" s="1"/>
  <c r="X454" i="2" s="1"/>
  <c r="K454" i="2"/>
  <c r="J454" i="2"/>
  <c r="W453" i="2"/>
  <c r="X453" i="2" s="1"/>
  <c r="V453" i="2"/>
  <c r="U453" i="2"/>
  <c r="K453" i="2"/>
  <c r="J453" i="2"/>
  <c r="W452" i="2"/>
  <c r="X452" i="2" s="1"/>
  <c r="V452" i="2"/>
  <c r="U452" i="2"/>
  <c r="K452" i="2"/>
  <c r="J452" i="2"/>
  <c r="U451" i="2"/>
  <c r="V451" i="2" s="1"/>
  <c r="W451" i="2" s="1"/>
  <c r="X451" i="2" s="1"/>
  <c r="K451" i="2"/>
  <c r="J451" i="2"/>
  <c r="U450" i="2"/>
  <c r="V450" i="2" s="1"/>
  <c r="W450" i="2" s="1"/>
  <c r="X450" i="2" s="1"/>
  <c r="K450" i="2"/>
  <c r="J450" i="2"/>
  <c r="V449" i="2"/>
  <c r="W449" i="2" s="1"/>
  <c r="X449" i="2" s="1"/>
  <c r="U449" i="2"/>
  <c r="K449" i="2"/>
  <c r="J449" i="2"/>
  <c r="U448" i="2"/>
  <c r="V448" i="2" s="1"/>
  <c r="W448" i="2" s="1"/>
  <c r="X448" i="2" s="1"/>
  <c r="K448" i="2"/>
  <c r="J448" i="2"/>
  <c r="U447" i="2"/>
  <c r="V447" i="2" s="1"/>
  <c r="W447" i="2" s="1"/>
  <c r="X447" i="2" s="1"/>
  <c r="K447" i="2"/>
  <c r="J447" i="2"/>
  <c r="V446" i="2"/>
  <c r="W446" i="2" s="1"/>
  <c r="X446" i="2" s="1"/>
  <c r="U446" i="2"/>
  <c r="K446" i="2"/>
  <c r="J446" i="2"/>
  <c r="W445" i="2"/>
  <c r="X445" i="2" s="1"/>
  <c r="V445" i="2"/>
  <c r="U445" i="2"/>
  <c r="K445" i="2"/>
  <c r="J445" i="2"/>
  <c r="W444" i="2"/>
  <c r="X444" i="2" s="1"/>
  <c r="V444" i="2"/>
  <c r="U444" i="2"/>
  <c r="K444" i="2"/>
  <c r="J444" i="2"/>
  <c r="W443" i="2"/>
  <c r="X443" i="2" s="1"/>
  <c r="V443" i="2"/>
  <c r="U443" i="2"/>
  <c r="K443" i="2"/>
  <c r="J443" i="2"/>
  <c r="U442" i="2"/>
  <c r="V442" i="2" s="1"/>
  <c r="W442" i="2" s="1"/>
  <c r="X442" i="2" s="1"/>
  <c r="K442" i="2"/>
  <c r="J442" i="2"/>
  <c r="U441" i="2"/>
  <c r="V441" i="2" s="1"/>
  <c r="W441" i="2" s="1"/>
  <c r="X441" i="2" s="1"/>
  <c r="K441" i="2"/>
  <c r="J441" i="2"/>
  <c r="U440" i="2"/>
  <c r="V440" i="2" s="1"/>
  <c r="W440" i="2" s="1"/>
  <c r="X440" i="2" s="1"/>
  <c r="K440" i="2"/>
  <c r="J440" i="2"/>
  <c r="V439" i="2"/>
  <c r="W439" i="2" s="1"/>
  <c r="X439" i="2" s="1"/>
  <c r="U439" i="2"/>
  <c r="K439" i="2"/>
  <c r="J439" i="2"/>
  <c r="W438" i="2"/>
  <c r="X438" i="2" s="1"/>
  <c r="U438" i="2"/>
  <c r="V438" i="2" s="1"/>
  <c r="K438" i="2"/>
  <c r="J438" i="2"/>
  <c r="W437" i="2"/>
  <c r="X437" i="2" s="1"/>
  <c r="V437" i="2"/>
  <c r="U437" i="2"/>
  <c r="K437" i="2"/>
  <c r="J437" i="2"/>
  <c r="U436" i="2"/>
  <c r="V436" i="2" s="1"/>
  <c r="W436" i="2" s="1"/>
  <c r="X436" i="2" s="1"/>
  <c r="K436" i="2"/>
  <c r="J436" i="2"/>
  <c r="U435" i="2"/>
  <c r="V435" i="2" s="1"/>
  <c r="W435" i="2" s="1"/>
  <c r="X435" i="2" s="1"/>
  <c r="K435" i="2"/>
  <c r="J435" i="2"/>
  <c r="U434" i="2"/>
  <c r="V434" i="2" s="1"/>
  <c r="W434" i="2" s="1"/>
  <c r="X434" i="2" s="1"/>
  <c r="K434" i="2"/>
  <c r="J434" i="2"/>
  <c r="V433" i="2"/>
  <c r="W433" i="2" s="1"/>
  <c r="X433" i="2" s="1"/>
  <c r="U433" i="2"/>
  <c r="K433" i="2"/>
  <c r="J433" i="2"/>
  <c r="U432" i="2"/>
  <c r="V432" i="2" s="1"/>
  <c r="W432" i="2" s="1"/>
  <c r="X432" i="2" s="1"/>
  <c r="K432" i="2"/>
  <c r="J432" i="2"/>
  <c r="U431" i="2"/>
  <c r="V431" i="2" s="1"/>
  <c r="W431" i="2" s="1"/>
  <c r="X431" i="2" s="1"/>
  <c r="K431" i="2"/>
  <c r="J431" i="2"/>
  <c r="V430" i="2"/>
  <c r="W430" i="2" s="1"/>
  <c r="X430" i="2" s="1"/>
  <c r="U430" i="2"/>
  <c r="K430" i="2"/>
  <c r="J430" i="2"/>
  <c r="W429" i="2"/>
  <c r="X429" i="2" s="1"/>
  <c r="V429" i="2"/>
  <c r="U429" i="2"/>
  <c r="K429" i="2"/>
  <c r="J429" i="2"/>
  <c r="U428" i="2"/>
  <c r="V428" i="2" s="1"/>
  <c r="W428" i="2" s="1"/>
  <c r="X428" i="2" s="1"/>
  <c r="K428" i="2"/>
  <c r="J428" i="2"/>
  <c r="U427" i="2"/>
  <c r="V427" i="2" s="1"/>
  <c r="W427" i="2" s="1"/>
  <c r="X427" i="2" s="1"/>
  <c r="K427" i="2"/>
  <c r="J427" i="2"/>
  <c r="U426" i="2"/>
  <c r="V426" i="2" s="1"/>
  <c r="W426" i="2" s="1"/>
  <c r="X426" i="2" s="1"/>
  <c r="K426" i="2"/>
  <c r="J426" i="2"/>
  <c r="U425" i="2"/>
  <c r="V425" i="2" s="1"/>
  <c r="W425" i="2" s="1"/>
  <c r="X425" i="2" s="1"/>
  <c r="K425" i="2"/>
  <c r="J425" i="2"/>
  <c r="U424" i="2"/>
  <c r="V424" i="2" s="1"/>
  <c r="W424" i="2" s="1"/>
  <c r="X424" i="2" s="1"/>
  <c r="K424" i="2"/>
  <c r="J424" i="2"/>
  <c r="V423" i="2"/>
  <c r="W423" i="2" s="1"/>
  <c r="X423" i="2" s="1"/>
  <c r="U423" i="2"/>
  <c r="K423" i="2"/>
  <c r="J423" i="2"/>
  <c r="U422" i="2"/>
  <c r="V422" i="2" s="1"/>
  <c r="W422" i="2" s="1"/>
  <c r="X422" i="2" s="1"/>
  <c r="K422" i="2"/>
  <c r="J422" i="2"/>
  <c r="W421" i="2"/>
  <c r="X421" i="2" s="1"/>
  <c r="V421" i="2"/>
  <c r="U421" i="2"/>
  <c r="K421" i="2"/>
  <c r="J421" i="2"/>
  <c r="W420" i="2"/>
  <c r="X420" i="2" s="1"/>
  <c r="V420" i="2"/>
  <c r="U420" i="2"/>
  <c r="K420" i="2"/>
  <c r="J420" i="2"/>
  <c r="U419" i="2"/>
  <c r="V419" i="2" s="1"/>
  <c r="W419" i="2" s="1"/>
  <c r="X419" i="2" s="1"/>
  <c r="K419" i="2"/>
  <c r="J419" i="2"/>
  <c r="V418" i="2"/>
  <c r="W418" i="2" s="1"/>
  <c r="X418" i="2" s="1"/>
  <c r="U418" i="2"/>
  <c r="K418" i="2"/>
  <c r="J418" i="2"/>
  <c r="W417" i="2"/>
  <c r="X417" i="2" s="1"/>
  <c r="V417" i="2"/>
  <c r="U417" i="2"/>
  <c r="K417" i="2"/>
  <c r="J417" i="2"/>
  <c r="U416" i="2"/>
  <c r="V416" i="2" s="1"/>
  <c r="W416" i="2" s="1"/>
  <c r="X416" i="2" s="1"/>
  <c r="K416" i="2"/>
  <c r="J416" i="2"/>
  <c r="U415" i="2"/>
  <c r="V415" i="2" s="1"/>
  <c r="W415" i="2" s="1"/>
  <c r="X415" i="2" s="1"/>
  <c r="K415" i="2"/>
  <c r="J415" i="2"/>
  <c r="U414" i="2"/>
  <c r="V414" i="2" s="1"/>
  <c r="W414" i="2" s="1"/>
  <c r="X414" i="2" s="1"/>
  <c r="K414" i="2"/>
  <c r="J414" i="2"/>
  <c r="W413" i="2"/>
  <c r="X413" i="2" s="1"/>
  <c r="V413" i="2"/>
  <c r="U413" i="2"/>
  <c r="K413" i="2"/>
  <c r="J413" i="2"/>
  <c r="V412" i="2"/>
  <c r="W412" i="2" s="1"/>
  <c r="X412" i="2" s="1"/>
  <c r="U412" i="2"/>
  <c r="K412" i="2"/>
  <c r="J412" i="2"/>
  <c r="U411" i="2"/>
  <c r="V411" i="2" s="1"/>
  <c r="W411" i="2" s="1"/>
  <c r="X411" i="2" s="1"/>
  <c r="K411" i="2"/>
  <c r="J411" i="2"/>
  <c r="X410" i="2"/>
  <c r="V410" i="2"/>
  <c r="W410" i="2" s="1"/>
  <c r="U410" i="2"/>
  <c r="K410" i="2"/>
  <c r="J410" i="2"/>
  <c r="U409" i="2"/>
  <c r="V409" i="2" s="1"/>
  <c r="W409" i="2" s="1"/>
  <c r="X409" i="2" s="1"/>
  <c r="K409" i="2"/>
  <c r="J409" i="2"/>
  <c r="U408" i="2"/>
  <c r="V408" i="2" s="1"/>
  <c r="W408" i="2" s="1"/>
  <c r="X408" i="2" s="1"/>
  <c r="K408" i="2"/>
  <c r="J408" i="2"/>
  <c r="X407" i="2"/>
  <c r="W407" i="2"/>
  <c r="V407" i="2"/>
  <c r="U407" i="2"/>
  <c r="K407" i="2"/>
  <c r="J407" i="2"/>
  <c r="U406" i="2"/>
  <c r="V406" i="2" s="1"/>
  <c r="W406" i="2" s="1"/>
  <c r="X406" i="2" s="1"/>
  <c r="K406" i="2"/>
  <c r="J406" i="2"/>
  <c r="V405" i="2"/>
  <c r="W405" i="2" s="1"/>
  <c r="X405" i="2" s="1"/>
  <c r="U405" i="2"/>
  <c r="K405" i="2"/>
  <c r="J405" i="2"/>
  <c r="U404" i="2"/>
  <c r="V404" i="2" s="1"/>
  <c r="W404" i="2" s="1"/>
  <c r="X404" i="2" s="1"/>
  <c r="K404" i="2"/>
  <c r="J404" i="2"/>
  <c r="U403" i="2"/>
  <c r="V403" i="2" s="1"/>
  <c r="W403" i="2" s="1"/>
  <c r="X403" i="2" s="1"/>
  <c r="K403" i="2"/>
  <c r="J403" i="2"/>
  <c r="U402" i="2"/>
  <c r="V402" i="2" s="1"/>
  <c r="W402" i="2" s="1"/>
  <c r="X402" i="2" s="1"/>
  <c r="K402" i="2"/>
  <c r="J402" i="2"/>
  <c r="V401" i="2"/>
  <c r="W401" i="2" s="1"/>
  <c r="X401" i="2" s="1"/>
  <c r="U401" i="2"/>
  <c r="K401" i="2"/>
  <c r="J401" i="2"/>
  <c r="U400" i="2"/>
  <c r="V400" i="2" s="1"/>
  <c r="W400" i="2" s="1"/>
  <c r="X400" i="2" s="1"/>
  <c r="K400" i="2"/>
  <c r="J400" i="2"/>
  <c r="U399" i="2"/>
  <c r="V399" i="2" s="1"/>
  <c r="W399" i="2" s="1"/>
  <c r="X399" i="2" s="1"/>
  <c r="K399" i="2"/>
  <c r="J399" i="2"/>
  <c r="U398" i="2"/>
  <c r="V398" i="2" s="1"/>
  <c r="W398" i="2" s="1"/>
  <c r="X398" i="2" s="1"/>
  <c r="K398" i="2"/>
  <c r="J398" i="2"/>
  <c r="W397" i="2"/>
  <c r="X397" i="2" s="1"/>
  <c r="V397" i="2"/>
  <c r="U397" i="2"/>
  <c r="K397" i="2"/>
  <c r="J397" i="2"/>
  <c r="V396" i="2"/>
  <c r="W396" i="2" s="1"/>
  <c r="X396" i="2" s="1"/>
  <c r="U396" i="2"/>
  <c r="K396" i="2"/>
  <c r="J396" i="2"/>
  <c r="U395" i="2"/>
  <c r="V395" i="2" s="1"/>
  <c r="W395" i="2" s="1"/>
  <c r="X395" i="2" s="1"/>
  <c r="K395" i="2"/>
  <c r="J395" i="2"/>
  <c r="X394" i="2"/>
  <c r="V394" i="2"/>
  <c r="W394" i="2" s="1"/>
  <c r="U394" i="2"/>
  <c r="K394" i="2"/>
  <c r="J394" i="2"/>
  <c r="W393" i="2"/>
  <c r="X393" i="2" s="1"/>
  <c r="V393" i="2"/>
  <c r="U393" i="2"/>
  <c r="K393" i="2"/>
  <c r="J393" i="2"/>
  <c r="U392" i="2"/>
  <c r="V392" i="2" s="1"/>
  <c r="W392" i="2" s="1"/>
  <c r="X392" i="2" s="1"/>
  <c r="K392" i="2"/>
  <c r="J392" i="2"/>
  <c r="X391" i="2"/>
  <c r="W391" i="2"/>
  <c r="V391" i="2"/>
  <c r="U391" i="2"/>
  <c r="K391" i="2"/>
  <c r="J391" i="2"/>
  <c r="U390" i="2"/>
  <c r="V390" i="2" s="1"/>
  <c r="W390" i="2" s="1"/>
  <c r="X390" i="2" s="1"/>
  <c r="K390" i="2"/>
  <c r="J390" i="2"/>
  <c r="U389" i="2"/>
  <c r="V389" i="2" s="1"/>
  <c r="W389" i="2" s="1"/>
  <c r="X389" i="2" s="1"/>
  <c r="K389" i="2"/>
  <c r="J389" i="2"/>
  <c r="W388" i="2"/>
  <c r="X388" i="2" s="1"/>
  <c r="V388" i="2"/>
  <c r="U388" i="2"/>
  <c r="K388" i="2"/>
  <c r="J388" i="2"/>
  <c r="U387" i="2"/>
  <c r="V387" i="2" s="1"/>
  <c r="W387" i="2" s="1"/>
  <c r="X387" i="2" s="1"/>
  <c r="K387" i="2"/>
  <c r="J387" i="2"/>
  <c r="U386" i="2"/>
  <c r="V386" i="2" s="1"/>
  <c r="W386" i="2" s="1"/>
  <c r="X386" i="2" s="1"/>
  <c r="K386" i="2"/>
  <c r="J386" i="2"/>
  <c r="V385" i="2"/>
  <c r="W385" i="2" s="1"/>
  <c r="X385" i="2" s="1"/>
  <c r="U385" i="2"/>
  <c r="K385" i="2"/>
  <c r="J385" i="2"/>
  <c r="W384" i="2"/>
  <c r="X384" i="2" s="1"/>
  <c r="U384" i="2"/>
  <c r="V384" i="2" s="1"/>
  <c r="K384" i="2"/>
  <c r="J384" i="2"/>
  <c r="U383" i="2"/>
  <c r="V383" i="2" s="1"/>
  <c r="W383" i="2" s="1"/>
  <c r="X383" i="2" s="1"/>
  <c r="K383" i="2"/>
  <c r="J383" i="2"/>
  <c r="V382" i="2"/>
  <c r="W382" i="2" s="1"/>
  <c r="X382" i="2" s="1"/>
  <c r="U382" i="2"/>
  <c r="K382" i="2"/>
  <c r="J382" i="2"/>
  <c r="U381" i="2"/>
  <c r="V381" i="2" s="1"/>
  <c r="W381" i="2" s="1"/>
  <c r="X381" i="2" s="1"/>
  <c r="K381" i="2"/>
  <c r="J381" i="2"/>
  <c r="U380" i="2"/>
  <c r="V380" i="2" s="1"/>
  <c r="W380" i="2" s="1"/>
  <c r="X380" i="2" s="1"/>
  <c r="K380" i="2"/>
  <c r="J380" i="2"/>
  <c r="W379" i="2"/>
  <c r="X379" i="2" s="1"/>
  <c r="V379" i="2"/>
  <c r="U379" i="2"/>
  <c r="K379" i="2"/>
  <c r="J379" i="2"/>
  <c r="U378" i="2"/>
  <c r="V378" i="2" s="1"/>
  <c r="W378" i="2" s="1"/>
  <c r="X378" i="2" s="1"/>
  <c r="K378" i="2"/>
  <c r="J378" i="2"/>
  <c r="V377" i="2"/>
  <c r="W377" i="2" s="1"/>
  <c r="X377" i="2" s="1"/>
  <c r="U377" i="2"/>
  <c r="K377" i="2"/>
  <c r="J377" i="2"/>
  <c r="X376" i="2"/>
  <c r="W376" i="2"/>
  <c r="U376" i="2"/>
  <c r="V376" i="2" s="1"/>
  <c r="K376" i="2"/>
  <c r="J376" i="2"/>
  <c r="U375" i="2"/>
  <c r="V375" i="2" s="1"/>
  <c r="W375" i="2" s="1"/>
  <c r="X375" i="2" s="1"/>
  <c r="K375" i="2"/>
  <c r="J375" i="2"/>
  <c r="U374" i="2"/>
  <c r="V374" i="2" s="1"/>
  <c r="W374" i="2" s="1"/>
  <c r="X374" i="2" s="1"/>
  <c r="K374" i="2"/>
  <c r="J374" i="2"/>
  <c r="U373" i="2"/>
  <c r="V373" i="2" s="1"/>
  <c r="W373" i="2" s="1"/>
  <c r="X373" i="2" s="1"/>
  <c r="K373" i="2"/>
  <c r="J373" i="2"/>
  <c r="U372" i="2"/>
  <c r="V372" i="2" s="1"/>
  <c r="W372" i="2" s="1"/>
  <c r="X372" i="2" s="1"/>
  <c r="K372" i="2"/>
  <c r="J372" i="2"/>
  <c r="V371" i="2"/>
  <c r="W371" i="2" s="1"/>
  <c r="X371" i="2" s="1"/>
  <c r="U371" i="2"/>
  <c r="K371" i="2"/>
  <c r="J371" i="2"/>
  <c r="U370" i="2"/>
  <c r="V370" i="2" s="1"/>
  <c r="W370" i="2" s="1"/>
  <c r="X370" i="2" s="1"/>
  <c r="K370" i="2"/>
  <c r="J370" i="2"/>
  <c r="U369" i="2"/>
  <c r="V369" i="2" s="1"/>
  <c r="W369" i="2" s="1"/>
  <c r="X369" i="2" s="1"/>
  <c r="K369" i="2"/>
  <c r="J369" i="2"/>
  <c r="W368" i="2"/>
  <c r="X368" i="2" s="1"/>
  <c r="U368" i="2"/>
  <c r="V368" i="2" s="1"/>
  <c r="K368" i="2"/>
  <c r="J368" i="2"/>
  <c r="U367" i="2"/>
  <c r="V367" i="2" s="1"/>
  <c r="W367" i="2" s="1"/>
  <c r="X367" i="2" s="1"/>
  <c r="K367" i="2"/>
  <c r="J367" i="2"/>
  <c r="U366" i="2"/>
  <c r="V366" i="2" s="1"/>
  <c r="W366" i="2" s="1"/>
  <c r="X366" i="2" s="1"/>
  <c r="K366" i="2"/>
  <c r="J366" i="2"/>
  <c r="W365" i="2"/>
  <c r="X365" i="2" s="1"/>
  <c r="V365" i="2"/>
  <c r="U365" i="2"/>
  <c r="K365" i="2"/>
  <c r="J365" i="2"/>
  <c r="U364" i="2"/>
  <c r="V364" i="2" s="1"/>
  <c r="W364" i="2" s="1"/>
  <c r="X364" i="2" s="1"/>
  <c r="K364" i="2"/>
  <c r="J364" i="2"/>
  <c r="U363" i="2"/>
  <c r="V363" i="2" s="1"/>
  <c r="W363" i="2" s="1"/>
  <c r="X363" i="2" s="1"/>
  <c r="K363" i="2"/>
  <c r="J363" i="2"/>
  <c r="U362" i="2"/>
  <c r="V362" i="2" s="1"/>
  <c r="W362" i="2" s="1"/>
  <c r="X362" i="2" s="1"/>
  <c r="K362" i="2"/>
  <c r="J362" i="2"/>
  <c r="U361" i="2"/>
  <c r="V361" i="2" s="1"/>
  <c r="W361" i="2" s="1"/>
  <c r="X361" i="2" s="1"/>
  <c r="K361" i="2"/>
  <c r="J361" i="2"/>
  <c r="W360" i="2"/>
  <c r="X360" i="2" s="1"/>
  <c r="U360" i="2"/>
  <c r="V360" i="2" s="1"/>
  <c r="K360" i="2"/>
  <c r="J360" i="2"/>
  <c r="V359" i="2"/>
  <c r="W359" i="2" s="1"/>
  <c r="X359" i="2" s="1"/>
  <c r="U359" i="2"/>
  <c r="K359" i="2"/>
  <c r="J359" i="2"/>
  <c r="U358" i="2"/>
  <c r="V358" i="2" s="1"/>
  <c r="W358" i="2" s="1"/>
  <c r="X358" i="2" s="1"/>
  <c r="K358" i="2"/>
  <c r="J358" i="2"/>
  <c r="U357" i="2"/>
  <c r="V357" i="2" s="1"/>
  <c r="W357" i="2" s="1"/>
  <c r="X357" i="2" s="1"/>
  <c r="K357" i="2"/>
  <c r="J357" i="2"/>
  <c r="U356" i="2"/>
  <c r="V356" i="2" s="1"/>
  <c r="W356" i="2" s="1"/>
  <c r="X356" i="2" s="1"/>
  <c r="K356" i="2"/>
  <c r="J356" i="2"/>
  <c r="U355" i="2"/>
  <c r="V355" i="2" s="1"/>
  <c r="W355" i="2" s="1"/>
  <c r="X355" i="2" s="1"/>
  <c r="K355" i="2"/>
  <c r="J355" i="2"/>
  <c r="W354" i="2"/>
  <c r="X354" i="2" s="1"/>
  <c r="V354" i="2"/>
  <c r="U354" i="2"/>
  <c r="K354" i="2"/>
  <c r="J354" i="2"/>
  <c r="U353" i="2"/>
  <c r="V353" i="2" s="1"/>
  <c r="W353" i="2" s="1"/>
  <c r="X353" i="2" s="1"/>
  <c r="K353" i="2"/>
  <c r="J353" i="2"/>
  <c r="W352" i="2"/>
  <c r="X352" i="2" s="1"/>
  <c r="U352" i="2"/>
  <c r="V352" i="2" s="1"/>
  <c r="K352" i="2"/>
  <c r="J352" i="2"/>
  <c r="U351" i="2"/>
  <c r="V351" i="2" s="1"/>
  <c r="W351" i="2" s="1"/>
  <c r="X351" i="2" s="1"/>
  <c r="K351" i="2"/>
  <c r="J351" i="2"/>
  <c r="U350" i="2"/>
  <c r="V350" i="2" s="1"/>
  <c r="W350" i="2" s="1"/>
  <c r="X350" i="2" s="1"/>
  <c r="K350" i="2"/>
  <c r="J350" i="2"/>
  <c r="U349" i="2"/>
  <c r="V349" i="2" s="1"/>
  <c r="W349" i="2" s="1"/>
  <c r="X349" i="2" s="1"/>
  <c r="K349" i="2"/>
  <c r="J349" i="2"/>
  <c r="U348" i="2"/>
  <c r="V348" i="2" s="1"/>
  <c r="W348" i="2" s="1"/>
  <c r="X348" i="2" s="1"/>
  <c r="K348" i="2"/>
  <c r="J348" i="2"/>
  <c r="V347" i="2"/>
  <c r="W347" i="2" s="1"/>
  <c r="X347" i="2" s="1"/>
  <c r="U347" i="2"/>
  <c r="K347" i="2"/>
  <c r="J347" i="2"/>
  <c r="U346" i="2"/>
  <c r="V346" i="2" s="1"/>
  <c r="W346" i="2" s="1"/>
  <c r="X346" i="2" s="1"/>
  <c r="K346" i="2"/>
  <c r="J346" i="2"/>
  <c r="U345" i="2"/>
  <c r="V345" i="2" s="1"/>
  <c r="W345" i="2" s="1"/>
  <c r="X345" i="2" s="1"/>
  <c r="K345" i="2"/>
  <c r="J345" i="2"/>
  <c r="U344" i="2"/>
  <c r="V344" i="2" s="1"/>
  <c r="W344" i="2" s="1"/>
  <c r="X344" i="2" s="1"/>
  <c r="K344" i="2"/>
  <c r="J344" i="2"/>
  <c r="V343" i="2"/>
  <c r="W343" i="2" s="1"/>
  <c r="X343" i="2" s="1"/>
  <c r="U343" i="2"/>
  <c r="K343" i="2"/>
  <c r="J343" i="2"/>
  <c r="U342" i="2"/>
  <c r="V342" i="2" s="1"/>
  <c r="W342" i="2" s="1"/>
  <c r="X342" i="2" s="1"/>
  <c r="K342" i="2"/>
  <c r="J342" i="2"/>
  <c r="U341" i="2"/>
  <c r="V341" i="2" s="1"/>
  <c r="W341" i="2" s="1"/>
  <c r="X341" i="2" s="1"/>
  <c r="K341" i="2"/>
  <c r="J341" i="2"/>
  <c r="X340" i="2"/>
  <c r="W340" i="2"/>
  <c r="V340" i="2"/>
  <c r="U340" i="2"/>
  <c r="K340" i="2"/>
  <c r="J340" i="2"/>
  <c r="U339" i="2"/>
  <c r="V339" i="2" s="1"/>
  <c r="W339" i="2" s="1"/>
  <c r="X339" i="2" s="1"/>
  <c r="K339" i="2"/>
  <c r="J339" i="2"/>
  <c r="U338" i="2"/>
  <c r="V338" i="2" s="1"/>
  <c r="W338" i="2" s="1"/>
  <c r="X338" i="2" s="1"/>
  <c r="K338" i="2"/>
  <c r="J338" i="2"/>
  <c r="U337" i="2"/>
  <c r="V337" i="2" s="1"/>
  <c r="W337" i="2" s="1"/>
  <c r="X337" i="2" s="1"/>
  <c r="K337" i="2"/>
  <c r="J337" i="2"/>
  <c r="U336" i="2"/>
  <c r="V336" i="2" s="1"/>
  <c r="W336" i="2" s="1"/>
  <c r="X336" i="2" s="1"/>
  <c r="K336" i="2"/>
  <c r="J336" i="2"/>
  <c r="U335" i="2"/>
  <c r="V335" i="2" s="1"/>
  <c r="W335" i="2" s="1"/>
  <c r="X335" i="2" s="1"/>
  <c r="K335" i="2"/>
  <c r="J335" i="2"/>
  <c r="V334" i="2"/>
  <c r="W334" i="2" s="1"/>
  <c r="X334" i="2" s="1"/>
  <c r="U334" i="2"/>
  <c r="K334" i="2"/>
  <c r="J334" i="2"/>
  <c r="U333" i="2"/>
  <c r="V333" i="2" s="1"/>
  <c r="W333" i="2" s="1"/>
  <c r="X333" i="2" s="1"/>
  <c r="K333" i="2"/>
  <c r="J333" i="2"/>
  <c r="V332" i="2"/>
  <c r="W332" i="2" s="1"/>
  <c r="X332" i="2" s="1"/>
  <c r="U332" i="2"/>
  <c r="K332" i="2"/>
  <c r="J332" i="2"/>
  <c r="U331" i="2"/>
  <c r="V331" i="2" s="1"/>
  <c r="W331" i="2" s="1"/>
  <c r="X331" i="2" s="1"/>
  <c r="K331" i="2"/>
  <c r="J331" i="2"/>
  <c r="U330" i="2"/>
  <c r="V330" i="2" s="1"/>
  <c r="W330" i="2" s="1"/>
  <c r="X330" i="2" s="1"/>
  <c r="K330" i="2"/>
  <c r="J330" i="2"/>
  <c r="W329" i="2"/>
  <c r="X329" i="2" s="1"/>
  <c r="V329" i="2"/>
  <c r="U329" i="2"/>
  <c r="K329" i="2"/>
  <c r="J329" i="2"/>
  <c r="W328" i="2"/>
  <c r="X328" i="2" s="1"/>
  <c r="U328" i="2"/>
  <c r="V328" i="2" s="1"/>
  <c r="K328" i="2"/>
  <c r="J328" i="2"/>
  <c r="U327" i="2"/>
  <c r="V327" i="2" s="1"/>
  <c r="W327" i="2" s="1"/>
  <c r="X327" i="2" s="1"/>
  <c r="K327" i="2"/>
  <c r="J327" i="2"/>
  <c r="U326" i="2"/>
  <c r="V326" i="2" s="1"/>
  <c r="W326" i="2" s="1"/>
  <c r="X326" i="2" s="1"/>
  <c r="K326" i="2"/>
  <c r="J326" i="2"/>
  <c r="W325" i="2"/>
  <c r="X325" i="2" s="1"/>
  <c r="U325" i="2"/>
  <c r="V325" i="2" s="1"/>
  <c r="K325" i="2"/>
  <c r="J325" i="2"/>
  <c r="U324" i="2"/>
  <c r="V324" i="2" s="1"/>
  <c r="W324" i="2" s="1"/>
  <c r="X324" i="2" s="1"/>
  <c r="K324" i="2"/>
  <c r="J324" i="2"/>
  <c r="U323" i="2"/>
  <c r="V323" i="2" s="1"/>
  <c r="W323" i="2" s="1"/>
  <c r="X323" i="2" s="1"/>
  <c r="K323" i="2"/>
  <c r="J323" i="2"/>
  <c r="U322" i="2"/>
  <c r="V322" i="2" s="1"/>
  <c r="W322" i="2" s="1"/>
  <c r="X322" i="2" s="1"/>
  <c r="K322" i="2"/>
  <c r="J322" i="2"/>
  <c r="U321" i="2"/>
  <c r="V321" i="2" s="1"/>
  <c r="W321" i="2" s="1"/>
  <c r="X321" i="2" s="1"/>
  <c r="K321" i="2"/>
  <c r="J321" i="2"/>
  <c r="W320" i="2"/>
  <c r="X320" i="2" s="1"/>
  <c r="U320" i="2"/>
  <c r="V320" i="2" s="1"/>
  <c r="K320" i="2"/>
  <c r="J320" i="2"/>
  <c r="U319" i="2"/>
  <c r="V319" i="2" s="1"/>
  <c r="W319" i="2" s="1"/>
  <c r="X319" i="2" s="1"/>
  <c r="K319" i="2"/>
  <c r="J319" i="2"/>
  <c r="X318" i="2"/>
  <c r="W318" i="2"/>
  <c r="V318" i="2"/>
  <c r="U318" i="2"/>
  <c r="K318" i="2"/>
  <c r="J318" i="2"/>
  <c r="U317" i="2"/>
  <c r="V317" i="2" s="1"/>
  <c r="W317" i="2" s="1"/>
  <c r="X317" i="2" s="1"/>
  <c r="K317" i="2"/>
  <c r="J317" i="2"/>
  <c r="U316" i="2"/>
  <c r="V316" i="2" s="1"/>
  <c r="W316" i="2" s="1"/>
  <c r="X316" i="2" s="1"/>
  <c r="K316" i="2"/>
  <c r="J316" i="2"/>
  <c r="W315" i="2"/>
  <c r="X315" i="2" s="1"/>
  <c r="V315" i="2"/>
  <c r="U315" i="2"/>
  <c r="K315" i="2"/>
  <c r="J315" i="2"/>
  <c r="U314" i="2"/>
  <c r="V314" i="2" s="1"/>
  <c r="W314" i="2" s="1"/>
  <c r="X314" i="2" s="1"/>
  <c r="K314" i="2"/>
  <c r="J314" i="2"/>
  <c r="U313" i="2"/>
  <c r="V313" i="2" s="1"/>
  <c r="W313" i="2" s="1"/>
  <c r="X313" i="2" s="1"/>
  <c r="K313" i="2"/>
  <c r="J313" i="2"/>
  <c r="X312" i="2"/>
  <c r="W312" i="2"/>
  <c r="U312" i="2"/>
  <c r="V312" i="2" s="1"/>
  <c r="K312" i="2"/>
  <c r="J312" i="2"/>
  <c r="U311" i="2"/>
  <c r="V311" i="2" s="1"/>
  <c r="W311" i="2" s="1"/>
  <c r="X311" i="2" s="1"/>
  <c r="K311" i="2"/>
  <c r="J311" i="2"/>
  <c r="U310" i="2"/>
  <c r="V310" i="2" s="1"/>
  <c r="W310" i="2" s="1"/>
  <c r="X310" i="2" s="1"/>
  <c r="K310" i="2"/>
  <c r="J310" i="2"/>
  <c r="U309" i="2"/>
  <c r="V309" i="2" s="1"/>
  <c r="W309" i="2" s="1"/>
  <c r="X309" i="2" s="1"/>
  <c r="K309" i="2"/>
  <c r="J309" i="2"/>
  <c r="U308" i="2"/>
  <c r="V308" i="2" s="1"/>
  <c r="W308" i="2" s="1"/>
  <c r="X308" i="2" s="1"/>
  <c r="K308" i="2"/>
  <c r="J308" i="2"/>
  <c r="U307" i="2"/>
  <c r="V307" i="2" s="1"/>
  <c r="W307" i="2" s="1"/>
  <c r="X307" i="2" s="1"/>
  <c r="K307" i="2"/>
  <c r="J307" i="2"/>
  <c r="U306" i="2"/>
  <c r="V306" i="2" s="1"/>
  <c r="W306" i="2" s="1"/>
  <c r="X306" i="2" s="1"/>
  <c r="K306" i="2"/>
  <c r="J306" i="2"/>
  <c r="U305" i="2"/>
  <c r="V305" i="2" s="1"/>
  <c r="W305" i="2" s="1"/>
  <c r="X305" i="2" s="1"/>
  <c r="K305" i="2"/>
  <c r="J305" i="2"/>
  <c r="W304" i="2"/>
  <c r="X304" i="2" s="1"/>
  <c r="U304" i="2"/>
  <c r="V304" i="2" s="1"/>
  <c r="K304" i="2"/>
  <c r="J304" i="2"/>
  <c r="V303" i="2"/>
  <c r="W303" i="2" s="1"/>
  <c r="X303" i="2" s="1"/>
  <c r="U303" i="2"/>
  <c r="K303" i="2"/>
  <c r="J303" i="2"/>
  <c r="U302" i="2"/>
  <c r="V302" i="2" s="1"/>
  <c r="W302" i="2" s="1"/>
  <c r="X302" i="2" s="1"/>
  <c r="K302" i="2"/>
  <c r="J302" i="2"/>
  <c r="W301" i="2"/>
  <c r="X301" i="2" s="1"/>
  <c r="V301" i="2"/>
  <c r="U301" i="2"/>
  <c r="K301" i="2"/>
  <c r="J301" i="2"/>
  <c r="U300" i="2"/>
  <c r="V300" i="2" s="1"/>
  <c r="W300" i="2" s="1"/>
  <c r="X300" i="2" s="1"/>
  <c r="K300" i="2"/>
  <c r="J300" i="2"/>
  <c r="U299" i="2"/>
  <c r="V299" i="2" s="1"/>
  <c r="W299" i="2" s="1"/>
  <c r="X299" i="2" s="1"/>
  <c r="K299" i="2"/>
  <c r="J299" i="2"/>
  <c r="U298" i="2"/>
  <c r="V298" i="2" s="1"/>
  <c r="W298" i="2" s="1"/>
  <c r="X298" i="2" s="1"/>
  <c r="K298" i="2"/>
  <c r="J298" i="2"/>
  <c r="U297" i="2"/>
  <c r="V297" i="2" s="1"/>
  <c r="W297" i="2" s="1"/>
  <c r="X297" i="2" s="1"/>
  <c r="K297" i="2"/>
  <c r="J297" i="2"/>
  <c r="U296" i="2"/>
  <c r="V296" i="2" s="1"/>
  <c r="W296" i="2" s="1"/>
  <c r="X296" i="2" s="1"/>
  <c r="K296" i="2"/>
  <c r="J296" i="2"/>
  <c r="V295" i="2"/>
  <c r="W295" i="2" s="1"/>
  <c r="X295" i="2" s="1"/>
  <c r="U295" i="2"/>
  <c r="K295" i="2"/>
  <c r="J295" i="2"/>
  <c r="U294" i="2"/>
  <c r="V294" i="2" s="1"/>
  <c r="W294" i="2" s="1"/>
  <c r="X294" i="2" s="1"/>
  <c r="K294" i="2"/>
  <c r="J294" i="2"/>
  <c r="W293" i="2"/>
  <c r="X293" i="2" s="1"/>
  <c r="V293" i="2"/>
  <c r="U293" i="2"/>
  <c r="K293" i="2"/>
  <c r="J293" i="2"/>
  <c r="U292" i="2"/>
  <c r="V292" i="2" s="1"/>
  <c r="W292" i="2" s="1"/>
  <c r="X292" i="2" s="1"/>
  <c r="K292" i="2"/>
  <c r="J292" i="2"/>
  <c r="U291" i="2"/>
  <c r="V291" i="2" s="1"/>
  <c r="W291" i="2" s="1"/>
  <c r="X291" i="2" s="1"/>
  <c r="K291" i="2"/>
  <c r="J291" i="2"/>
  <c r="W290" i="2"/>
  <c r="X290" i="2" s="1"/>
  <c r="V290" i="2"/>
  <c r="U290" i="2"/>
  <c r="K290" i="2"/>
  <c r="J290" i="2"/>
  <c r="U289" i="2"/>
  <c r="V289" i="2" s="1"/>
  <c r="W289" i="2" s="1"/>
  <c r="X289" i="2" s="1"/>
  <c r="K289" i="2"/>
  <c r="J289" i="2"/>
  <c r="U288" i="2"/>
  <c r="V288" i="2" s="1"/>
  <c r="W288" i="2" s="1"/>
  <c r="X288" i="2" s="1"/>
  <c r="K288" i="2"/>
  <c r="J288" i="2"/>
  <c r="U287" i="2"/>
  <c r="V287" i="2" s="1"/>
  <c r="W287" i="2" s="1"/>
  <c r="X287" i="2" s="1"/>
  <c r="K287" i="2"/>
  <c r="J287" i="2"/>
  <c r="U286" i="2"/>
  <c r="V286" i="2" s="1"/>
  <c r="W286" i="2" s="1"/>
  <c r="X286" i="2" s="1"/>
  <c r="K286" i="2"/>
  <c r="J286" i="2"/>
  <c r="V285" i="2"/>
  <c r="W285" i="2" s="1"/>
  <c r="X285" i="2" s="1"/>
  <c r="U285" i="2"/>
  <c r="K285" i="2"/>
  <c r="J285" i="2"/>
  <c r="U284" i="2"/>
  <c r="V284" i="2" s="1"/>
  <c r="W284" i="2" s="1"/>
  <c r="X284" i="2" s="1"/>
  <c r="K284" i="2"/>
  <c r="J284" i="2"/>
  <c r="U283" i="2"/>
  <c r="V283" i="2" s="1"/>
  <c r="W283" i="2" s="1"/>
  <c r="X283" i="2" s="1"/>
  <c r="K283" i="2"/>
  <c r="J283" i="2"/>
  <c r="U282" i="2"/>
  <c r="V282" i="2" s="1"/>
  <c r="W282" i="2" s="1"/>
  <c r="X282" i="2" s="1"/>
  <c r="K282" i="2"/>
  <c r="J282" i="2"/>
  <c r="U281" i="2"/>
  <c r="V281" i="2" s="1"/>
  <c r="W281" i="2" s="1"/>
  <c r="X281" i="2" s="1"/>
  <c r="K281" i="2"/>
  <c r="J281" i="2"/>
  <c r="X280" i="2"/>
  <c r="W280" i="2"/>
  <c r="U280" i="2"/>
  <c r="V280" i="2" s="1"/>
  <c r="K280" i="2"/>
  <c r="J280" i="2"/>
  <c r="V279" i="2"/>
  <c r="W279" i="2" s="1"/>
  <c r="X279" i="2" s="1"/>
  <c r="U279" i="2"/>
  <c r="K279" i="2"/>
  <c r="J279" i="2"/>
  <c r="U278" i="2"/>
  <c r="V278" i="2" s="1"/>
  <c r="W278" i="2" s="1"/>
  <c r="X278" i="2" s="1"/>
  <c r="K278" i="2"/>
  <c r="J278" i="2"/>
  <c r="W277" i="2"/>
  <c r="X277" i="2" s="1"/>
  <c r="V277" i="2"/>
  <c r="U277" i="2"/>
  <c r="K277" i="2"/>
  <c r="J277" i="2"/>
  <c r="W276" i="2"/>
  <c r="X276" i="2" s="1"/>
  <c r="V276" i="2"/>
  <c r="U276" i="2"/>
  <c r="K276" i="2"/>
  <c r="J276" i="2"/>
  <c r="U275" i="2"/>
  <c r="V275" i="2" s="1"/>
  <c r="W275" i="2" s="1"/>
  <c r="X275" i="2" s="1"/>
  <c r="K275" i="2"/>
  <c r="J275" i="2"/>
  <c r="W274" i="2"/>
  <c r="X274" i="2" s="1"/>
  <c r="V274" i="2"/>
  <c r="U274" i="2"/>
  <c r="K274" i="2"/>
  <c r="J274" i="2"/>
  <c r="U273" i="2"/>
  <c r="V273" i="2" s="1"/>
  <c r="W273" i="2" s="1"/>
  <c r="X273" i="2" s="1"/>
  <c r="K273" i="2"/>
  <c r="J273" i="2"/>
  <c r="U272" i="2"/>
  <c r="V272" i="2" s="1"/>
  <c r="W272" i="2" s="1"/>
  <c r="X272" i="2" s="1"/>
  <c r="K272" i="2"/>
  <c r="J272" i="2"/>
  <c r="U271" i="2"/>
  <c r="V271" i="2" s="1"/>
  <c r="W271" i="2" s="1"/>
  <c r="X271" i="2" s="1"/>
  <c r="K271" i="2"/>
  <c r="J271" i="2"/>
  <c r="V270" i="2"/>
  <c r="W270" i="2" s="1"/>
  <c r="X270" i="2" s="1"/>
  <c r="U270" i="2"/>
  <c r="K270" i="2"/>
  <c r="J270" i="2"/>
  <c r="U269" i="2"/>
  <c r="V269" i="2" s="1"/>
  <c r="W269" i="2" s="1"/>
  <c r="X269" i="2" s="1"/>
  <c r="K269" i="2"/>
  <c r="J269" i="2"/>
  <c r="U268" i="2"/>
  <c r="V268" i="2" s="1"/>
  <c r="W268" i="2" s="1"/>
  <c r="X268" i="2" s="1"/>
  <c r="K268" i="2"/>
  <c r="J268" i="2"/>
  <c r="U267" i="2"/>
  <c r="V267" i="2" s="1"/>
  <c r="W267" i="2" s="1"/>
  <c r="X267" i="2" s="1"/>
  <c r="K267" i="2"/>
  <c r="J267" i="2"/>
  <c r="U266" i="2"/>
  <c r="V266" i="2" s="1"/>
  <c r="W266" i="2" s="1"/>
  <c r="X266" i="2" s="1"/>
  <c r="K266" i="2"/>
  <c r="J266" i="2"/>
  <c r="W265" i="2"/>
  <c r="X265" i="2" s="1"/>
  <c r="V265" i="2"/>
  <c r="U265" i="2"/>
  <c r="K265" i="2"/>
  <c r="J265" i="2"/>
  <c r="U264" i="2"/>
  <c r="V264" i="2" s="1"/>
  <c r="W264" i="2" s="1"/>
  <c r="X264" i="2" s="1"/>
  <c r="K264" i="2"/>
  <c r="J264" i="2"/>
  <c r="U263" i="2"/>
  <c r="V263" i="2" s="1"/>
  <c r="W263" i="2" s="1"/>
  <c r="X263" i="2" s="1"/>
  <c r="K263" i="2"/>
  <c r="J263" i="2"/>
  <c r="U262" i="2"/>
  <c r="V262" i="2" s="1"/>
  <c r="W262" i="2" s="1"/>
  <c r="X262" i="2" s="1"/>
  <c r="K262" i="2"/>
  <c r="J262" i="2"/>
  <c r="W261" i="2"/>
  <c r="X261" i="2" s="1"/>
  <c r="V261" i="2"/>
  <c r="U261" i="2"/>
  <c r="K261" i="2"/>
  <c r="J261" i="2"/>
  <c r="U260" i="2"/>
  <c r="V260" i="2" s="1"/>
  <c r="W260" i="2" s="1"/>
  <c r="X260" i="2" s="1"/>
  <c r="K260" i="2"/>
  <c r="J260" i="2"/>
  <c r="U259" i="2"/>
  <c r="V259" i="2" s="1"/>
  <c r="W259" i="2" s="1"/>
  <c r="X259" i="2" s="1"/>
  <c r="K259" i="2"/>
  <c r="J259" i="2"/>
  <c r="V258" i="2"/>
  <c r="W258" i="2" s="1"/>
  <c r="X258" i="2" s="1"/>
  <c r="U258" i="2"/>
  <c r="K258" i="2"/>
  <c r="J258" i="2"/>
  <c r="U257" i="2"/>
  <c r="V257" i="2" s="1"/>
  <c r="W257" i="2" s="1"/>
  <c r="X257" i="2" s="1"/>
  <c r="K257" i="2"/>
  <c r="J257" i="2"/>
  <c r="W256" i="2"/>
  <c r="X256" i="2" s="1"/>
  <c r="U256" i="2"/>
  <c r="V256" i="2" s="1"/>
  <c r="K256" i="2"/>
  <c r="J256" i="2"/>
  <c r="V255" i="2"/>
  <c r="W255" i="2" s="1"/>
  <c r="X255" i="2" s="1"/>
  <c r="U255" i="2"/>
  <c r="K255" i="2"/>
  <c r="J255" i="2"/>
  <c r="V254" i="2"/>
  <c r="W254" i="2" s="1"/>
  <c r="X254" i="2" s="1"/>
  <c r="U254" i="2"/>
  <c r="K254" i="2"/>
  <c r="J254" i="2"/>
  <c r="U253" i="2"/>
  <c r="V253" i="2" s="1"/>
  <c r="W253" i="2" s="1"/>
  <c r="X253" i="2" s="1"/>
  <c r="K253" i="2"/>
  <c r="J253" i="2"/>
  <c r="V252" i="2"/>
  <c r="W252" i="2" s="1"/>
  <c r="X252" i="2" s="1"/>
  <c r="U252" i="2"/>
  <c r="K252" i="2"/>
  <c r="J252" i="2"/>
  <c r="W251" i="2"/>
  <c r="X251" i="2" s="1"/>
  <c r="V251" i="2"/>
  <c r="U251" i="2"/>
  <c r="K251" i="2"/>
  <c r="J251" i="2"/>
  <c r="V250" i="2"/>
  <c r="W250" i="2" s="1"/>
  <c r="X250" i="2" s="1"/>
  <c r="U250" i="2"/>
  <c r="K250" i="2"/>
  <c r="J250" i="2"/>
  <c r="W249" i="2"/>
  <c r="X249" i="2" s="1"/>
  <c r="V249" i="2"/>
  <c r="U249" i="2"/>
  <c r="K249" i="2"/>
  <c r="J249" i="2"/>
  <c r="U248" i="2"/>
  <c r="V248" i="2" s="1"/>
  <c r="W248" i="2" s="1"/>
  <c r="X248" i="2" s="1"/>
  <c r="K248" i="2"/>
  <c r="J248" i="2"/>
  <c r="U247" i="2"/>
  <c r="V247" i="2" s="1"/>
  <c r="W247" i="2" s="1"/>
  <c r="X247" i="2" s="1"/>
  <c r="K247" i="2"/>
  <c r="J247" i="2"/>
  <c r="V246" i="2"/>
  <c r="W246" i="2" s="1"/>
  <c r="X246" i="2" s="1"/>
  <c r="U246" i="2"/>
  <c r="K246" i="2"/>
  <c r="J246" i="2"/>
  <c r="U245" i="2"/>
  <c r="V245" i="2" s="1"/>
  <c r="W245" i="2" s="1"/>
  <c r="X245" i="2" s="1"/>
  <c r="K245" i="2"/>
  <c r="J245" i="2"/>
  <c r="U244" i="2"/>
  <c r="V244" i="2" s="1"/>
  <c r="W244" i="2" s="1"/>
  <c r="X244" i="2" s="1"/>
  <c r="K244" i="2"/>
  <c r="J244" i="2"/>
  <c r="U243" i="2"/>
  <c r="V243" i="2" s="1"/>
  <c r="W243" i="2" s="1"/>
  <c r="X243" i="2" s="1"/>
  <c r="K243" i="2"/>
  <c r="J243" i="2"/>
  <c r="W242" i="2"/>
  <c r="X242" i="2" s="1"/>
  <c r="U242" i="2"/>
  <c r="V242" i="2" s="1"/>
  <c r="K242" i="2"/>
  <c r="J242" i="2"/>
  <c r="U241" i="2"/>
  <c r="V241" i="2" s="1"/>
  <c r="W241" i="2" s="1"/>
  <c r="X241" i="2" s="1"/>
  <c r="K241" i="2"/>
  <c r="J241" i="2"/>
  <c r="W240" i="2"/>
  <c r="X240" i="2" s="1"/>
  <c r="U240" i="2"/>
  <c r="V240" i="2" s="1"/>
  <c r="K240" i="2"/>
  <c r="J240" i="2"/>
  <c r="V239" i="2"/>
  <c r="W239" i="2" s="1"/>
  <c r="X239" i="2" s="1"/>
  <c r="U239" i="2"/>
  <c r="K239" i="2"/>
  <c r="J239" i="2"/>
  <c r="V238" i="2"/>
  <c r="W238" i="2" s="1"/>
  <c r="X238" i="2" s="1"/>
  <c r="U238" i="2"/>
  <c r="K238" i="2"/>
  <c r="J238" i="2"/>
  <c r="W237" i="2"/>
  <c r="X237" i="2" s="1"/>
  <c r="V237" i="2"/>
  <c r="U237" i="2"/>
  <c r="K237" i="2"/>
  <c r="J237" i="2"/>
  <c r="V236" i="2"/>
  <c r="W236" i="2" s="1"/>
  <c r="X236" i="2" s="1"/>
  <c r="U236" i="2"/>
  <c r="K236" i="2"/>
  <c r="J236" i="2"/>
  <c r="U235" i="2"/>
  <c r="V235" i="2" s="1"/>
  <c r="W235" i="2" s="1"/>
  <c r="X235" i="2" s="1"/>
  <c r="K235" i="2"/>
  <c r="J235" i="2"/>
  <c r="U234" i="2"/>
  <c r="V234" i="2" s="1"/>
  <c r="W234" i="2" s="1"/>
  <c r="X234" i="2" s="1"/>
  <c r="K234" i="2"/>
  <c r="J234" i="2"/>
  <c r="X233" i="2"/>
  <c r="U233" i="2"/>
  <c r="V233" i="2" s="1"/>
  <c r="W233" i="2" s="1"/>
  <c r="K233" i="2"/>
  <c r="J233" i="2"/>
  <c r="U232" i="2"/>
  <c r="V232" i="2" s="1"/>
  <c r="W232" i="2" s="1"/>
  <c r="X232" i="2" s="1"/>
  <c r="K232" i="2"/>
  <c r="J232" i="2"/>
  <c r="V231" i="2"/>
  <c r="W231" i="2" s="1"/>
  <c r="X231" i="2" s="1"/>
  <c r="U231" i="2"/>
  <c r="K231" i="2"/>
  <c r="J231" i="2"/>
  <c r="W230" i="2"/>
  <c r="X230" i="2" s="1"/>
  <c r="V230" i="2"/>
  <c r="U230" i="2"/>
  <c r="K230" i="2"/>
  <c r="J230" i="2"/>
  <c r="U229" i="2"/>
  <c r="V229" i="2" s="1"/>
  <c r="W229" i="2" s="1"/>
  <c r="X229" i="2" s="1"/>
  <c r="K229" i="2"/>
  <c r="J229" i="2"/>
  <c r="U228" i="2"/>
  <c r="V228" i="2" s="1"/>
  <c r="W228" i="2" s="1"/>
  <c r="X228" i="2" s="1"/>
  <c r="K228" i="2"/>
  <c r="J228" i="2"/>
  <c r="V227" i="2"/>
  <c r="W227" i="2" s="1"/>
  <c r="X227" i="2" s="1"/>
  <c r="U227" i="2"/>
  <c r="K227" i="2"/>
  <c r="J227" i="2"/>
  <c r="W226" i="2"/>
  <c r="X226" i="2" s="1"/>
  <c r="V226" i="2"/>
  <c r="U226" i="2"/>
  <c r="K226" i="2"/>
  <c r="J226" i="2"/>
  <c r="U225" i="2"/>
  <c r="V225" i="2" s="1"/>
  <c r="W225" i="2" s="1"/>
  <c r="X225" i="2" s="1"/>
  <c r="K225" i="2"/>
  <c r="J225" i="2"/>
  <c r="W224" i="2"/>
  <c r="X224" i="2" s="1"/>
  <c r="U224" i="2"/>
  <c r="V224" i="2" s="1"/>
  <c r="K224" i="2"/>
  <c r="J224" i="2"/>
  <c r="U223" i="2"/>
  <c r="V223" i="2" s="1"/>
  <c r="W223" i="2" s="1"/>
  <c r="X223" i="2" s="1"/>
  <c r="K223" i="2"/>
  <c r="J223" i="2"/>
  <c r="V222" i="2"/>
  <c r="W222" i="2" s="1"/>
  <c r="X222" i="2" s="1"/>
  <c r="U222" i="2"/>
  <c r="K222" i="2"/>
  <c r="J222" i="2"/>
  <c r="U221" i="2"/>
  <c r="V221" i="2" s="1"/>
  <c r="W221" i="2" s="1"/>
  <c r="X221" i="2" s="1"/>
  <c r="K221" i="2"/>
  <c r="J221" i="2"/>
  <c r="U220" i="2"/>
  <c r="V220" i="2" s="1"/>
  <c r="W220" i="2" s="1"/>
  <c r="X220" i="2" s="1"/>
  <c r="K220" i="2"/>
  <c r="J220" i="2"/>
  <c r="V219" i="2"/>
  <c r="W219" i="2" s="1"/>
  <c r="X219" i="2" s="1"/>
  <c r="U219" i="2"/>
  <c r="K219" i="2"/>
  <c r="J219" i="2"/>
  <c r="U218" i="2"/>
  <c r="V218" i="2" s="1"/>
  <c r="W218" i="2" s="1"/>
  <c r="X218" i="2" s="1"/>
  <c r="K218" i="2"/>
  <c r="J218" i="2"/>
  <c r="U217" i="2"/>
  <c r="V217" i="2" s="1"/>
  <c r="W217" i="2" s="1"/>
  <c r="X217" i="2" s="1"/>
  <c r="K217" i="2"/>
  <c r="J217" i="2"/>
  <c r="U216" i="2"/>
  <c r="V216" i="2" s="1"/>
  <c r="W216" i="2" s="1"/>
  <c r="X216" i="2" s="1"/>
  <c r="K216" i="2"/>
  <c r="J216" i="2"/>
  <c r="V215" i="2"/>
  <c r="W215" i="2" s="1"/>
  <c r="X215" i="2" s="1"/>
  <c r="U215" i="2"/>
  <c r="K215" i="2"/>
  <c r="J215" i="2"/>
  <c r="U214" i="2"/>
  <c r="V214" i="2" s="1"/>
  <c r="W214" i="2" s="1"/>
  <c r="X214" i="2" s="1"/>
  <c r="K214" i="2"/>
  <c r="J214" i="2"/>
  <c r="V213" i="2"/>
  <c r="W213" i="2" s="1"/>
  <c r="X213" i="2" s="1"/>
  <c r="U213" i="2"/>
  <c r="K213" i="2"/>
  <c r="J213" i="2"/>
  <c r="X212" i="2"/>
  <c r="W212" i="2"/>
  <c r="V212" i="2"/>
  <c r="U212" i="2"/>
  <c r="K212" i="2"/>
  <c r="J212" i="2"/>
  <c r="U211" i="2"/>
  <c r="V211" i="2" s="1"/>
  <c r="W211" i="2" s="1"/>
  <c r="X211" i="2" s="1"/>
  <c r="K211" i="2"/>
  <c r="J211" i="2"/>
  <c r="U210" i="2"/>
  <c r="V210" i="2" s="1"/>
  <c r="W210" i="2" s="1"/>
  <c r="X210" i="2" s="1"/>
  <c r="K210" i="2"/>
  <c r="J210" i="2"/>
  <c r="U209" i="2"/>
  <c r="V209" i="2" s="1"/>
  <c r="W209" i="2" s="1"/>
  <c r="X209" i="2" s="1"/>
  <c r="K209" i="2"/>
  <c r="J209" i="2"/>
  <c r="W208" i="2"/>
  <c r="X208" i="2" s="1"/>
  <c r="U208" i="2"/>
  <c r="V208" i="2" s="1"/>
  <c r="K208" i="2"/>
  <c r="J208" i="2"/>
  <c r="U207" i="2"/>
  <c r="V207" i="2" s="1"/>
  <c r="W207" i="2" s="1"/>
  <c r="X207" i="2" s="1"/>
  <c r="K207" i="2"/>
  <c r="J207" i="2"/>
  <c r="V206" i="2"/>
  <c r="W206" i="2" s="1"/>
  <c r="X206" i="2" s="1"/>
  <c r="U206" i="2"/>
  <c r="K206" i="2"/>
  <c r="J206" i="2"/>
  <c r="U205" i="2"/>
  <c r="V205" i="2" s="1"/>
  <c r="W205" i="2" s="1"/>
  <c r="X205" i="2" s="1"/>
  <c r="K205" i="2"/>
  <c r="J205" i="2"/>
  <c r="U204" i="2"/>
  <c r="V204" i="2" s="1"/>
  <c r="W204" i="2" s="1"/>
  <c r="X204" i="2" s="1"/>
  <c r="K204" i="2"/>
  <c r="J204" i="2"/>
  <c r="W203" i="2"/>
  <c r="X203" i="2" s="1"/>
  <c r="U203" i="2"/>
  <c r="V203" i="2" s="1"/>
  <c r="K203" i="2"/>
  <c r="J203" i="2"/>
  <c r="U202" i="2"/>
  <c r="V202" i="2" s="1"/>
  <c r="W202" i="2" s="1"/>
  <c r="X202" i="2" s="1"/>
  <c r="K202" i="2"/>
  <c r="J202" i="2"/>
  <c r="X201" i="2"/>
  <c r="W201" i="2"/>
  <c r="V201" i="2"/>
  <c r="U201" i="2"/>
  <c r="K201" i="2"/>
  <c r="J201" i="2"/>
  <c r="W200" i="2"/>
  <c r="X200" i="2" s="1"/>
  <c r="U200" i="2"/>
  <c r="V200" i="2" s="1"/>
  <c r="K200" i="2"/>
  <c r="J200" i="2"/>
  <c r="U199" i="2"/>
  <c r="V199" i="2" s="1"/>
  <c r="W199" i="2" s="1"/>
  <c r="X199" i="2" s="1"/>
  <c r="K199" i="2"/>
  <c r="J199" i="2"/>
  <c r="X198" i="2"/>
  <c r="W198" i="2"/>
  <c r="V198" i="2"/>
  <c r="U198" i="2"/>
  <c r="K198" i="2"/>
  <c r="J198" i="2"/>
  <c r="U197" i="2"/>
  <c r="V197" i="2" s="1"/>
  <c r="W197" i="2" s="1"/>
  <c r="X197" i="2" s="1"/>
  <c r="K197" i="2"/>
  <c r="J197" i="2"/>
  <c r="V196" i="2"/>
  <c r="W196" i="2" s="1"/>
  <c r="X196" i="2" s="1"/>
  <c r="U196" i="2"/>
  <c r="K196" i="2"/>
  <c r="J196" i="2"/>
  <c r="U195" i="2"/>
  <c r="V195" i="2" s="1"/>
  <c r="W195" i="2" s="1"/>
  <c r="X195" i="2" s="1"/>
  <c r="K195" i="2"/>
  <c r="J195" i="2"/>
  <c r="V194" i="2"/>
  <c r="W194" i="2" s="1"/>
  <c r="X194" i="2" s="1"/>
  <c r="U194" i="2"/>
  <c r="K194" i="2"/>
  <c r="J194" i="2"/>
  <c r="U193" i="2"/>
  <c r="V193" i="2" s="1"/>
  <c r="W193" i="2" s="1"/>
  <c r="X193" i="2" s="1"/>
  <c r="K193" i="2"/>
  <c r="J193" i="2"/>
  <c r="W192" i="2"/>
  <c r="X192" i="2" s="1"/>
  <c r="U192" i="2"/>
  <c r="V192" i="2" s="1"/>
  <c r="K192" i="2"/>
  <c r="J192" i="2"/>
  <c r="V191" i="2"/>
  <c r="W191" i="2" s="1"/>
  <c r="X191" i="2" s="1"/>
  <c r="U191" i="2"/>
  <c r="K191" i="2"/>
  <c r="J191" i="2"/>
  <c r="V190" i="2"/>
  <c r="W190" i="2" s="1"/>
  <c r="X190" i="2" s="1"/>
  <c r="U190" i="2"/>
  <c r="K190" i="2"/>
  <c r="J190" i="2"/>
  <c r="W189" i="2"/>
  <c r="X189" i="2" s="1"/>
  <c r="U189" i="2"/>
  <c r="V189" i="2" s="1"/>
  <c r="K189" i="2"/>
  <c r="J189" i="2"/>
  <c r="V188" i="2"/>
  <c r="W188" i="2" s="1"/>
  <c r="X188" i="2" s="1"/>
  <c r="U188" i="2"/>
  <c r="K188" i="2"/>
  <c r="J188" i="2"/>
  <c r="W187" i="2"/>
  <c r="X187" i="2" s="1"/>
  <c r="V187" i="2"/>
  <c r="U187" i="2"/>
  <c r="K187" i="2"/>
  <c r="J187" i="2"/>
  <c r="W186" i="2"/>
  <c r="X186" i="2" s="1"/>
  <c r="V186" i="2"/>
  <c r="U186" i="2"/>
  <c r="K186" i="2"/>
  <c r="J186" i="2"/>
  <c r="U185" i="2"/>
  <c r="V185" i="2" s="1"/>
  <c r="W185" i="2" s="1"/>
  <c r="X185" i="2" s="1"/>
  <c r="K185" i="2"/>
  <c r="J185" i="2"/>
  <c r="U184" i="2"/>
  <c r="V184" i="2" s="1"/>
  <c r="W184" i="2" s="1"/>
  <c r="X184" i="2" s="1"/>
  <c r="K184" i="2"/>
  <c r="J184" i="2"/>
  <c r="V183" i="2"/>
  <c r="W183" i="2" s="1"/>
  <c r="X183" i="2" s="1"/>
  <c r="U183" i="2"/>
  <c r="K183" i="2"/>
  <c r="J183" i="2"/>
  <c r="U182" i="2"/>
  <c r="V182" i="2" s="1"/>
  <c r="W182" i="2" s="1"/>
  <c r="X182" i="2" s="1"/>
  <c r="K182" i="2"/>
  <c r="J182" i="2"/>
  <c r="U181" i="2"/>
  <c r="V181" i="2" s="1"/>
  <c r="W181" i="2" s="1"/>
  <c r="X181" i="2" s="1"/>
  <c r="K181" i="2"/>
  <c r="J181" i="2"/>
  <c r="U180" i="2"/>
  <c r="V180" i="2" s="1"/>
  <c r="W180" i="2" s="1"/>
  <c r="X180" i="2" s="1"/>
  <c r="K180" i="2"/>
  <c r="J180" i="2"/>
  <c r="U179" i="2"/>
  <c r="V179" i="2" s="1"/>
  <c r="W179" i="2" s="1"/>
  <c r="X179" i="2" s="1"/>
  <c r="K179" i="2"/>
  <c r="J179" i="2"/>
  <c r="U178" i="2"/>
  <c r="V178" i="2" s="1"/>
  <c r="W178" i="2" s="1"/>
  <c r="X178" i="2" s="1"/>
  <c r="K178" i="2"/>
  <c r="J178" i="2"/>
  <c r="U177" i="2"/>
  <c r="V177" i="2" s="1"/>
  <c r="W177" i="2" s="1"/>
  <c r="X177" i="2" s="1"/>
  <c r="K177" i="2"/>
  <c r="J177" i="2"/>
  <c r="W176" i="2"/>
  <c r="X176" i="2" s="1"/>
  <c r="U176" i="2"/>
  <c r="V176" i="2" s="1"/>
  <c r="K176" i="2"/>
  <c r="J176" i="2"/>
  <c r="V175" i="2"/>
  <c r="W175" i="2" s="1"/>
  <c r="X175" i="2" s="1"/>
  <c r="U175" i="2"/>
  <c r="K175" i="2"/>
  <c r="J175" i="2"/>
  <c r="U174" i="2"/>
  <c r="V174" i="2" s="1"/>
  <c r="W174" i="2" s="1"/>
  <c r="X174" i="2" s="1"/>
  <c r="K174" i="2"/>
  <c r="J174" i="2"/>
  <c r="W173" i="2"/>
  <c r="X173" i="2" s="1"/>
  <c r="V173" i="2"/>
  <c r="U173" i="2"/>
  <c r="K173" i="2"/>
  <c r="J173" i="2"/>
  <c r="U172" i="2"/>
  <c r="V172" i="2" s="1"/>
  <c r="W172" i="2" s="1"/>
  <c r="X172" i="2" s="1"/>
  <c r="K172" i="2"/>
  <c r="J172" i="2"/>
  <c r="X171" i="2"/>
  <c r="U171" i="2"/>
  <c r="V171" i="2" s="1"/>
  <c r="W171" i="2" s="1"/>
  <c r="K171" i="2"/>
  <c r="J171" i="2"/>
  <c r="U170" i="2"/>
  <c r="V170" i="2" s="1"/>
  <c r="W170" i="2" s="1"/>
  <c r="X170" i="2" s="1"/>
  <c r="K170" i="2"/>
  <c r="J170" i="2"/>
  <c r="U169" i="2"/>
  <c r="V169" i="2" s="1"/>
  <c r="W169" i="2" s="1"/>
  <c r="X169" i="2" s="1"/>
  <c r="K169" i="2"/>
  <c r="J169" i="2"/>
  <c r="W168" i="2"/>
  <c r="X168" i="2" s="1"/>
  <c r="U168" i="2"/>
  <c r="V168" i="2" s="1"/>
  <c r="K168" i="2"/>
  <c r="J168" i="2"/>
  <c r="V167" i="2"/>
  <c r="W167" i="2" s="1"/>
  <c r="X167" i="2" s="1"/>
  <c r="U167" i="2"/>
  <c r="K167" i="2"/>
  <c r="J167" i="2"/>
  <c r="U166" i="2"/>
  <c r="V166" i="2" s="1"/>
  <c r="W166" i="2" s="1"/>
  <c r="X166" i="2" s="1"/>
  <c r="K166" i="2"/>
  <c r="J166" i="2"/>
  <c r="U165" i="2"/>
  <c r="V165" i="2" s="1"/>
  <c r="W165" i="2" s="1"/>
  <c r="X165" i="2" s="1"/>
  <c r="K165" i="2"/>
  <c r="J165" i="2"/>
  <c r="U164" i="2"/>
  <c r="V164" i="2" s="1"/>
  <c r="W164" i="2" s="1"/>
  <c r="X164" i="2" s="1"/>
  <c r="K164" i="2"/>
  <c r="J164" i="2"/>
  <c r="U163" i="2"/>
  <c r="V163" i="2" s="1"/>
  <c r="W163" i="2" s="1"/>
  <c r="X163" i="2" s="1"/>
  <c r="K163" i="2"/>
  <c r="J163" i="2"/>
  <c r="U162" i="2"/>
  <c r="V162" i="2" s="1"/>
  <c r="W162" i="2" s="1"/>
  <c r="X162" i="2" s="1"/>
  <c r="K162" i="2"/>
  <c r="J162" i="2"/>
  <c r="U161" i="2"/>
  <c r="V161" i="2" s="1"/>
  <c r="W161" i="2" s="1"/>
  <c r="X161" i="2" s="1"/>
  <c r="K161" i="2"/>
  <c r="J161" i="2"/>
  <c r="U160" i="2"/>
  <c r="V160" i="2" s="1"/>
  <c r="W160" i="2" s="1"/>
  <c r="X160" i="2" s="1"/>
  <c r="K160" i="2"/>
  <c r="J160" i="2"/>
  <c r="U159" i="2"/>
  <c r="V159" i="2" s="1"/>
  <c r="W159" i="2" s="1"/>
  <c r="X159" i="2" s="1"/>
  <c r="K159" i="2"/>
  <c r="J159" i="2"/>
  <c r="U158" i="2"/>
  <c r="V158" i="2" s="1"/>
  <c r="W158" i="2" s="1"/>
  <c r="X158" i="2" s="1"/>
  <c r="K158" i="2"/>
  <c r="J158" i="2"/>
  <c r="V157" i="2"/>
  <c r="W157" i="2" s="1"/>
  <c r="X157" i="2" s="1"/>
  <c r="U157" i="2"/>
  <c r="K157" i="2"/>
  <c r="J157" i="2"/>
  <c r="U156" i="2"/>
  <c r="V156" i="2" s="1"/>
  <c r="W156" i="2" s="1"/>
  <c r="X156" i="2" s="1"/>
  <c r="K156" i="2"/>
  <c r="J156" i="2"/>
  <c r="U155" i="2"/>
  <c r="V155" i="2" s="1"/>
  <c r="W155" i="2" s="1"/>
  <c r="X155" i="2" s="1"/>
  <c r="K155" i="2"/>
  <c r="J155" i="2"/>
  <c r="U154" i="2"/>
  <c r="V154" i="2" s="1"/>
  <c r="W154" i="2" s="1"/>
  <c r="X154" i="2" s="1"/>
  <c r="K154" i="2"/>
  <c r="J154" i="2"/>
  <c r="U153" i="2"/>
  <c r="V153" i="2" s="1"/>
  <c r="W153" i="2" s="1"/>
  <c r="X153" i="2" s="1"/>
  <c r="K153" i="2"/>
  <c r="J153" i="2"/>
  <c r="U152" i="2"/>
  <c r="V152" i="2" s="1"/>
  <c r="W152" i="2" s="1"/>
  <c r="X152" i="2" s="1"/>
  <c r="K152" i="2"/>
  <c r="J152" i="2"/>
  <c r="U151" i="2"/>
  <c r="V151" i="2" s="1"/>
  <c r="W151" i="2" s="1"/>
  <c r="X151" i="2" s="1"/>
  <c r="K151" i="2"/>
  <c r="J151" i="2"/>
  <c r="V150" i="2"/>
  <c r="W150" i="2" s="1"/>
  <c r="X150" i="2" s="1"/>
  <c r="U150" i="2"/>
  <c r="K150" i="2"/>
  <c r="J150" i="2"/>
  <c r="W149" i="2"/>
  <c r="X149" i="2" s="1"/>
  <c r="V149" i="2"/>
  <c r="U149" i="2"/>
  <c r="K149" i="2"/>
  <c r="J149" i="2"/>
  <c r="U148" i="2"/>
  <c r="V148" i="2" s="1"/>
  <c r="W148" i="2" s="1"/>
  <c r="X148" i="2" s="1"/>
  <c r="K148" i="2"/>
  <c r="J148" i="2"/>
  <c r="U147" i="2"/>
  <c r="V147" i="2" s="1"/>
  <c r="W147" i="2" s="1"/>
  <c r="X147" i="2" s="1"/>
  <c r="K147" i="2"/>
  <c r="J147" i="2"/>
  <c r="W146" i="2"/>
  <c r="X146" i="2" s="1"/>
  <c r="U146" i="2"/>
  <c r="V146" i="2" s="1"/>
  <c r="K146" i="2"/>
  <c r="J146" i="2"/>
  <c r="U145" i="2"/>
  <c r="V145" i="2" s="1"/>
  <c r="W145" i="2" s="1"/>
  <c r="X145" i="2" s="1"/>
  <c r="K145" i="2"/>
  <c r="J145" i="2"/>
  <c r="U144" i="2"/>
  <c r="V144" i="2" s="1"/>
  <c r="W144" i="2" s="1"/>
  <c r="X144" i="2" s="1"/>
  <c r="K144" i="2"/>
  <c r="J144" i="2"/>
  <c r="U143" i="2"/>
  <c r="V143" i="2" s="1"/>
  <c r="W143" i="2" s="1"/>
  <c r="X143" i="2" s="1"/>
  <c r="K143" i="2"/>
  <c r="J143" i="2"/>
  <c r="V142" i="2"/>
  <c r="W142" i="2" s="1"/>
  <c r="X142" i="2" s="1"/>
  <c r="U142" i="2"/>
  <c r="K142" i="2"/>
  <c r="J142" i="2"/>
  <c r="U141" i="2"/>
  <c r="V141" i="2" s="1"/>
  <c r="W141" i="2" s="1"/>
  <c r="X141" i="2" s="1"/>
  <c r="K141" i="2"/>
  <c r="J141" i="2"/>
  <c r="U140" i="2"/>
  <c r="V140" i="2" s="1"/>
  <c r="W140" i="2" s="1"/>
  <c r="X140" i="2" s="1"/>
  <c r="K140" i="2"/>
  <c r="J140" i="2"/>
  <c r="V139" i="2"/>
  <c r="W139" i="2" s="1"/>
  <c r="X139" i="2" s="1"/>
  <c r="U139" i="2"/>
  <c r="K139" i="2"/>
  <c r="J139" i="2"/>
  <c r="U138" i="2"/>
  <c r="V138" i="2" s="1"/>
  <c r="W138" i="2" s="1"/>
  <c r="X138" i="2" s="1"/>
  <c r="K138" i="2"/>
  <c r="J138" i="2"/>
  <c r="U137" i="2"/>
  <c r="V137" i="2" s="1"/>
  <c r="W137" i="2" s="1"/>
  <c r="X137" i="2" s="1"/>
  <c r="K137" i="2"/>
  <c r="J137" i="2"/>
  <c r="U136" i="2"/>
  <c r="V136" i="2" s="1"/>
  <c r="W136" i="2" s="1"/>
  <c r="X136" i="2" s="1"/>
  <c r="K136" i="2"/>
  <c r="J136" i="2"/>
  <c r="U135" i="2"/>
  <c r="V135" i="2" s="1"/>
  <c r="W135" i="2" s="1"/>
  <c r="X135" i="2" s="1"/>
  <c r="K135" i="2"/>
  <c r="J135" i="2"/>
  <c r="U134" i="2"/>
  <c r="V134" i="2" s="1"/>
  <c r="W134" i="2" s="1"/>
  <c r="X134" i="2" s="1"/>
  <c r="K134" i="2"/>
  <c r="J134" i="2"/>
  <c r="U133" i="2"/>
  <c r="V133" i="2" s="1"/>
  <c r="W133" i="2" s="1"/>
  <c r="X133" i="2" s="1"/>
  <c r="K133" i="2"/>
  <c r="J133" i="2"/>
  <c r="U132" i="2"/>
  <c r="V132" i="2" s="1"/>
  <c r="W132" i="2" s="1"/>
  <c r="X132" i="2" s="1"/>
  <c r="K132" i="2"/>
  <c r="J132" i="2"/>
  <c r="V131" i="2"/>
  <c r="W131" i="2" s="1"/>
  <c r="X131" i="2" s="1"/>
  <c r="U131" i="2"/>
  <c r="K131" i="2"/>
  <c r="J131" i="2"/>
  <c r="U130" i="2"/>
  <c r="V130" i="2" s="1"/>
  <c r="W130" i="2" s="1"/>
  <c r="X130" i="2" s="1"/>
  <c r="K130" i="2"/>
  <c r="J130" i="2"/>
  <c r="U129" i="2"/>
  <c r="V129" i="2" s="1"/>
  <c r="W129" i="2" s="1"/>
  <c r="X129" i="2" s="1"/>
  <c r="K129" i="2"/>
  <c r="J129" i="2"/>
  <c r="V128" i="2"/>
  <c r="W128" i="2" s="1"/>
  <c r="X128" i="2" s="1"/>
  <c r="U128" i="2"/>
  <c r="K128" i="2"/>
  <c r="J128" i="2"/>
  <c r="U127" i="2"/>
  <c r="V127" i="2" s="1"/>
  <c r="W127" i="2" s="1"/>
  <c r="X127" i="2" s="1"/>
  <c r="K127" i="2"/>
  <c r="J127" i="2"/>
  <c r="U126" i="2"/>
  <c r="V126" i="2" s="1"/>
  <c r="W126" i="2" s="1"/>
  <c r="X126" i="2" s="1"/>
  <c r="K126" i="2"/>
  <c r="J126" i="2"/>
  <c r="U125" i="2"/>
  <c r="V125" i="2" s="1"/>
  <c r="W125" i="2" s="1"/>
  <c r="X125" i="2" s="1"/>
  <c r="K125" i="2"/>
  <c r="J125" i="2"/>
  <c r="W124" i="2"/>
  <c r="X124" i="2" s="1"/>
  <c r="U124" i="2"/>
  <c r="V124" i="2" s="1"/>
  <c r="K124" i="2"/>
  <c r="J124" i="2"/>
  <c r="U123" i="2"/>
  <c r="V123" i="2" s="1"/>
  <c r="W123" i="2" s="1"/>
  <c r="X123" i="2" s="1"/>
  <c r="K123" i="2"/>
  <c r="J123" i="2"/>
  <c r="U122" i="2"/>
  <c r="V122" i="2" s="1"/>
  <c r="W122" i="2" s="1"/>
  <c r="X122" i="2" s="1"/>
  <c r="K122" i="2"/>
  <c r="J122" i="2"/>
  <c r="V121" i="2"/>
  <c r="W121" i="2" s="1"/>
  <c r="X121" i="2" s="1"/>
  <c r="U121" i="2"/>
  <c r="K121" i="2"/>
  <c r="J121" i="2"/>
  <c r="U120" i="2"/>
  <c r="V120" i="2" s="1"/>
  <c r="W120" i="2" s="1"/>
  <c r="X120" i="2" s="1"/>
  <c r="K120" i="2"/>
  <c r="J120" i="2"/>
  <c r="U119" i="2"/>
  <c r="V119" i="2" s="1"/>
  <c r="W119" i="2" s="1"/>
  <c r="X119" i="2" s="1"/>
  <c r="K119" i="2"/>
  <c r="J119" i="2"/>
  <c r="U118" i="2"/>
  <c r="V118" i="2" s="1"/>
  <c r="W118" i="2" s="1"/>
  <c r="X118" i="2" s="1"/>
  <c r="K118" i="2"/>
  <c r="J118" i="2"/>
  <c r="U117" i="2"/>
  <c r="V117" i="2" s="1"/>
  <c r="W117" i="2" s="1"/>
  <c r="X117" i="2" s="1"/>
  <c r="K117" i="2"/>
  <c r="J117" i="2"/>
  <c r="W116" i="2"/>
  <c r="X116" i="2" s="1"/>
  <c r="U116" i="2"/>
  <c r="V116" i="2" s="1"/>
  <c r="K116" i="2"/>
  <c r="J116" i="2"/>
  <c r="U115" i="2"/>
  <c r="V115" i="2" s="1"/>
  <c r="W115" i="2" s="1"/>
  <c r="X115" i="2" s="1"/>
  <c r="K115" i="2"/>
  <c r="J115" i="2"/>
  <c r="W114" i="2"/>
  <c r="X114" i="2" s="1"/>
  <c r="U114" i="2"/>
  <c r="V114" i="2" s="1"/>
  <c r="K114" i="2"/>
  <c r="J114" i="2"/>
  <c r="W113" i="2"/>
  <c r="X113" i="2" s="1"/>
  <c r="U113" i="2"/>
  <c r="V113" i="2" s="1"/>
  <c r="K113" i="2"/>
  <c r="J113" i="2"/>
  <c r="U112" i="2"/>
  <c r="V112" i="2" s="1"/>
  <c r="W112" i="2" s="1"/>
  <c r="X112" i="2" s="1"/>
  <c r="K112" i="2"/>
  <c r="J112" i="2"/>
  <c r="U111" i="2"/>
  <c r="V111" i="2" s="1"/>
  <c r="W111" i="2" s="1"/>
  <c r="X111" i="2" s="1"/>
  <c r="K111" i="2"/>
  <c r="J111" i="2"/>
  <c r="V110" i="2"/>
  <c r="W110" i="2" s="1"/>
  <c r="X110" i="2" s="1"/>
  <c r="U110" i="2"/>
  <c r="K110" i="2"/>
  <c r="J110" i="2"/>
  <c r="V109" i="2"/>
  <c r="W109" i="2" s="1"/>
  <c r="X109" i="2" s="1"/>
  <c r="U109" i="2"/>
  <c r="K109" i="2"/>
  <c r="J109" i="2"/>
  <c r="U108" i="2"/>
  <c r="V108" i="2" s="1"/>
  <c r="W108" i="2" s="1"/>
  <c r="X108" i="2" s="1"/>
  <c r="K108" i="2"/>
  <c r="J108" i="2"/>
  <c r="U107" i="2"/>
  <c r="V107" i="2" s="1"/>
  <c r="W107" i="2" s="1"/>
  <c r="X107" i="2" s="1"/>
  <c r="K107" i="2"/>
  <c r="J107" i="2"/>
  <c r="W106" i="2"/>
  <c r="X106" i="2" s="1"/>
  <c r="U106" i="2"/>
  <c r="V106" i="2" s="1"/>
  <c r="K106" i="2"/>
  <c r="J106" i="2"/>
  <c r="U105" i="2"/>
  <c r="V105" i="2" s="1"/>
  <c r="W105" i="2" s="1"/>
  <c r="X105" i="2" s="1"/>
  <c r="K105" i="2"/>
  <c r="J105" i="2"/>
  <c r="U104" i="2"/>
  <c r="V104" i="2" s="1"/>
  <c r="W104" i="2" s="1"/>
  <c r="X104" i="2" s="1"/>
  <c r="K104" i="2"/>
  <c r="J104" i="2"/>
  <c r="U103" i="2"/>
  <c r="V103" i="2" s="1"/>
  <c r="W103" i="2" s="1"/>
  <c r="X103" i="2" s="1"/>
  <c r="K103" i="2"/>
  <c r="J103" i="2"/>
  <c r="W102" i="2"/>
  <c r="X102" i="2" s="1"/>
  <c r="V102" i="2"/>
  <c r="U102" i="2"/>
  <c r="K102" i="2"/>
  <c r="J102" i="2"/>
  <c r="U101" i="2"/>
  <c r="V101" i="2" s="1"/>
  <c r="W101" i="2" s="1"/>
  <c r="X101" i="2" s="1"/>
  <c r="K101" i="2"/>
  <c r="J101" i="2"/>
  <c r="W100" i="2"/>
  <c r="X100" i="2" s="1"/>
  <c r="U100" i="2"/>
  <c r="V100" i="2" s="1"/>
  <c r="K100" i="2"/>
  <c r="J100" i="2"/>
  <c r="W99" i="2"/>
  <c r="X99" i="2" s="1"/>
  <c r="V99" i="2"/>
  <c r="U99" i="2"/>
  <c r="K99" i="2"/>
  <c r="J99" i="2"/>
  <c r="U98" i="2"/>
  <c r="V98" i="2" s="1"/>
  <c r="W98" i="2" s="1"/>
  <c r="X98" i="2" s="1"/>
  <c r="K98" i="2"/>
  <c r="J98" i="2"/>
  <c r="U97" i="2"/>
  <c r="V97" i="2" s="1"/>
  <c r="W97" i="2" s="1"/>
  <c r="X97" i="2" s="1"/>
  <c r="K97" i="2"/>
  <c r="J97" i="2"/>
  <c r="X96" i="2"/>
  <c r="W96" i="2"/>
  <c r="V96" i="2"/>
  <c r="U96" i="2"/>
  <c r="K96" i="2"/>
  <c r="J96" i="2"/>
  <c r="U95" i="2"/>
  <c r="V95" i="2" s="1"/>
  <c r="W95" i="2" s="1"/>
  <c r="X95" i="2" s="1"/>
  <c r="K95" i="2"/>
  <c r="J95" i="2"/>
  <c r="U94" i="2"/>
  <c r="V94" i="2" s="1"/>
  <c r="W94" i="2" s="1"/>
  <c r="X94" i="2" s="1"/>
  <c r="K94" i="2"/>
  <c r="J94" i="2"/>
  <c r="V93" i="2"/>
  <c r="W93" i="2" s="1"/>
  <c r="X93" i="2" s="1"/>
  <c r="U93" i="2"/>
  <c r="K93" i="2"/>
  <c r="J93" i="2"/>
  <c r="U92" i="2"/>
  <c r="V92" i="2" s="1"/>
  <c r="W92" i="2" s="1"/>
  <c r="X92" i="2" s="1"/>
  <c r="K92" i="2"/>
  <c r="J92" i="2"/>
  <c r="U91" i="2"/>
  <c r="V91" i="2" s="1"/>
  <c r="W91" i="2" s="1"/>
  <c r="X91" i="2" s="1"/>
  <c r="K91" i="2"/>
  <c r="J91" i="2"/>
  <c r="U90" i="2"/>
  <c r="V90" i="2" s="1"/>
  <c r="W90" i="2" s="1"/>
  <c r="X90" i="2" s="1"/>
  <c r="K90" i="2"/>
  <c r="J90" i="2"/>
  <c r="U89" i="2"/>
  <c r="V89" i="2" s="1"/>
  <c r="W89" i="2" s="1"/>
  <c r="X89" i="2" s="1"/>
  <c r="K89" i="2"/>
  <c r="J89" i="2"/>
  <c r="V88" i="2"/>
  <c r="W88" i="2" s="1"/>
  <c r="X88" i="2" s="1"/>
  <c r="U88" i="2"/>
  <c r="K88" i="2"/>
  <c r="J88" i="2"/>
  <c r="U87" i="2"/>
  <c r="V87" i="2" s="1"/>
  <c r="W87" i="2" s="1"/>
  <c r="X87" i="2" s="1"/>
  <c r="K87" i="2"/>
  <c r="J87" i="2"/>
  <c r="U86" i="2"/>
  <c r="V86" i="2" s="1"/>
  <c r="W86" i="2" s="1"/>
  <c r="X86" i="2" s="1"/>
  <c r="K86" i="2"/>
  <c r="J86" i="2"/>
  <c r="W85" i="2"/>
  <c r="X85" i="2" s="1"/>
  <c r="U85" i="2"/>
  <c r="V85" i="2" s="1"/>
  <c r="K85" i="2"/>
  <c r="J85" i="2"/>
  <c r="W84" i="2"/>
  <c r="X84" i="2" s="1"/>
  <c r="U84" i="2"/>
  <c r="V84" i="2" s="1"/>
  <c r="K84" i="2"/>
  <c r="J84" i="2"/>
  <c r="U83" i="2"/>
  <c r="V83" i="2" s="1"/>
  <c r="W83" i="2" s="1"/>
  <c r="X83" i="2" s="1"/>
  <c r="K83" i="2"/>
  <c r="J83" i="2"/>
  <c r="U82" i="2"/>
  <c r="V82" i="2" s="1"/>
  <c r="W82" i="2" s="1"/>
  <c r="X82" i="2" s="1"/>
  <c r="K82" i="2"/>
  <c r="J82" i="2"/>
  <c r="V81" i="2"/>
  <c r="W81" i="2" s="1"/>
  <c r="X81" i="2" s="1"/>
  <c r="U81" i="2"/>
  <c r="K81" i="2"/>
  <c r="J81" i="2"/>
  <c r="U80" i="2"/>
  <c r="V80" i="2" s="1"/>
  <c r="W80" i="2" s="1"/>
  <c r="X80" i="2" s="1"/>
  <c r="K80" i="2"/>
  <c r="J80" i="2"/>
  <c r="U79" i="2"/>
  <c r="V79" i="2" s="1"/>
  <c r="W79" i="2" s="1"/>
  <c r="X79" i="2" s="1"/>
  <c r="K79" i="2"/>
  <c r="J79" i="2"/>
  <c r="U78" i="2"/>
  <c r="V78" i="2" s="1"/>
  <c r="W78" i="2" s="1"/>
  <c r="X78" i="2" s="1"/>
  <c r="K78" i="2"/>
  <c r="J78" i="2"/>
  <c r="X77" i="2"/>
  <c r="U77" i="2"/>
  <c r="V77" i="2" s="1"/>
  <c r="W77" i="2" s="1"/>
  <c r="K77" i="2"/>
  <c r="J77" i="2"/>
  <c r="U76" i="2"/>
  <c r="V76" i="2" s="1"/>
  <c r="W76" i="2" s="1"/>
  <c r="X76" i="2" s="1"/>
  <c r="K76" i="2"/>
  <c r="J76" i="2"/>
  <c r="U75" i="2"/>
  <c r="V75" i="2" s="1"/>
  <c r="W75" i="2" s="1"/>
  <c r="X75" i="2" s="1"/>
  <c r="K75" i="2"/>
  <c r="J75" i="2"/>
  <c r="X74" i="2"/>
  <c r="W74" i="2"/>
  <c r="U74" i="2"/>
  <c r="V74" i="2" s="1"/>
  <c r="K74" i="2"/>
  <c r="J74" i="2"/>
  <c r="U73" i="2"/>
  <c r="V73" i="2" s="1"/>
  <c r="W73" i="2" s="1"/>
  <c r="X73" i="2" s="1"/>
  <c r="K73" i="2"/>
  <c r="J73" i="2"/>
  <c r="U72" i="2"/>
  <c r="V72" i="2" s="1"/>
  <c r="W72" i="2" s="1"/>
  <c r="X72" i="2" s="1"/>
  <c r="K72" i="2"/>
  <c r="J72" i="2"/>
  <c r="U71" i="2"/>
  <c r="V71" i="2" s="1"/>
  <c r="W71" i="2" s="1"/>
  <c r="X71" i="2" s="1"/>
  <c r="K71" i="2"/>
  <c r="J71" i="2"/>
  <c r="U70" i="2"/>
  <c r="V70" i="2" s="1"/>
  <c r="W70" i="2" s="1"/>
  <c r="X70" i="2" s="1"/>
  <c r="K70" i="2"/>
  <c r="J70" i="2"/>
  <c r="V69" i="2"/>
  <c r="W69" i="2" s="1"/>
  <c r="X69" i="2" s="1"/>
  <c r="U69" i="2"/>
  <c r="K69" i="2"/>
  <c r="J69" i="2"/>
  <c r="U68" i="2"/>
  <c r="V68" i="2" s="1"/>
  <c r="W68" i="2" s="1"/>
  <c r="X68" i="2" s="1"/>
  <c r="K68" i="2"/>
  <c r="J68" i="2"/>
  <c r="U67" i="2"/>
  <c r="V67" i="2" s="1"/>
  <c r="W67" i="2" s="1"/>
  <c r="X67" i="2" s="1"/>
  <c r="K67" i="2"/>
  <c r="J67" i="2"/>
  <c r="U66" i="2"/>
  <c r="V66" i="2" s="1"/>
  <c r="W66" i="2" s="1"/>
  <c r="X66" i="2" s="1"/>
  <c r="K66" i="2"/>
  <c r="J66" i="2"/>
  <c r="U65" i="2"/>
  <c r="V65" i="2" s="1"/>
  <c r="W65" i="2" s="1"/>
  <c r="X65" i="2" s="1"/>
  <c r="K65" i="2"/>
  <c r="J65" i="2"/>
  <c r="U64" i="2"/>
  <c r="V64" i="2" s="1"/>
  <c r="W64" i="2" s="1"/>
  <c r="X64" i="2" s="1"/>
  <c r="K64" i="2"/>
  <c r="J64" i="2"/>
  <c r="U63" i="2"/>
  <c r="V63" i="2" s="1"/>
  <c r="W63" i="2" s="1"/>
  <c r="X63" i="2" s="1"/>
  <c r="K63" i="2"/>
  <c r="J63" i="2"/>
  <c r="X62" i="2"/>
  <c r="V62" i="2"/>
  <c r="W62" i="2" s="1"/>
  <c r="U62" i="2"/>
  <c r="K62" i="2"/>
  <c r="J62" i="2"/>
  <c r="U61" i="2"/>
  <c r="V61" i="2" s="1"/>
  <c r="W61" i="2" s="1"/>
  <c r="X61" i="2" s="1"/>
  <c r="K61" i="2"/>
  <c r="J61" i="2"/>
  <c r="U60" i="2"/>
  <c r="V60" i="2" s="1"/>
  <c r="W60" i="2" s="1"/>
  <c r="X60" i="2" s="1"/>
  <c r="K60" i="2"/>
  <c r="J60" i="2"/>
  <c r="W59" i="2"/>
  <c r="X59" i="2" s="1"/>
  <c r="V59" i="2"/>
  <c r="U59" i="2"/>
  <c r="K59" i="2"/>
  <c r="J59" i="2"/>
  <c r="U58" i="2"/>
  <c r="V58" i="2" s="1"/>
  <c r="W58" i="2" s="1"/>
  <c r="X58" i="2" s="1"/>
  <c r="K58" i="2"/>
  <c r="J58" i="2"/>
  <c r="U57" i="2"/>
  <c r="V57" i="2" s="1"/>
  <c r="W57" i="2" s="1"/>
  <c r="X57" i="2" s="1"/>
  <c r="K57" i="2"/>
  <c r="J57" i="2"/>
  <c r="U56" i="2"/>
  <c r="V56" i="2" s="1"/>
  <c r="W56" i="2" s="1"/>
  <c r="X56" i="2" s="1"/>
  <c r="K56" i="2"/>
  <c r="J56" i="2"/>
  <c r="U55" i="2"/>
  <c r="V55" i="2" s="1"/>
  <c r="W55" i="2" s="1"/>
  <c r="X55" i="2" s="1"/>
  <c r="K55" i="2"/>
  <c r="J55" i="2"/>
  <c r="U54" i="2"/>
  <c r="V54" i="2" s="1"/>
  <c r="W54" i="2" s="1"/>
  <c r="X54" i="2" s="1"/>
  <c r="K54" i="2"/>
  <c r="J54" i="2"/>
  <c r="U53" i="2"/>
  <c r="V53" i="2" s="1"/>
  <c r="W53" i="2" s="1"/>
  <c r="X53" i="2" s="1"/>
  <c r="K53" i="2"/>
  <c r="J53" i="2"/>
  <c r="V52" i="2"/>
  <c r="W52" i="2" s="1"/>
  <c r="X52" i="2" s="1"/>
  <c r="U52" i="2"/>
  <c r="K52" i="2"/>
  <c r="J52" i="2"/>
  <c r="V51" i="2"/>
  <c r="W51" i="2" s="1"/>
  <c r="X51" i="2" s="1"/>
  <c r="U51" i="2"/>
  <c r="K51" i="2"/>
  <c r="J51" i="2"/>
  <c r="U50" i="2"/>
  <c r="V50" i="2" s="1"/>
  <c r="W50" i="2" s="1"/>
  <c r="X50" i="2" s="1"/>
  <c r="K50" i="2"/>
  <c r="J50" i="2"/>
  <c r="W49" i="2"/>
  <c r="X49" i="2" s="1"/>
  <c r="U49" i="2"/>
  <c r="V49" i="2" s="1"/>
  <c r="K49" i="2"/>
  <c r="J49" i="2"/>
  <c r="X48" i="2"/>
  <c r="W48" i="2"/>
  <c r="V48" i="2"/>
  <c r="U48" i="2"/>
  <c r="K48" i="2"/>
  <c r="J48" i="2"/>
  <c r="V47" i="2"/>
  <c r="W47" i="2" s="1"/>
  <c r="X47" i="2" s="1"/>
  <c r="U47" i="2"/>
  <c r="K47" i="2"/>
  <c r="J47" i="2"/>
  <c r="V46" i="2"/>
  <c r="W46" i="2" s="1"/>
  <c r="X46" i="2" s="1"/>
  <c r="U46" i="2"/>
  <c r="K46" i="2"/>
  <c r="J46" i="2"/>
  <c r="U45" i="2"/>
  <c r="V45" i="2" s="1"/>
  <c r="W45" i="2" s="1"/>
  <c r="X45" i="2" s="1"/>
  <c r="K45" i="2"/>
  <c r="J45" i="2"/>
  <c r="U44" i="2"/>
  <c r="V44" i="2" s="1"/>
  <c r="W44" i="2" s="1"/>
  <c r="X44" i="2" s="1"/>
  <c r="K44" i="2"/>
  <c r="J44" i="2"/>
  <c r="X43" i="2"/>
  <c r="W43" i="2"/>
  <c r="V43" i="2"/>
  <c r="U43" i="2"/>
  <c r="K43" i="2"/>
  <c r="J43" i="2"/>
  <c r="U42" i="2"/>
  <c r="V42" i="2" s="1"/>
  <c r="W42" i="2" s="1"/>
  <c r="X42" i="2" s="1"/>
  <c r="K42" i="2"/>
  <c r="J42" i="2"/>
  <c r="U41" i="2"/>
  <c r="V41" i="2" s="1"/>
  <c r="W41" i="2" s="1"/>
  <c r="X41" i="2" s="1"/>
  <c r="K41" i="2"/>
  <c r="J41" i="2"/>
  <c r="U40" i="2"/>
  <c r="V40" i="2" s="1"/>
  <c r="W40" i="2" s="1"/>
  <c r="X40" i="2" s="1"/>
  <c r="K40" i="2"/>
  <c r="J40" i="2"/>
  <c r="U39" i="2"/>
  <c r="V39" i="2" s="1"/>
  <c r="W39" i="2" s="1"/>
  <c r="X39" i="2" s="1"/>
  <c r="K39" i="2"/>
  <c r="J39" i="2"/>
  <c r="U38" i="2"/>
  <c r="V38" i="2" s="1"/>
  <c r="W38" i="2" s="1"/>
  <c r="X38" i="2" s="1"/>
  <c r="K38" i="2"/>
  <c r="J38" i="2"/>
  <c r="U37" i="2"/>
  <c r="V37" i="2" s="1"/>
  <c r="W37" i="2" s="1"/>
  <c r="X37" i="2" s="1"/>
  <c r="K37" i="2"/>
  <c r="J37" i="2"/>
  <c r="V36" i="2"/>
  <c r="W36" i="2" s="1"/>
  <c r="X36" i="2" s="1"/>
  <c r="U36" i="2"/>
  <c r="K36" i="2"/>
  <c r="J36" i="2"/>
  <c r="V35" i="2"/>
  <c r="W35" i="2" s="1"/>
  <c r="X35" i="2" s="1"/>
  <c r="U35" i="2"/>
  <c r="K35" i="2"/>
  <c r="J35" i="2"/>
  <c r="U34" i="2"/>
  <c r="V34" i="2" s="1"/>
  <c r="W34" i="2" s="1"/>
  <c r="X34" i="2" s="1"/>
  <c r="K34" i="2"/>
  <c r="J34" i="2"/>
  <c r="U33" i="2"/>
  <c r="V33" i="2" s="1"/>
  <c r="W33" i="2" s="1"/>
  <c r="X33" i="2" s="1"/>
  <c r="K33" i="2"/>
  <c r="J33" i="2"/>
  <c r="X32" i="2"/>
  <c r="U32" i="2"/>
  <c r="V32" i="2" s="1"/>
  <c r="W32" i="2" s="1"/>
  <c r="K32" i="2"/>
  <c r="J32" i="2"/>
  <c r="U31" i="2"/>
  <c r="V31" i="2" s="1"/>
  <c r="W31" i="2" s="1"/>
  <c r="X31" i="2" s="1"/>
  <c r="K31" i="2"/>
  <c r="J31" i="2"/>
  <c r="V30" i="2"/>
  <c r="W30" i="2" s="1"/>
  <c r="X30" i="2" s="1"/>
  <c r="U30" i="2"/>
  <c r="K30" i="2"/>
  <c r="J30" i="2"/>
  <c r="U29" i="2"/>
  <c r="V29" i="2" s="1"/>
  <c r="W29" i="2" s="1"/>
  <c r="X29" i="2" s="1"/>
  <c r="K29" i="2"/>
  <c r="J29" i="2"/>
  <c r="U28" i="2"/>
  <c r="V28" i="2" s="1"/>
  <c r="W28" i="2" s="1"/>
  <c r="X28" i="2" s="1"/>
  <c r="K28" i="2"/>
  <c r="J28" i="2"/>
  <c r="V27" i="2"/>
  <c r="W27" i="2" s="1"/>
  <c r="X27" i="2" s="1"/>
  <c r="U27" i="2"/>
  <c r="K27" i="2"/>
  <c r="J27" i="2"/>
  <c r="U26" i="2"/>
  <c r="V26" i="2" s="1"/>
  <c r="W26" i="2" s="1"/>
  <c r="X26" i="2" s="1"/>
  <c r="K26" i="2"/>
  <c r="J26" i="2"/>
  <c r="U25" i="2"/>
  <c r="V25" i="2" s="1"/>
  <c r="W25" i="2" s="1"/>
  <c r="X25" i="2" s="1"/>
  <c r="K25" i="2"/>
  <c r="J25" i="2"/>
  <c r="U24" i="2"/>
  <c r="V24" i="2" s="1"/>
  <c r="W24" i="2" s="1"/>
  <c r="X24" i="2" s="1"/>
  <c r="K24" i="2"/>
  <c r="J24" i="2"/>
  <c r="U23" i="2"/>
  <c r="V23" i="2" s="1"/>
  <c r="W23" i="2" s="1"/>
  <c r="X23" i="2" s="1"/>
  <c r="K23" i="2"/>
  <c r="J23" i="2"/>
  <c r="U22" i="2"/>
  <c r="V22" i="2" s="1"/>
  <c r="W22" i="2" s="1"/>
  <c r="X22" i="2" s="1"/>
  <c r="K22" i="2"/>
  <c r="J22" i="2"/>
  <c r="U21" i="2"/>
  <c r="V21" i="2" s="1"/>
  <c r="W21" i="2" s="1"/>
  <c r="X21" i="2" s="1"/>
  <c r="K21" i="2"/>
  <c r="J21" i="2"/>
  <c r="V20" i="2"/>
  <c r="W20" i="2" s="1"/>
  <c r="X20" i="2" s="1"/>
  <c r="U20" i="2"/>
  <c r="K20" i="2"/>
  <c r="J20" i="2"/>
  <c r="W19" i="2"/>
  <c r="X19" i="2" s="1"/>
  <c r="V19" i="2"/>
  <c r="U19" i="2"/>
  <c r="K19" i="2"/>
  <c r="J19" i="2"/>
  <c r="U18" i="2"/>
  <c r="V18" i="2" s="1"/>
  <c r="W18" i="2" s="1"/>
  <c r="X18" i="2" s="1"/>
  <c r="K18" i="2"/>
  <c r="J18" i="2"/>
  <c r="U17" i="2"/>
  <c r="V17" i="2" s="1"/>
  <c r="W17" i="2" s="1"/>
  <c r="X17" i="2" s="1"/>
  <c r="K17" i="2"/>
  <c r="J17" i="2"/>
  <c r="U16" i="2"/>
  <c r="V16" i="2" s="1"/>
  <c r="W16" i="2" s="1"/>
  <c r="X16" i="2" s="1"/>
  <c r="K16" i="2"/>
  <c r="J16" i="2"/>
  <c r="U15" i="2"/>
  <c r="V15" i="2" s="1"/>
  <c r="W15" i="2" s="1"/>
  <c r="X15" i="2" s="1"/>
  <c r="K15" i="2"/>
  <c r="J15" i="2"/>
  <c r="U14" i="2"/>
  <c r="V14" i="2" s="1"/>
  <c r="W14" i="2" s="1"/>
  <c r="X14" i="2" s="1"/>
  <c r="K14" i="2"/>
  <c r="J14" i="2"/>
  <c r="U13" i="2"/>
  <c r="V13" i="2" s="1"/>
  <c r="W13" i="2" s="1"/>
  <c r="X13" i="2" s="1"/>
  <c r="K13" i="2"/>
  <c r="J13" i="2"/>
  <c r="U12" i="2"/>
  <c r="V12" i="2" s="1"/>
  <c r="W12" i="2" s="1"/>
  <c r="X12" i="2" s="1"/>
  <c r="K12" i="2"/>
  <c r="J12" i="2"/>
  <c r="V11" i="2"/>
  <c r="W11" i="2" s="1"/>
  <c r="X11" i="2" s="1"/>
  <c r="U11" i="2"/>
  <c r="K11" i="2"/>
  <c r="J11" i="2"/>
  <c r="U10" i="2"/>
  <c r="V10" i="2" s="1"/>
  <c r="W10" i="2" s="1"/>
  <c r="X10" i="2" s="1"/>
  <c r="K10" i="2"/>
  <c r="J10" i="2"/>
  <c r="U9" i="2"/>
  <c r="V9" i="2" s="1"/>
  <c r="W9" i="2" s="1"/>
  <c r="X9" i="2" s="1"/>
  <c r="K9" i="2"/>
  <c r="J9" i="2"/>
  <c r="U8" i="2"/>
  <c r="V8" i="2" s="1"/>
  <c r="W8" i="2" s="1"/>
  <c r="X8" i="2" s="1"/>
  <c r="K8" i="2"/>
  <c r="J8" i="2"/>
  <c r="U7" i="2"/>
  <c r="V7" i="2" s="1"/>
  <c r="W7" i="2" s="1"/>
  <c r="X7" i="2" s="1"/>
  <c r="K7" i="2"/>
  <c r="J7" i="2"/>
  <c r="V6" i="2"/>
  <c r="W6" i="2" s="1"/>
  <c r="X6" i="2" s="1"/>
  <c r="U6" i="2"/>
  <c r="K6" i="2"/>
  <c r="J6" i="2"/>
  <c r="U5" i="2"/>
  <c r="V5" i="2" s="1"/>
  <c r="W5" i="2" s="1"/>
  <c r="X5" i="2" s="1"/>
  <c r="K5" i="2"/>
  <c r="J5" i="2"/>
  <c r="U4" i="2"/>
  <c r="V4" i="2" s="1"/>
  <c r="W4" i="2" s="1"/>
  <c r="X4" i="2" s="1"/>
  <c r="K4" i="2"/>
  <c r="J4" i="2"/>
  <c r="V3" i="2"/>
  <c r="W3" i="2" s="1"/>
  <c r="X3" i="2" s="1"/>
  <c r="U3" i="2"/>
  <c r="K3" i="2"/>
  <c r="J3" i="2"/>
  <c r="U2" i="2"/>
  <c r="V2" i="2" s="1"/>
  <c r="W2" i="2" s="1"/>
  <c r="X2" i="2" s="1"/>
  <c r="K2" i="2"/>
  <c r="J2" i="2"/>
</calcChain>
</file>

<file path=xl/sharedStrings.xml><?xml version="1.0" encoding="utf-8"?>
<sst xmlns="http://schemas.openxmlformats.org/spreadsheetml/2006/main" count="3046" uniqueCount="82">
  <si>
    <t>Order_ID</t>
  </si>
  <si>
    <t>Order_Date</t>
  </si>
  <si>
    <t>Client_Name</t>
  </si>
  <si>
    <t>Salesperson</t>
  </si>
  <si>
    <t>Region</t>
  </si>
  <si>
    <t>Payment_Type</t>
  </si>
  <si>
    <t>Category</t>
  </si>
  <si>
    <t>Unit_Price</t>
  </si>
  <si>
    <t>Quantity</t>
  </si>
  <si>
    <t xml:space="preserve">Revenue without discount </t>
  </si>
  <si>
    <t xml:space="preserve">Total Revenue </t>
  </si>
  <si>
    <t>Profit</t>
  </si>
  <si>
    <t>Order_Status</t>
  </si>
  <si>
    <t>Discount_Rate (%)</t>
  </si>
  <si>
    <t>Shipping_Cost</t>
  </si>
  <si>
    <t>Customer_Satisfaction (1-5)</t>
  </si>
  <si>
    <t>Delivery_Time (Days)</t>
  </si>
  <si>
    <t>Return_Rate (%)</t>
  </si>
  <si>
    <t>ANS-5 HARD</t>
  </si>
  <si>
    <t>SP after discount</t>
  </si>
  <si>
    <t>Total revenue after discount</t>
  </si>
  <si>
    <t>New profit</t>
  </si>
  <si>
    <t>profit_margin</t>
  </si>
  <si>
    <t>Stellar Enterprises</t>
  </si>
  <si>
    <t>Laura</t>
  </si>
  <si>
    <t>East</t>
  </si>
  <si>
    <t>Check</t>
  </si>
  <si>
    <t>Sauces</t>
  </si>
  <si>
    <t>Cancelled</t>
  </si>
  <si>
    <t>Vertex Systems</t>
  </si>
  <si>
    <t>Jane</t>
  </si>
  <si>
    <t>South</t>
  </si>
  <si>
    <t>Credit Card</t>
  </si>
  <si>
    <t>Peak Industries</t>
  </si>
  <si>
    <t>Michael</t>
  </si>
  <si>
    <t>North</t>
  </si>
  <si>
    <t>Dairy Products</t>
  </si>
  <si>
    <t>Pending</t>
  </si>
  <si>
    <t>Elevate Inc</t>
  </si>
  <si>
    <t>Cash</t>
  </si>
  <si>
    <t>Dried Fruit &amp; Nuts</t>
  </si>
  <si>
    <t>NextGen Ventures</t>
  </si>
  <si>
    <t>West</t>
  </si>
  <si>
    <t>Beverages</t>
  </si>
  <si>
    <t>Completed</t>
  </si>
  <si>
    <t>Candy</t>
  </si>
  <si>
    <t>Maria</t>
  </si>
  <si>
    <t>Jams, Preserves</t>
  </si>
  <si>
    <t>OmniTech Ltd</t>
  </si>
  <si>
    <t>Nancy</t>
  </si>
  <si>
    <t>Baked Goods &amp; Mixes</t>
  </si>
  <si>
    <t>BlueSky Logistics</t>
  </si>
  <si>
    <t>Swift Solutions</t>
  </si>
  <si>
    <t>Pasta</t>
  </si>
  <si>
    <t>Anne</t>
  </si>
  <si>
    <t>Robert</t>
  </si>
  <si>
    <t>Zenith Innovations</t>
  </si>
  <si>
    <t>Bright Corp</t>
  </si>
  <si>
    <t>Andrew</t>
  </si>
  <si>
    <t>Easy</t>
  </si>
  <si>
    <t>1. Imagine you are the head of sales, and your manager asks you to review the total earnings from all the orders placed over the past year. Can you find the final figure to present in the next meeting?</t>
  </si>
  <si>
    <t>2. Your team wants to know how many deals have been closed so far. Can you determine the total number of orders processed?</t>
  </si>
  <si>
    <t>3. Mariya, a key salesperson in the 'West' region, has been quite active. Could you calculate how many orders she personally handled?</t>
  </si>
  <si>
    <t>4. You're trying to analyze sales trends. Can you identify how many transactions involved products priced above 20 per unit?</t>
  </si>
  <si>
    <t>5. Customer satisfaction has become a focus for the company. How many orders have a valid customer satisfaction rating recorded?</t>
  </si>
  <si>
    <t>6. You need to report on customer sentiment. What would you say is the typical customer satisfaction score based on recent data?</t>
  </si>
  <si>
    <t>7. For a promotional campaign analysis, how many orders were from customers who rated their satisfaction higher than 4?</t>
  </si>
  <si>
    <t>Medium</t>
  </si>
  <si>
    <t>1. Your supervisor wants a region-specific report. Can you calculate the total profit generated by 'Nancy' from her sales in the 'North' region?</t>
  </si>
  <si>
    <t>2. To evaluate customer satisfaction trends, you’ve been asked to find out how much revenue was generated by sales where the satisfaction score was higher than 3.5. Can you provide that information?</t>
  </si>
  <si>
    <t>3. The finance team wants to know about discounts in the 'East' region. How many orders had a discount of more than 10%?</t>
  </si>
  <si>
    <t>4. As part of a customer retention program, you’re analyzing low-satisfaction scores. How many transactions had a customer satisfaction score below 2?</t>
  </si>
  <si>
    <t>5. There’s interest in analyzing sales with significant discounts. Can you determine the average profit from transactions where the discount exceeded 5%?</t>
  </si>
  <si>
    <t>6. Marketing wants to focus on lower-discount orders. Can you determine the total revenue from sales where the discount applied was less than 15%?</t>
  </si>
  <si>
    <t>7. You’re tasked with reviewing high-value transactions. How much revenue was generated from orders where the satisfaction was above 4 and payment was made by credit card?</t>
  </si>
  <si>
    <t>Hard</t>
  </si>
  <si>
    <t>1. The sales department has been curious about Mariya's performance with high customer satisfaction. How much revenue did she generate from selling 'Beverages' where the satisfaction score was higher than 4?</t>
  </si>
  <si>
    <t>2. You’ve been asked to present insights on large orders. Can you calculate the total profit from transactions where more than 100 units were sold, and the discount exceeded 10%?</t>
  </si>
  <si>
    <t>3. You’ve been tasked with finding the revenue from orders that applied exactly a 5% discount and had a customer satisfaction score of above 3. Can you find this specific data?</t>
  </si>
  <si>
    <t>4. To analyze successful promotions, what was the total revenue generated from orders with a discount of more than 20% and a satisfaction rating above 3.5?</t>
  </si>
  <si>
    <t>5. There’s an ongoing discussion about discounts in the 'Dairy Products' category. What was the average discount applied to orders from this category?</t>
  </si>
  <si>
    <t>6. The finance team is focused on profitability. Can you calculate the overall profit for orders with less than a 5% discount and a satisfaction score higher than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</si>
</sst>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5"/>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14" fontId="0" fillId="0" borderId="0" xfId="0" applyNumberFormat="1"/>
    <xf numFmtId="0" fontId="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E43F-08AE-456C-A65B-11BE539F3E09}">
  <dimension ref="A1:X501"/>
  <sheetViews>
    <sheetView workbookViewId="0">
      <selection activeCell="F12" sqref="F12"/>
    </sheetView>
  </sheetViews>
  <sheetFormatPr defaultRowHeight="14.4" x14ac:dyDescent="0.3"/>
  <cols>
    <col min="2" max="2" width="13.44140625" customWidth="1"/>
    <col min="3" max="3" width="18.109375" customWidth="1"/>
    <col min="10" max="10" width="20.44140625" style="1" customWidth="1"/>
    <col min="11" max="11" width="16.5546875" style="1" customWidth="1"/>
    <col min="21" max="21" width="13.88671875" customWidth="1"/>
    <col min="22" max="22" width="13.109375" customWidth="1"/>
    <col min="23" max="23" width="12.109375" customWidth="1"/>
  </cols>
  <sheetData>
    <row r="1" spans="1:24" x14ac:dyDescent="0.3">
      <c r="A1" t="s">
        <v>0</v>
      </c>
      <c r="B1" t="s">
        <v>1</v>
      </c>
      <c r="C1" t="s">
        <v>2</v>
      </c>
      <c r="D1" t="s">
        <v>3</v>
      </c>
      <c r="E1" t="s">
        <v>4</v>
      </c>
      <c r="F1" t="s">
        <v>5</v>
      </c>
      <c r="G1" t="s">
        <v>6</v>
      </c>
      <c r="H1" t="s">
        <v>7</v>
      </c>
      <c r="I1" t="s">
        <v>8</v>
      </c>
      <c r="J1" s="1" t="s">
        <v>9</v>
      </c>
      <c r="K1" s="1" t="s">
        <v>10</v>
      </c>
      <c r="L1" t="s">
        <v>11</v>
      </c>
      <c r="M1" t="s">
        <v>12</v>
      </c>
      <c r="N1" t="s">
        <v>13</v>
      </c>
      <c r="O1" t="s">
        <v>14</v>
      </c>
      <c r="P1" t="s">
        <v>15</v>
      </c>
      <c r="Q1" t="s">
        <v>16</v>
      </c>
      <c r="R1" t="s">
        <v>17</v>
      </c>
      <c r="T1" t="s">
        <v>18</v>
      </c>
      <c r="U1" t="s">
        <v>19</v>
      </c>
      <c r="V1" t="s">
        <v>20</v>
      </c>
      <c r="W1" t="s">
        <v>21</v>
      </c>
      <c r="X1" t="s">
        <v>22</v>
      </c>
    </row>
    <row r="2" spans="1:24" x14ac:dyDescent="0.3">
      <c r="A2">
        <v>1001</v>
      </c>
      <c r="B2" s="2">
        <v>44197</v>
      </c>
      <c r="C2" t="s">
        <v>23</v>
      </c>
      <c r="D2" t="s">
        <v>24</v>
      </c>
      <c r="E2" t="s">
        <v>25</v>
      </c>
      <c r="F2" t="s">
        <v>26</v>
      </c>
      <c r="G2" t="s">
        <v>27</v>
      </c>
      <c r="H2">
        <v>45.88</v>
      </c>
      <c r="I2">
        <v>19</v>
      </c>
      <c r="J2" s="1">
        <f>(H2*I2)+O2</f>
        <v>902.5</v>
      </c>
      <c r="K2" s="1">
        <f>(H2*I2)+O2-N2</f>
        <v>889.92</v>
      </c>
      <c r="L2">
        <v>771.9</v>
      </c>
      <c r="M2" t="s">
        <v>28</v>
      </c>
      <c r="N2">
        <v>12.58</v>
      </c>
      <c r="O2">
        <v>30.78</v>
      </c>
      <c r="P2">
        <v>1</v>
      </c>
      <c r="Q2">
        <v>18</v>
      </c>
      <c r="R2">
        <v>9.58</v>
      </c>
      <c r="U2">
        <f>H2*(1-N2%)</f>
        <v>40.108296000000003</v>
      </c>
      <c r="V2">
        <f>U2*I2</f>
        <v>762.05762400000003</v>
      </c>
      <c r="W2" t="e">
        <f>#REF!-V2</f>
        <v>#REF!</v>
      </c>
      <c r="X2" t="e">
        <f>(L2/W2)*100</f>
        <v>#REF!</v>
      </c>
    </row>
    <row r="3" spans="1:24" x14ac:dyDescent="0.3">
      <c r="A3">
        <v>1002</v>
      </c>
      <c r="B3" s="2">
        <v>44198</v>
      </c>
      <c r="C3" t="s">
        <v>29</v>
      </c>
      <c r="D3" t="s">
        <v>30</v>
      </c>
      <c r="E3" t="s">
        <v>31</v>
      </c>
      <c r="F3" t="s">
        <v>32</v>
      </c>
      <c r="G3" t="s">
        <v>27</v>
      </c>
      <c r="H3">
        <v>71.31</v>
      </c>
      <c r="I3">
        <v>26</v>
      </c>
      <c r="J3" s="1">
        <f>(H3*I3)+O3</f>
        <v>1941.6699999999998</v>
      </c>
      <c r="K3" s="1">
        <f>(H3*I3)+O3-N3</f>
        <v>1931.2799999999997</v>
      </c>
      <c r="L3">
        <v>966.5</v>
      </c>
      <c r="M3" t="s">
        <v>28</v>
      </c>
      <c r="N3">
        <v>10.39</v>
      </c>
      <c r="O3">
        <v>87.61</v>
      </c>
      <c r="P3">
        <v>4</v>
      </c>
      <c r="Q3">
        <v>6</v>
      </c>
      <c r="R3">
        <v>4.16</v>
      </c>
      <c r="U3">
        <f>H3*(1-N3%)</f>
        <v>63.900891000000001</v>
      </c>
      <c r="V3">
        <f>U3*I3</f>
        <v>1661.423166</v>
      </c>
      <c r="W3" t="e">
        <f>#REF!-V3</f>
        <v>#REF!</v>
      </c>
      <c r="X3" t="e">
        <f t="shared" ref="X3:X66" si="0">(L3/W3)*100</f>
        <v>#REF!</v>
      </c>
    </row>
    <row r="4" spans="1:24" x14ac:dyDescent="0.3">
      <c r="A4">
        <v>1003</v>
      </c>
      <c r="B4" s="2">
        <v>44199</v>
      </c>
      <c r="C4" t="s">
        <v>33</v>
      </c>
      <c r="D4" t="s">
        <v>34</v>
      </c>
      <c r="E4" t="s">
        <v>35</v>
      </c>
      <c r="F4" t="s">
        <v>26</v>
      </c>
      <c r="G4" t="s">
        <v>36</v>
      </c>
      <c r="H4">
        <v>45.46</v>
      </c>
      <c r="I4">
        <v>24</v>
      </c>
      <c r="J4" s="1">
        <f>(H4*I4)+O4</f>
        <v>1104.3999999999999</v>
      </c>
      <c r="K4" s="1">
        <f>(H4*I4)+O4-N4</f>
        <v>1094.1299999999999</v>
      </c>
      <c r="L4">
        <v>1266.6099999999999</v>
      </c>
      <c r="M4" t="s">
        <v>37</v>
      </c>
      <c r="N4">
        <v>10.27</v>
      </c>
      <c r="O4">
        <v>13.36</v>
      </c>
      <c r="P4">
        <v>1</v>
      </c>
      <c r="Q4">
        <v>2</v>
      </c>
      <c r="R4">
        <v>7.14</v>
      </c>
      <c r="U4">
        <f>H4*(1-N4%)</f>
        <v>40.791257999999999</v>
      </c>
      <c r="V4">
        <f>U4*I4</f>
        <v>978.99019199999998</v>
      </c>
      <c r="W4" t="e">
        <f>#REF!-V4</f>
        <v>#REF!</v>
      </c>
      <c r="X4" t="e">
        <f t="shared" si="0"/>
        <v>#REF!</v>
      </c>
    </row>
    <row r="5" spans="1:24" x14ac:dyDescent="0.3">
      <c r="A5">
        <v>1004</v>
      </c>
      <c r="B5" s="2">
        <v>44200</v>
      </c>
      <c r="C5" t="s">
        <v>38</v>
      </c>
      <c r="D5" t="s">
        <v>30</v>
      </c>
      <c r="E5" t="s">
        <v>31</v>
      </c>
      <c r="F5" t="s">
        <v>39</v>
      </c>
      <c r="G5" t="s">
        <v>40</v>
      </c>
      <c r="H5">
        <v>70.38</v>
      </c>
      <c r="I5">
        <v>77</v>
      </c>
      <c r="J5" s="1">
        <f>(H5*I5)+O5</f>
        <v>5448.2599999999993</v>
      </c>
      <c r="K5" s="1">
        <f>(H5*I5)+O5-N5</f>
        <v>5433.9199999999992</v>
      </c>
      <c r="L5">
        <v>1044.49</v>
      </c>
      <c r="M5" t="s">
        <v>28</v>
      </c>
      <c r="N5">
        <v>14.34</v>
      </c>
      <c r="O5">
        <v>29</v>
      </c>
      <c r="P5">
        <v>5</v>
      </c>
      <c r="Q5">
        <v>4</v>
      </c>
      <c r="R5">
        <v>6.75</v>
      </c>
      <c r="U5">
        <f>H5*(1-N5%)</f>
        <v>60.287507999999995</v>
      </c>
      <c r="V5">
        <f>U5*I5</f>
        <v>4642.1381160000001</v>
      </c>
      <c r="W5" t="e">
        <f>#REF!-V5</f>
        <v>#REF!</v>
      </c>
      <c r="X5" t="e">
        <f t="shared" si="0"/>
        <v>#REF!</v>
      </c>
    </row>
    <row r="6" spans="1:24" x14ac:dyDescent="0.3">
      <c r="A6">
        <v>1005</v>
      </c>
      <c r="B6" s="2">
        <v>44201</v>
      </c>
      <c r="C6" t="s">
        <v>41</v>
      </c>
      <c r="D6" t="s">
        <v>24</v>
      </c>
      <c r="E6" t="s">
        <v>42</v>
      </c>
      <c r="F6" t="s">
        <v>26</v>
      </c>
      <c r="G6" t="s">
        <v>43</v>
      </c>
      <c r="H6">
        <v>21.46</v>
      </c>
      <c r="I6">
        <v>24</v>
      </c>
      <c r="J6" s="1">
        <f>(H6*I6)+O6</f>
        <v>550.83999999999992</v>
      </c>
      <c r="K6" s="1">
        <f>(H6*I6)+O6-N6</f>
        <v>546.70999999999992</v>
      </c>
      <c r="L6">
        <v>1433.79</v>
      </c>
      <c r="M6" t="s">
        <v>44</v>
      </c>
      <c r="N6">
        <v>4.13</v>
      </c>
      <c r="O6">
        <v>35.799999999999997</v>
      </c>
      <c r="P6">
        <v>4</v>
      </c>
      <c r="Q6">
        <v>4</v>
      </c>
      <c r="R6">
        <v>0.03</v>
      </c>
      <c r="U6">
        <f>H6*(1-N6%)</f>
        <v>20.573702000000001</v>
      </c>
      <c r="V6">
        <f>U6*I6</f>
        <v>493.76884800000005</v>
      </c>
      <c r="W6" t="e">
        <f>#REF!-V6</f>
        <v>#REF!</v>
      </c>
      <c r="X6" t="e">
        <f t="shared" si="0"/>
        <v>#REF!</v>
      </c>
    </row>
    <row r="7" spans="1:24" x14ac:dyDescent="0.3">
      <c r="A7">
        <v>1006</v>
      </c>
      <c r="B7" s="2">
        <v>44202</v>
      </c>
      <c r="C7" t="s">
        <v>29</v>
      </c>
      <c r="D7" t="s">
        <v>24</v>
      </c>
      <c r="E7" t="s">
        <v>25</v>
      </c>
      <c r="F7" t="s">
        <v>32</v>
      </c>
      <c r="G7" t="s">
        <v>45</v>
      </c>
      <c r="H7">
        <v>25.85</v>
      </c>
      <c r="I7">
        <v>35</v>
      </c>
      <c r="J7" s="1">
        <f>(H7*I7)+O7</f>
        <v>935.52</v>
      </c>
      <c r="K7" s="1">
        <f>(H7*I7)+O7-N7</f>
        <v>921.29</v>
      </c>
      <c r="L7">
        <v>878.93</v>
      </c>
      <c r="M7" t="s">
        <v>37</v>
      </c>
      <c r="N7">
        <v>14.23</v>
      </c>
      <c r="O7">
        <v>30.77</v>
      </c>
      <c r="P7">
        <v>2</v>
      </c>
      <c r="Q7">
        <v>23</v>
      </c>
      <c r="R7">
        <v>0.91</v>
      </c>
      <c r="U7">
        <f>H7*(1-N7%)</f>
        <v>22.171545000000002</v>
      </c>
      <c r="V7">
        <f>U7*I7</f>
        <v>776.00407500000006</v>
      </c>
      <c r="W7" t="e">
        <f>#REF!-V7</f>
        <v>#REF!</v>
      </c>
      <c r="X7" t="e">
        <f t="shared" si="0"/>
        <v>#REF!</v>
      </c>
    </row>
    <row r="8" spans="1:24" x14ac:dyDescent="0.3">
      <c r="A8">
        <v>1007</v>
      </c>
      <c r="B8" s="2">
        <v>44203</v>
      </c>
      <c r="C8" t="s">
        <v>33</v>
      </c>
      <c r="D8" t="s">
        <v>46</v>
      </c>
      <c r="E8" t="s">
        <v>35</v>
      </c>
      <c r="F8" t="s">
        <v>39</v>
      </c>
      <c r="G8" t="s">
        <v>47</v>
      </c>
      <c r="H8">
        <v>7.14</v>
      </c>
      <c r="I8">
        <v>94</v>
      </c>
      <c r="J8" s="1">
        <f>(H8*I8)+O8</f>
        <v>744.45999999999992</v>
      </c>
      <c r="K8" s="1">
        <f>(H8*I8)+O8-N8</f>
        <v>740.29</v>
      </c>
      <c r="L8">
        <v>1430.67</v>
      </c>
      <c r="M8" t="s">
        <v>37</v>
      </c>
      <c r="N8">
        <v>4.17</v>
      </c>
      <c r="O8">
        <v>73.3</v>
      </c>
      <c r="P8">
        <v>1</v>
      </c>
      <c r="Q8">
        <v>12</v>
      </c>
      <c r="R8">
        <v>7.06</v>
      </c>
      <c r="U8">
        <f>H8*(1-N8%)</f>
        <v>6.8422619999999998</v>
      </c>
      <c r="V8">
        <f>U8*I8</f>
        <v>643.17262800000003</v>
      </c>
      <c r="W8" t="e">
        <f>#REF!-V8</f>
        <v>#REF!</v>
      </c>
      <c r="X8" t="e">
        <f t="shared" si="0"/>
        <v>#REF!</v>
      </c>
    </row>
    <row r="9" spans="1:24" x14ac:dyDescent="0.3">
      <c r="A9">
        <v>1008</v>
      </c>
      <c r="B9" s="2">
        <v>44204</v>
      </c>
      <c r="C9" t="s">
        <v>48</v>
      </c>
      <c r="D9" t="s">
        <v>49</v>
      </c>
      <c r="E9" t="s">
        <v>31</v>
      </c>
      <c r="F9" t="s">
        <v>39</v>
      </c>
      <c r="G9" t="s">
        <v>50</v>
      </c>
      <c r="H9">
        <v>38.1</v>
      </c>
      <c r="I9">
        <v>30</v>
      </c>
      <c r="J9" s="1">
        <f>(H9*I9)+O9</f>
        <v>1161.3699999999999</v>
      </c>
      <c r="K9" s="1">
        <f>(H9*I9)+O9-N9</f>
        <v>1159.4899999999998</v>
      </c>
      <c r="L9">
        <v>923.99</v>
      </c>
      <c r="M9" t="s">
        <v>28</v>
      </c>
      <c r="N9">
        <v>1.88</v>
      </c>
      <c r="O9">
        <v>18.37</v>
      </c>
      <c r="P9">
        <v>1</v>
      </c>
      <c r="Q9">
        <v>14</v>
      </c>
      <c r="R9">
        <v>1.34</v>
      </c>
      <c r="U9">
        <f>H9*(1-N9%)</f>
        <v>37.383719999999997</v>
      </c>
      <c r="V9">
        <f>U9*I9</f>
        <v>1121.5115999999998</v>
      </c>
      <c r="W9" t="e">
        <f>#REF!-V9</f>
        <v>#REF!</v>
      </c>
      <c r="X9" t="e">
        <f t="shared" si="0"/>
        <v>#REF!</v>
      </c>
    </row>
    <row r="10" spans="1:24" x14ac:dyDescent="0.3">
      <c r="A10">
        <v>1009</v>
      </c>
      <c r="B10" s="2">
        <v>44205</v>
      </c>
      <c r="C10" t="s">
        <v>51</v>
      </c>
      <c r="D10" t="s">
        <v>34</v>
      </c>
      <c r="E10" t="s">
        <v>25</v>
      </c>
      <c r="F10" t="s">
        <v>39</v>
      </c>
      <c r="G10" t="s">
        <v>47</v>
      </c>
      <c r="H10">
        <v>75.45</v>
      </c>
      <c r="I10">
        <v>39</v>
      </c>
      <c r="J10" s="1">
        <f>(H10*I10)+O10</f>
        <v>2982.5</v>
      </c>
      <c r="K10" s="1">
        <f>(H10*I10)+O10-N10</f>
        <v>2966.13</v>
      </c>
      <c r="L10">
        <v>899.36</v>
      </c>
      <c r="M10" t="s">
        <v>28</v>
      </c>
      <c r="N10">
        <v>16.37</v>
      </c>
      <c r="O10">
        <v>39.950000000000003</v>
      </c>
      <c r="P10">
        <v>5</v>
      </c>
      <c r="Q10">
        <v>25</v>
      </c>
      <c r="R10">
        <v>1.1000000000000001</v>
      </c>
      <c r="U10">
        <f>H10*(1-N10%)</f>
        <v>63.098835000000008</v>
      </c>
      <c r="V10">
        <f>U10*I10</f>
        <v>2460.8545650000005</v>
      </c>
      <c r="W10" t="e">
        <f>#REF!-V10</f>
        <v>#REF!</v>
      </c>
      <c r="X10" t="e">
        <f t="shared" si="0"/>
        <v>#REF!</v>
      </c>
    </row>
    <row r="11" spans="1:24" x14ac:dyDescent="0.3">
      <c r="A11">
        <v>1010</v>
      </c>
      <c r="B11" s="2">
        <v>44206</v>
      </c>
      <c r="C11" t="s">
        <v>48</v>
      </c>
      <c r="D11" t="s">
        <v>34</v>
      </c>
      <c r="E11" t="s">
        <v>31</v>
      </c>
      <c r="F11" t="s">
        <v>32</v>
      </c>
      <c r="G11" t="s">
        <v>40</v>
      </c>
      <c r="H11">
        <v>25.7</v>
      </c>
      <c r="I11">
        <v>22</v>
      </c>
      <c r="J11" s="1">
        <f>(H11*I11)+O11</f>
        <v>581.11</v>
      </c>
      <c r="K11" s="1">
        <f>(H11*I11)+O11-N11</f>
        <v>578.16</v>
      </c>
      <c r="L11">
        <v>969.57</v>
      </c>
      <c r="M11" t="s">
        <v>44</v>
      </c>
      <c r="N11">
        <v>2.95</v>
      </c>
      <c r="O11">
        <v>15.71</v>
      </c>
      <c r="P11">
        <v>3</v>
      </c>
      <c r="Q11">
        <v>25</v>
      </c>
      <c r="R11">
        <v>4.93</v>
      </c>
      <c r="U11">
        <f>H11*(1-N11%)</f>
        <v>24.941849999999999</v>
      </c>
      <c r="V11">
        <f>U11*I11</f>
        <v>548.72069999999997</v>
      </c>
      <c r="W11" t="e">
        <f>#REF!-V11</f>
        <v>#REF!</v>
      </c>
      <c r="X11" t="e">
        <f t="shared" si="0"/>
        <v>#REF!</v>
      </c>
    </row>
    <row r="12" spans="1:24" x14ac:dyDescent="0.3">
      <c r="A12">
        <v>1011</v>
      </c>
      <c r="B12" s="2">
        <v>44207</v>
      </c>
      <c r="C12" t="s">
        <v>38</v>
      </c>
      <c r="D12" t="s">
        <v>34</v>
      </c>
      <c r="E12" t="s">
        <v>42</v>
      </c>
      <c r="F12" t="s">
        <v>26</v>
      </c>
      <c r="G12" t="s">
        <v>45</v>
      </c>
      <c r="H12">
        <v>73.260000000000005</v>
      </c>
      <c r="I12">
        <v>10</v>
      </c>
      <c r="J12" s="1">
        <f>(H12*I12)+O12</f>
        <v>814.91000000000008</v>
      </c>
      <c r="K12" s="1">
        <f>(H12*I12)+O12-N12</f>
        <v>813.21</v>
      </c>
      <c r="L12">
        <v>1110.3399999999999</v>
      </c>
      <c r="M12" t="s">
        <v>44</v>
      </c>
      <c r="N12">
        <v>1.7</v>
      </c>
      <c r="O12">
        <v>82.31</v>
      </c>
      <c r="P12">
        <v>5</v>
      </c>
      <c r="Q12">
        <v>15</v>
      </c>
      <c r="R12">
        <v>0.33</v>
      </c>
      <c r="U12">
        <f>H12*(1-N12%)</f>
        <v>72.014580000000009</v>
      </c>
      <c r="V12">
        <f>U12*I12</f>
        <v>720.14580000000012</v>
      </c>
      <c r="W12" t="e">
        <f>#REF!-V12</f>
        <v>#REF!</v>
      </c>
      <c r="X12" t="e">
        <f t="shared" si="0"/>
        <v>#REF!</v>
      </c>
    </row>
    <row r="13" spans="1:24" x14ac:dyDescent="0.3">
      <c r="A13">
        <v>1012</v>
      </c>
      <c r="B13" s="2">
        <v>44208</v>
      </c>
      <c r="C13" t="s">
        <v>52</v>
      </c>
      <c r="D13" t="s">
        <v>34</v>
      </c>
      <c r="E13" t="s">
        <v>31</v>
      </c>
      <c r="F13" t="s">
        <v>32</v>
      </c>
      <c r="G13" t="s">
        <v>27</v>
      </c>
      <c r="H13">
        <v>48.64</v>
      </c>
      <c r="I13">
        <v>90</v>
      </c>
      <c r="J13" s="1">
        <f>(H13*I13)+O13</f>
        <v>4428.01</v>
      </c>
      <c r="K13" s="1">
        <f>(H13*I13)+O13-N13</f>
        <v>4411.9000000000005</v>
      </c>
      <c r="L13">
        <v>1263.6300000000001</v>
      </c>
      <c r="M13" t="s">
        <v>37</v>
      </c>
      <c r="N13">
        <v>16.11</v>
      </c>
      <c r="O13">
        <v>50.41</v>
      </c>
      <c r="P13">
        <v>4</v>
      </c>
      <c r="Q13">
        <v>18</v>
      </c>
      <c r="R13">
        <v>2.8</v>
      </c>
      <c r="U13">
        <f>H13*(1-N13%)</f>
        <v>40.804096000000001</v>
      </c>
      <c r="V13">
        <f>U13*I13</f>
        <v>3672.3686400000001</v>
      </c>
      <c r="W13" t="e">
        <f>#REF!-V13</f>
        <v>#REF!</v>
      </c>
      <c r="X13" t="e">
        <f t="shared" si="0"/>
        <v>#REF!</v>
      </c>
    </row>
    <row r="14" spans="1:24" x14ac:dyDescent="0.3">
      <c r="A14">
        <v>1013</v>
      </c>
      <c r="B14" s="2">
        <v>44209</v>
      </c>
      <c r="C14" t="s">
        <v>48</v>
      </c>
      <c r="D14" t="s">
        <v>34</v>
      </c>
      <c r="E14" t="s">
        <v>35</v>
      </c>
      <c r="F14" t="s">
        <v>26</v>
      </c>
      <c r="G14" t="s">
        <v>53</v>
      </c>
      <c r="H14">
        <v>41.26</v>
      </c>
      <c r="I14">
        <v>94</v>
      </c>
      <c r="J14" s="1">
        <f>(H14*I14)+O14</f>
        <v>3940.3799999999997</v>
      </c>
      <c r="K14" s="1">
        <f>(H14*I14)+O14-N14</f>
        <v>3925.2999999999997</v>
      </c>
      <c r="L14">
        <v>917.49</v>
      </c>
      <c r="M14" t="s">
        <v>44</v>
      </c>
      <c r="N14">
        <v>15.08</v>
      </c>
      <c r="O14">
        <v>61.94</v>
      </c>
      <c r="P14">
        <v>4</v>
      </c>
      <c r="Q14">
        <v>29</v>
      </c>
      <c r="R14">
        <v>1.1200000000000001</v>
      </c>
      <c r="U14">
        <f>H14*(1-N14%)</f>
        <v>35.037991999999996</v>
      </c>
      <c r="V14">
        <f>U14*I14</f>
        <v>3293.5712479999997</v>
      </c>
      <c r="W14" t="e">
        <f>#REF!-V14</f>
        <v>#REF!</v>
      </c>
      <c r="X14" t="e">
        <f t="shared" si="0"/>
        <v>#REF!</v>
      </c>
    </row>
    <row r="15" spans="1:24" x14ac:dyDescent="0.3">
      <c r="A15">
        <v>1014</v>
      </c>
      <c r="B15" s="2">
        <v>44210</v>
      </c>
      <c r="C15" t="s">
        <v>41</v>
      </c>
      <c r="D15" t="s">
        <v>54</v>
      </c>
      <c r="E15" t="s">
        <v>35</v>
      </c>
      <c r="F15" t="s">
        <v>39</v>
      </c>
      <c r="G15" t="s">
        <v>47</v>
      </c>
      <c r="H15">
        <v>58.13</v>
      </c>
      <c r="I15">
        <v>79</v>
      </c>
      <c r="J15" s="1">
        <f>(H15*I15)+O15</f>
        <v>4650.67</v>
      </c>
      <c r="K15" s="1">
        <f>(H15*I15)+O15-N15</f>
        <v>4644.7700000000004</v>
      </c>
      <c r="L15">
        <v>802.15</v>
      </c>
      <c r="M15" t="s">
        <v>28</v>
      </c>
      <c r="N15">
        <v>5.9</v>
      </c>
      <c r="O15">
        <v>58.4</v>
      </c>
      <c r="P15">
        <v>1</v>
      </c>
      <c r="Q15">
        <v>18</v>
      </c>
      <c r="R15">
        <v>4.38</v>
      </c>
      <c r="U15">
        <f>H15*(1-N15%)</f>
        <v>54.700330000000001</v>
      </c>
      <c r="V15">
        <f>U15*I15</f>
        <v>4321.3260700000001</v>
      </c>
      <c r="W15" t="e">
        <f>#REF!-V15</f>
        <v>#REF!</v>
      </c>
      <c r="X15" t="e">
        <f t="shared" si="0"/>
        <v>#REF!</v>
      </c>
    </row>
    <row r="16" spans="1:24" x14ac:dyDescent="0.3">
      <c r="A16">
        <v>1015</v>
      </c>
      <c r="B16" s="2">
        <v>44211</v>
      </c>
      <c r="C16" t="s">
        <v>38</v>
      </c>
      <c r="D16" t="s">
        <v>46</v>
      </c>
      <c r="E16" t="s">
        <v>31</v>
      </c>
      <c r="F16" t="s">
        <v>26</v>
      </c>
      <c r="G16" t="s">
        <v>50</v>
      </c>
      <c r="H16">
        <v>29.12</v>
      </c>
      <c r="I16">
        <v>17</v>
      </c>
      <c r="J16" s="1">
        <f>(H16*I16)+O16</f>
        <v>567.48</v>
      </c>
      <c r="K16" s="1">
        <f>(H16*I16)+O16-N16</f>
        <v>551.94000000000005</v>
      </c>
      <c r="L16">
        <v>1474.58</v>
      </c>
      <c r="M16" t="s">
        <v>44</v>
      </c>
      <c r="N16">
        <v>15.54</v>
      </c>
      <c r="O16">
        <v>72.44</v>
      </c>
      <c r="P16">
        <v>3</v>
      </c>
      <c r="Q16">
        <v>21</v>
      </c>
      <c r="R16">
        <v>8.3000000000000007</v>
      </c>
      <c r="U16">
        <f>H16*(1-N16%)</f>
        <v>24.594752</v>
      </c>
      <c r="V16">
        <f>U16*I16</f>
        <v>418.11078399999997</v>
      </c>
      <c r="W16" t="e">
        <f>#REF!-V16</f>
        <v>#REF!</v>
      </c>
      <c r="X16" t="e">
        <f t="shared" si="0"/>
        <v>#REF!</v>
      </c>
    </row>
    <row r="17" spans="1:24" x14ac:dyDescent="0.3">
      <c r="A17">
        <v>1016</v>
      </c>
      <c r="B17" s="2">
        <v>44212</v>
      </c>
      <c r="C17" t="s">
        <v>23</v>
      </c>
      <c r="D17" t="s">
        <v>46</v>
      </c>
      <c r="E17" t="s">
        <v>42</v>
      </c>
      <c r="F17" t="s">
        <v>26</v>
      </c>
      <c r="G17" t="s">
        <v>40</v>
      </c>
      <c r="H17">
        <v>13.57</v>
      </c>
      <c r="I17">
        <v>38</v>
      </c>
      <c r="J17" s="1">
        <f>(H17*I17)+O17</f>
        <v>568.72</v>
      </c>
      <c r="K17" s="1">
        <f>(H17*I17)+O17-N17</f>
        <v>551.82000000000005</v>
      </c>
      <c r="L17">
        <v>1249.3599999999999</v>
      </c>
      <c r="M17" t="s">
        <v>37</v>
      </c>
      <c r="N17">
        <v>16.899999999999999</v>
      </c>
      <c r="O17">
        <v>53.06</v>
      </c>
      <c r="P17">
        <v>4</v>
      </c>
      <c r="Q17">
        <v>18</v>
      </c>
      <c r="R17">
        <v>2.48</v>
      </c>
      <c r="U17">
        <f>H17*(1-N17%)</f>
        <v>11.276669999999999</v>
      </c>
      <c r="V17">
        <f>U17*I17</f>
        <v>428.51345999999995</v>
      </c>
      <c r="W17" t="e">
        <f>#REF!-V17</f>
        <v>#REF!</v>
      </c>
      <c r="X17" t="e">
        <f t="shared" si="0"/>
        <v>#REF!</v>
      </c>
    </row>
    <row r="18" spans="1:24" x14ac:dyDescent="0.3">
      <c r="A18">
        <v>1017</v>
      </c>
      <c r="B18" s="2">
        <v>44213</v>
      </c>
      <c r="C18" t="s">
        <v>29</v>
      </c>
      <c r="D18" t="s">
        <v>24</v>
      </c>
      <c r="E18" t="s">
        <v>25</v>
      </c>
      <c r="F18" t="s">
        <v>26</v>
      </c>
      <c r="G18" t="s">
        <v>36</v>
      </c>
      <c r="H18">
        <v>69.69</v>
      </c>
      <c r="I18">
        <v>49</v>
      </c>
      <c r="J18" s="1">
        <f>(H18*I18)+O18</f>
        <v>3436.5099999999998</v>
      </c>
      <c r="K18" s="1">
        <f>(H18*I18)+O18-N18</f>
        <v>3416.9999999999995</v>
      </c>
      <c r="L18">
        <v>70.14</v>
      </c>
      <c r="M18" t="s">
        <v>44</v>
      </c>
      <c r="N18">
        <v>19.510000000000002</v>
      </c>
      <c r="O18">
        <v>21.7</v>
      </c>
      <c r="P18">
        <v>4</v>
      </c>
      <c r="Q18">
        <v>12</v>
      </c>
      <c r="R18">
        <v>0.11</v>
      </c>
      <c r="U18">
        <f>H18*(1-N18%)</f>
        <v>56.093480999999997</v>
      </c>
      <c r="V18">
        <f>U18*I18</f>
        <v>2748.5805689999997</v>
      </c>
      <c r="W18" t="e">
        <f>#REF!-V18</f>
        <v>#REF!</v>
      </c>
      <c r="X18" t="e">
        <f t="shared" si="0"/>
        <v>#REF!</v>
      </c>
    </row>
    <row r="19" spans="1:24" x14ac:dyDescent="0.3">
      <c r="A19">
        <v>1018</v>
      </c>
      <c r="B19" s="2">
        <v>44214</v>
      </c>
      <c r="C19" t="s">
        <v>23</v>
      </c>
      <c r="D19" t="s">
        <v>49</v>
      </c>
      <c r="E19" t="s">
        <v>25</v>
      </c>
      <c r="F19" t="s">
        <v>32</v>
      </c>
      <c r="G19" t="s">
        <v>43</v>
      </c>
      <c r="H19">
        <v>62.36</v>
      </c>
      <c r="I19">
        <v>28</v>
      </c>
      <c r="J19" s="1">
        <f>(H19*I19)+O19</f>
        <v>1801.51</v>
      </c>
      <c r="K19" s="1">
        <f>(H19*I19)+O19-N19</f>
        <v>1784.79</v>
      </c>
      <c r="L19">
        <v>503.76</v>
      </c>
      <c r="M19" t="s">
        <v>37</v>
      </c>
      <c r="N19">
        <v>16.72</v>
      </c>
      <c r="O19">
        <v>55.43</v>
      </c>
      <c r="P19">
        <v>3</v>
      </c>
      <c r="Q19">
        <v>13</v>
      </c>
      <c r="R19">
        <v>2.5499999999999998</v>
      </c>
      <c r="U19">
        <f>H19*(1-N19%)</f>
        <v>51.933408</v>
      </c>
      <c r="V19">
        <f>U19*I19</f>
        <v>1454.1354240000001</v>
      </c>
      <c r="W19" t="e">
        <f>#REF!-V19</f>
        <v>#REF!</v>
      </c>
      <c r="X19" t="e">
        <f t="shared" si="0"/>
        <v>#REF!</v>
      </c>
    </row>
    <row r="20" spans="1:24" x14ac:dyDescent="0.3">
      <c r="A20">
        <v>1019</v>
      </c>
      <c r="B20" s="2">
        <v>44215</v>
      </c>
      <c r="C20" t="s">
        <v>41</v>
      </c>
      <c r="D20" t="s">
        <v>55</v>
      </c>
      <c r="E20" t="s">
        <v>42</v>
      </c>
      <c r="F20" t="s">
        <v>32</v>
      </c>
      <c r="G20" t="s">
        <v>53</v>
      </c>
      <c r="H20">
        <v>70.22</v>
      </c>
      <c r="I20">
        <v>90</v>
      </c>
      <c r="J20" s="1">
        <f>(H20*I20)+O20</f>
        <v>6327.95</v>
      </c>
      <c r="K20" s="1">
        <f>(H20*I20)+O20-N20</f>
        <v>6312.94</v>
      </c>
      <c r="L20">
        <v>753.66</v>
      </c>
      <c r="M20" t="s">
        <v>37</v>
      </c>
      <c r="N20">
        <v>15.01</v>
      </c>
      <c r="O20">
        <v>8.15</v>
      </c>
      <c r="P20">
        <v>2</v>
      </c>
      <c r="Q20">
        <v>8</v>
      </c>
      <c r="R20">
        <v>5.86</v>
      </c>
      <c r="U20">
        <f>H20*(1-N20%)</f>
        <v>59.679977999999998</v>
      </c>
      <c r="V20">
        <f>U20*I20</f>
        <v>5371.1980199999998</v>
      </c>
      <c r="W20" t="e">
        <f>#REF!-V20</f>
        <v>#REF!</v>
      </c>
      <c r="X20" t="e">
        <f t="shared" si="0"/>
        <v>#REF!</v>
      </c>
    </row>
    <row r="21" spans="1:24" x14ac:dyDescent="0.3">
      <c r="A21">
        <v>1020</v>
      </c>
      <c r="B21" s="2">
        <v>44216</v>
      </c>
      <c r="C21" t="s">
        <v>52</v>
      </c>
      <c r="D21" t="s">
        <v>30</v>
      </c>
      <c r="E21" t="s">
        <v>35</v>
      </c>
      <c r="F21" t="s">
        <v>32</v>
      </c>
      <c r="G21" t="s">
        <v>40</v>
      </c>
      <c r="H21">
        <v>10.8</v>
      </c>
      <c r="I21">
        <v>99</v>
      </c>
      <c r="J21" s="1">
        <f>(H21*I21)+O21</f>
        <v>1095.8800000000001</v>
      </c>
      <c r="K21" s="1">
        <f>(H21*I21)+O21-N21</f>
        <v>1084.3000000000002</v>
      </c>
      <c r="L21">
        <v>543.30999999999995</v>
      </c>
      <c r="M21" t="s">
        <v>44</v>
      </c>
      <c r="N21">
        <v>11.58</v>
      </c>
      <c r="O21">
        <v>26.68</v>
      </c>
      <c r="P21">
        <v>5</v>
      </c>
      <c r="Q21">
        <v>9</v>
      </c>
      <c r="R21">
        <v>5.0599999999999996</v>
      </c>
      <c r="U21">
        <f>H21*(1-N21%)</f>
        <v>9.5493600000000001</v>
      </c>
      <c r="V21">
        <f>U21*I21</f>
        <v>945.38664000000006</v>
      </c>
      <c r="W21" t="e">
        <f>#REF!-V21</f>
        <v>#REF!</v>
      </c>
      <c r="X21" t="e">
        <f t="shared" si="0"/>
        <v>#REF!</v>
      </c>
    </row>
    <row r="22" spans="1:24" x14ac:dyDescent="0.3">
      <c r="A22">
        <v>1021</v>
      </c>
      <c r="B22" s="2">
        <v>44217</v>
      </c>
      <c r="C22" t="s">
        <v>29</v>
      </c>
      <c r="D22" t="s">
        <v>49</v>
      </c>
      <c r="E22" t="s">
        <v>31</v>
      </c>
      <c r="F22" t="s">
        <v>39</v>
      </c>
      <c r="G22" t="s">
        <v>50</v>
      </c>
      <c r="H22">
        <v>57.24</v>
      </c>
      <c r="I22">
        <v>30</v>
      </c>
      <c r="J22" s="1">
        <f>(H22*I22)+O22</f>
        <v>1812.98</v>
      </c>
      <c r="K22" s="1">
        <f>(H22*I22)+O22-N22</f>
        <v>1811.43</v>
      </c>
      <c r="L22">
        <v>747.45</v>
      </c>
      <c r="M22" t="s">
        <v>28</v>
      </c>
      <c r="N22">
        <v>1.55</v>
      </c>
      <c r="O22">
        <v>95.78</v>
      </c>
      <c r="P22">
        <v>5</v>
      </c>
      <c r="Q22">
        <v>22</v>
      </c>
      <c r="R22">
        <v>7.23</v>
      </c>
      <c r="U22">
        <f>H22*(1-N22%)</f>
        <v>56.352780000000003</v>
      </c>
      <c r="V22">
        <f>U22*I22</f>
        <v>1690.5834</v>
      </c>
      <c r="W22" t="e">
        <f>#REF!-V22</f>
        <v>#REF!</v>
      </c>
      <c r="X22" t="e">
        <f t="shared" si="0"/>
        <v>#REF!</v>
      </c>
    </row>
    <row r="23" spans="1:24" x14ac:dyDescent="0.3">
      <c r="A23">
        <v>1022</v>
      </c>
      <c r="B23" s="2">
        <v>44218</v>
      </c>
      <c r="C23" t="s">
        <v>41</v>
      </c>
      <c r="D23" t="s">
        <v>34</v>
      </c>
      <c r="E23" t="s">
        <v>42</v>
      </c>
      <c r="F23" t="s">
        <v>32</v>
      </c>
      <c r="G23" t="s">
        <v>40</v>
      </c>
      <c r="H23">
        <v>78.78</v>
      </c>
      <c r="I23">
        <v>34</v>
      </c>
      <c r="J23" s="1">
        <f>(H23*I23)+O23</f>
        <v>2742.14</v>
      </c>
      <c r="K23" s="1">
        <f>(H23*I23)+O23-N23</f>
        <v>2727.58</v>
      </c>
      <c r="L23">
        <v>151.99</v>
      </c>
      <c r="M23" t="s">
        <v>44</v>
      </c>
      <c r="N23">
        <v>14.56</v>
      </c>
      <c r="O23">
        <v>63.62</v>
      </c>
      <c r="P23">
        <v>2</v>
      </c>
      <c r="Q23">
        <v>3</v>
      </c>
      <c r="R23">
        <v>1.52</v>
      </c>
      <c r="U23">
        <f>H23*(1-N23%)</f>
        <v>67.309632000000008</v>
      </c>
      <c r="V23">
        <f>U23*I23</f>
        <v>2288.5274880000002</v>
      </c>
      <c r="W23" t="e">
        <f>#REF!-V23</f>
        <v>#REF!</v>
      </c>
      <c r="X23" t="e">
        <f t="shared" si="0"/>
        <v>#REF!</v>
      </c>
    </row>
    <row r="24" spans="1:24" x14ac:dyDescent="0.3">
      <c r="A24">
        <v>1023</v>
      </c>
      <c r="B24" s="2">
        <v>44219</v>
      </c>
      <c r="C24" t="s">
        <v>29</v>
      </c>
      <c r="D24" t="s">
        <v>49</v>
      </c>
      <c r="E24" t="s">
        <v>35</v>
      </c>
      <c r="F24" t="s">
        <v>26</v>
      </c>
      <c r="G24" t="s">
        <v>45</v>
      </c>
      <c r="H24">
        <v>10.59</v>
      </c>
      <c r="I24">
        <v>81</v>
      </c>
      <c r="J24" s="1">
        <f>(H24*I24)+O24</f>
        <v>908.4</v>
      </c>
      <c r="K24" s="1">
        <f>(H24*I24)+O24-N24</f>
        <v>893.07999999999993</v>
      </c>
      <c r="L24">
        <v>1036.3599999999999</v>
      </c>
      <c r="M24" t="s">
        <v>28</v>
      </c>
      <c r="N24">
        <v>15.32</v>
      </c>
      <c r="O24">
        <v>50.61</v>
      </c>
      <c r="P24">
        <v>5</v>
      </c>
      <c r="Q24">
        <v>16</v>
      </c>
      <c r="R24">
        <v>9.0299999999999994</v>
      </c>
      <c r="U24">
        <f>H24*(1-N24%)</f>
        <v>8.967611999999999</v>
      </c>
      <c r="V24">
        <f>U24*I24</f>
        <v>726.3765719999999</v>
      </c>
      <c r="W24" t="e">
        <f>#REF!-V24</f>
        <v>#REF!</v>
      </c>
      <c r="X24" t="e">
        <f t="shared" si="0"/>
        <v>#REF!</v>
      </c>
    </row>
    <row r="25" spans="1:24" x14ac:dyDescent="0.3">
      <c r="A25">
        <v>1024</v>
      </c>
      <c r="B25" s="2">
        <v>44220</v>
      </c>
      <c r="C25" t="s">
        <v>48</v>
      </c>
      <c r="D25" t="s">
        <v>54</v>
      </c>
      <c r="E25" t="s">
        <v>31</v>
      </c>
      <c r="F25" t="s">
        <v>39</v>
      </c>
      <c r="G25" t="s">
        <v>47</v>
      </c>
      <c r="H25">
        <v>51.12</v>
      </c>
      <c r="I25">
        <v>59</v>
      </c>
      <c r="J25" s="1">
        <f>(H25*I25)+O25</f>
        <v>3111.29</v>
      </c>
      <c r="K25" s="1">
        <f>(H25*I25)+O25-N25</f>
        <v>3098.54</v>
      </c>
      <c r="L25">
        <v>1487.96</v>
      </c>
      <c r="M25" t="s">
        <v>44</v>
      </c>
      <c r="N25">
        <v>12.75</v>
      </c>
      <c r="O25">
        <v>95.21</v>
      </c>
      <c r="P25">
        <v>3</v>
      </c>
      <c r="Q25">
        <v>21</v>
      </c>
      <c r="R25">
        <v>3.49</v>
      </c>
      <c r="U25">
        <f>H25*(1-N25%)</f>
        <v>44.602200000000003</v>
      </c>
      <c r="V25">
        <f>U25*I25</f>
        <v>2631.5298000000003</v>
      </c>
      <c r="W25" t="e">
        <f>#REF!-V25</f>
        <v>#REF!</v>
      </c>
      <c r="X25" t="e">
        <f t="shared" si="0"/>
        <v>#REF!</v>
      </c>
    </row>
    <row r="26" spans="1:24" x14ac:dyDescent="0.3">
      <c r="A26">
        <v>1025</v>
      </c>
      <c r="B26" s="2">
        <v>44221</v>
      </c>
      <c r="C26" t="s">
        <v>38</v>
      </c>
      <c r="D26" t="s">
        <v>30</v>
      </c>
      <c r="E26" t="s">
        <v>42</v>
      </c>
      <c r="F26" t="s">
        <v>26</v>
      </c>
      <c r="G26" t="s">
        <v>43</v>
      </c>
      <c r="H26">
        <v>3.12</v>
      </c>
      <c r="I26">
        <v>92</v>
      </c>
      <c r="J26" s="1">
        <f>(H26*I26)+O26</f>
        <v>358.05</v>
      </c>
      <c r="K26" s="1">
        <f>(H26*I26)+O26-N26</f>
        <v>356.15000000000003</v>
      </c>
      <c r="L26">
        <v>943.21</v>
      </c>
      <c r="M26" t="s">
        <v>44</v>
      </c>
      <c r="N26">
        <v>1.9</v>
      </c>
      <c r="O26">
        <v>71.010000000000005</v>
      </c>
      <c r="P26">
        <v>2</v>
      </c>
      <c r="Q26">
        <v>13</v>
      </c>
      <c r="R26">
        <v>3.93</v>
      </c>
      <c r="U26">
        <f>H26*(1-N26%)</f>
        <v>3.0607199999999999</v>
      </c>
      <c r="V26">
        <f>U26*I26</f>
        <v>281.58623999999998</v>
      </c>
      <c r="W26" t="e">
        <f>#REF!-V26</f>
        <v>#REF!</v>
      </c>
      <c r="X26" t="e">
        <f t="shared" si="0"/>
        <v>#REF!</v>
      </c>
    </row>
    <row r="27" spans="1:24" x14ac:dyDescent="0.3">
      <c r="A27">
        <v>1026</v>
      </c>
      <c r="B27" s="2">
        <v>44222</v>
      </c>
      <c r="C27" t="s">
        <v>41</v>
      </c>
      <c r="D27" t="s">
        <v>30</v>
      </c>
      <c r="E27" t="s">
        <v>42</v>
      </c>
      <c r="F27" t="s">
        <v>32</v>
      </c>
      <c r="G27" t="s">
        <v>47</v>
      </c>
      <c r="H27">
        <v>79.34</v>
      </c>
      <c r="I27">
        <v>12</v>
      </c>
      <c r="J27" s="1">
        <f>(H27*I27)+O27</f>
        <v>962.85</v>
      </c>
      <c r="K27" s="1">
        <f>(H27*I27)+O27-N27</f>
        <v>958.30000000000007</v>
      </c>
      <c r="L27">
        <v>1245.45</v>
      </c>
      <c r="M27" t="s">
        <v>28</v>
      </c>
      <c r="N27">
        <v>4.55</v>
      </c>
      <c r="O27">
        <v>10.77</v>
      </c>
      <c r="P27">
        <v>3</v>
      </c>
      <c r="Q27">
        <v>10</v>
      </c>
      <c r="R27">
        <v>4.66</v>
      </c>
      <c r="U27">
        <f>H27*(1-N27%)</f>
        <v>75.730029999999999</v>
      </c>
      <c r="V27">
        <f>U27*I27</f>
        <v>908.76035999999999</v>
      </c>
      <c r="W27" t="e">
        <f>#REF!-V27</f>
        <v>#REF!</v>
      </c>
      <c r="X27" t="e">
        <f t="shared" si="0"/>
        <v>#REF!</v>
      </c>
    </row>
    <row r="28" spans="1:24" x14ac:dyDescent="0.3">
      <c r="A28">
        <v>1027</v>
      </c>
      <c r="B28" s="2">
        <v>44223</v>
      </c>
      <c r="C28" t="s">
        <v>52</v>
      </c>
      <c r="D28" t="s">
        <v>34</v>
      </c>
      <c r="E28" t="s">
        <v>25</v>
      </c>
      <c r="F28" t="s">
        <v>26</v>
      </c>
      <c r="G28" t="s">
        <v>27</v>
      </c>
      <c r="H28">
        <v>59.23</v>
      </c>
      <c r="I28">
        <v>98</v>
      </c>
      <c r="J28" s="1">
        <f>(H28*I28)+O28</f>
        <v>5818.91</v>
      </c>
      <c r="K28" s="1">
        <f>(H28*I28)+O28-N28</f>
        <v>5811.47</v>
      </c>
      <c r="L28">
        <v>1394.72</v>
      </c>
      <c r="M28" t="s">
        <v>37</v>
      </c>
      <c r="N28">
        <v>7.44</v>
      </c>
      <c r="O28">
        <v>14.37</v>
      </c>
      <c r="P28">
        <v>3</v>
      </c>
      <c r="Q28">
        <v>22</v>
      </c>
      <c r="R28">
        <v>1.3</v>
      </c>
      <c r="U28">
        <f>H28*(1-N28%)</f>
        <v>54.823287999999998</v>
      </c>
      <c r="V28">
        <f>U28*I28</f>
        <v>5372.6822240000001</v>
      </c>
      <c r="W28" t="e">
        <f>#REF!-V28</f>
        <v>#REF!</v>
      </c>
      <c r="X28" t="e">
        <f t="shared" si="0"/>
        <v>#REF!</v>
      </c>
    </row>
    <row r="29" spans="1:24" x14ac:dyDescent="0.3">
      <c r="A29">
        <v>1028</v>
      </c>
      <c r="B29" s="2">
        <v>44224</v>
      </c>
      <c r="C29" t="s">
        <v>56</v>
      </c>
      <c r="D29" t="s">
        <v>30</v>
      </c>
      <c r="E29" t="s">
        <v>25</v>
      </c>
      <c r="F29" t="s">
        <v>39</v>
      </c>
      <c r="G29" t="s">
        <v>36</v>
      </c>
      <c r="H29">
        <v>46.55</v>
      </c>
      <c r="I29">
        <v>17</v>
      </c>
      <c r="J29" s="1">
        <f>(H29*I29)+O29</f>
        <v>872.63999999999987</v>
      </c>
      <c r="K29" s="1">
        <f>(H29*I29)+O29-N29</f>
        <v>871.12999999999988</v>
      </c>
      <c r="L29">
        <v>1055.4100000000001</v>
      </c>
      <c r="M29" t="s">
        <v>37</v>
      </c>
      <c r="N29">
        <v>1.51</v>
      </c>
      <c r="O29">
        <v>81.290000000000006</v>
      </c>
      <c r="P29">
        <v>4</v>
      </c>
      <c r="Q29">
        <v>16</v>
      </c>
      <c r="R29">
        <v>5.23</v>
      </c>
      <c r="U29">
        <f>H29*(1-N29%)</f>
        <v>45.847094999999996</v>
      </c>
      <c r="V29">
        <f>U29*I29</f>
        <v>779.4006149999999</v>
      </c>
      <c r="W29" t="e">
        <f>#REF!-V29</f>
        <v>#REF!</v>
      </c>
      <c r="X29" t="e">
        <f t="shared" si="0"/>
        <v>#REF!</v>
      </c>
    </row>
    <row r="30" spans="1:24" x14ac:dyDescent="0.3">
      <c r="A30">
        <v>1029</v>
      </c>
      <c r="B30" s="2">
        <v>44225</v>
      </c>
      <c r="C30" t="s">
        <v>56</v>
      </c>
      <c r="D30" t="s">
        <v>24</v>
      </c>
      <c r="E30" t="s">
        <v>31</v>
      </c>
      <c r="F30" t="s">
        <v>39</v>
      </c>
      <c r="G30" t="s">
        <v>40</v>
      </c>
      <c r="H30">
        <v>59.51</v>
      </c>
      <c r="I30">
        <v>67</v>
      </c>
      <c r="J30" s="1">
        <f>(H30*I30)+O30</f>
        <v>4029.5</v>
      </c>
      <c r="K30" s="1">
        <f>(H30*I30)+O30-N30</f>
        <v>4014.15</v>
      </c>
      <c r="L30">
        <v>155.02000000000001</v>
      </c>
      <c r="M30" t="s">
        <v>44</v>
      </c>
      <c r="N30">
        <v>15.35</v>
      </c>
      <c r="O30">
        <v>42.33</v>
      </c>
      <c r="P30">
        <v>4</v>
      </c>
      <c r="Q30">
        <v>27</v>
      </c>
      <c r="R30">
        <v>1.9</v>
      </c>
      <c r="U30">
        <f>H30*(1-N30%)</f>
        <v>50.375214999999997</v>
      </c>
      <c r="V30">
        <f>U30*I30</f>
        <v>3375.1394049999999</v>
      </c>
      <c r="W30" t="e">
        <f>#REF!-V30</f>
        <v>#REF!</v>
      </c>
      <c r="X30" t="e">
        <f t="shared" si="0"/>
        <v>#REF!</v>
      </c>
    </row>
    <row r="31" spans="1:24" x14ac:dyDescent="0.3">
      <c r="A31">
        <v>1030</v>
      </c>
      <c r="B31" s="2">
        <v>44226</v>
      </c>
      <c r="C31" t="s">
        <v>51</v>
      </c>
      <c r="D31" t="s">
        <v>55</v>
      </c>
      <c r="E31" t="s">
        <v>42</v>
      </c>
      <c r="F31" t="s">
        <v>26</v>
      </c>
      <c r="G31" t="s">
        <v>40</v>
      </c>
      <c r="H31">
        <v>30.25</v>
      </c>
      <c r="I31">
        <v>70</v>
      </c>
      <c r="J31" s="1">
        <f>(H31*I31)+O31</f>
        <v>2196.59</v>
      </c>
      <c r="K31" s="1">
        <f>(H31*I31)+O31-N31</f>
        <v>2192.8200000000002</v>
      </c>
      <c r="L31">
        <v>83.3</v>
      </c>
      <c r="M31" t="s">
        <v>28</v>
      </c>
      <c r="N31">
        <v>3.77</v>
      </c>
      <c r="O31">
        <v>79.09</v>
      </c>
      <c r="P31">
        <v>3</v>
      </c>
      <c r="Q31">
        <v>15</v>
      </c>
      <c r="R31">
        <v>6.32</v>
      </c>
      <c r="U31">
        <f>H31*(1-N31%)</f>
        <v>29.109575000000003</v>
      </c>
      <c r="V31">
        <f>U31*I31</f>
        <v>2037.6702500000001</v>
      </c>
      <c r="W31" t="e">
        <f>#REF!-V31</f>
        <v>#REF!</v>
      </c>
      <c r="X31" t="e">
        <f t="shared" si="0"/>
        <v>#REF!</v>
      </c>
    </row>
    <row r="32" spans="1:24" x14ac:dyDescent="0.3">
      <c r="A32">
        <v>1031</v>
      </c>
      <c r="B32" s="2">
        <v>44227</v>
      </c>
      <c r="C32" t="s">
        <v>56</v>
      </c>
      <c r="D32" t="s">
        <v>49</v>
      </c>
      <c r="E32" t="s">
        <v>25</v>
      </c>
      <c r="F32" t="s">
        <v>32</v>
      </c>
      <c r="G32" t="s">
        <v>40</v>
      </c>
      <c r="H32">
        <v>42.69</v>
      </c>
      <c r="I32">
        <v>51</v>
      </c>
      <c r="J32" s="1">
        <f>(H32*I32)+O32</f>
        <v>2210.09</v>
      </c>
      <c r="K32" s="1">
        <f>(H32*I32)+O32-N32</f>
        <v>2206.25</v>
      </c>
      <c r="L32">
        <v>392.8</v>
      </c>
      <c r="M32" t="s">
        <v>37</v>
      </c>
      <c r="N32">
        <v>3.84</v>
      </c>
      <c r="O32">
        <v>32.9</v>
      </c>
      <c r="P32">
        <v>3</v>
      </c>
      <c r="Q32">
        <v>23</v>
      </c>
      <c r="R32">
        <v>2.65</v>
      </c>
      <c r="U32">
        <f>H32*(1-N32%)</f>
        <v>41.050703999999996</v>
      </c>
      <c r="V32">
        <f>U32*I32</f>
        <v>2093.5859039999996</v>
      </c>
      <c r="W32" t="e">
        <f>#REF!-V32</f>
        <v>#REF!</v>
      </c>
      <c r="X32" t="e">
        <f t="shared" si="0"/>
        <v>#REF!</v>
      </c>
    </row>
    <row r="33" spans="1:24" x14ac:dyDescent="0.3">
      <c r="A33">
        <v>1032</v>
      </c>
      <c r="B33" s="2">
        <v>44228</v>
      </c>
      <c r="C33" t="s">
        <v>52</v>
      </c>
      <c r="D33" t="s">
        <v>55</v>
      </c>
      <c r="E33" t="s">
        <v>25</v>
      </c>
      <c r="F33" t="s">
        <v>32</v>
      </c>
      <c r="G33" t="s">
        <v>36</v>
      </c>
      <c r="H33">
        <v>74.83</v>
      </c>
      <c r="I33">
        <v>49</v>
      </c>
      <c r="J33" s="1">
        <f>(H33*I33)+O33</f>
        <v>3745.46</v>
      </c>
      <c r="K33" s="1">
        <f>(H33*I33)+O33-N33</f>
        <v>3733.61</v>
      </c>
      <c r="L33">
        <v>709.86</v>
      </c>
      <c r="M33" t="s">
        <v>37</v>
      </c>
      <c r="N33">
        <v>11.85</v>
      </c>
      <c r="O33">
        <v>78.790000000000006</v>
      </c>
      <c r="P33">
        <v>5</v>
      </c>
      <c r="Q33">
        <v>5</v>
      </c>
      <c r="R33">
        <v>0.43</v>
      </c>
      <c r="U33">
        <f>H33*(1-N33%)</f>
        <v>65.962644999999995</v>
      </c>
      <c r="V33">
        <f>U33*I33</f>
        <v>3232.1696049999996</v>
      </c>
      <c r="W33" t="e">
        <f>#REF!-V33</f>
        <v>#REF!</v>
      </c>
      <c r="X33" t="e">
        <f t="shared" si="0"/>
        <v>#REF!</v>
      </c>
    </row>
    <row r="34" spans="1:24" x14ac:dyDescent="0.3">
      <c r="A34">
        <v>1033</v>
      </c>
      <c r="B34" s="2">
        <v>44229</v>
      </c>
      <c r="C34" t="s">
        <v>51</v>
      </c>
      <c r="D34" t="s">
        <v>54</v>
      </c>
      <c r="E34" t="s">
        <v>31</v>
      </c>
      <c r="F34" t="s">
        <v>39</v>
      </c>
      <c r="G34" t="s">
        <v>36</v>
      </c>
      <c r="H34">
        <v>17.72</v>
      </c>
      <c r="I34">
        <v>36</v>
      </c>
      <c r="J34" s="1">
        <f>(H34*I34)+O34</f>
        <v>737.76</v>
      </c>
      <c r="K34" s="1">
        <f>(H34*I34)+O34-N34</f>
        <v>730.26</v>
      </c>
      <c r="L34">
        <v>1135.43</v>
      </c>
      <c r="M34" t="s">
        <v>44</v>
      </c>
      <c r="N34">
        <v>7.5</v>
      </c>
      <c r="O34">
        <v>99.84</v>
      </c>
      <c r="P34">
        <v>4</v>
      </c>
      <c r="Q34">
        <v>26</v>
      </c>
      <c r="R34">
        <v>1.41</v>
      </c>
      <c r="U34">
        <f>H34*(1-N34%)</f>
        <v>16.390999999999998</v>
      </c>
      <c r="V34">
        <f>U34*I34</f>
        <v>590.07599999999991</v>
      </c>
      <c r="W34" t="e">
        <f>#REF!-V34</f>
        <v>#REF!</v>
      </c>
      <c r="X34" t="e">
        <f t="shared" si="0"/>
        <v>#REF!</v>
      </c>
    </row>
    <row r="35" spans="1:24" x14ac:dyDescent="0.3">
      <c r="A35">
        <v>1034</v>
      </c>
      <c r="B35" s="2">
        <v>44230</v>
      </c>
      <c r="C35" t="s">
        <v>48</v>
      </c>
      <c r="D35" t="s">
        <v>54</v>
      </c>
      <c r="E35" t="s">
        <v>35</v>
      </c>
      <c r="F35" t="s">
        <v>26</v>
      </c>
      <c r="G35" t="s">
        <v>43</v>
      </c>
      <c r="H35">
        <v>36.33</v>
      </c>
      <c r="I35">
        <v>30</v>
      </c>
      <c r="J35" s="1">
        <f>(H35*I35)+O35</f>
        <v>1107.5199999999998</v>
      </c>
      <c r="K35" s="1">
        <f>(H35*I35)+O35-N35</f>
        <v>1088.8299999999997</v>
      </c>
      <c r="L35">
        <v>783.02</v>
      </c>
      <c r="M35" t="s">
        <v>44</v>
      </c>
      <c r="N35">
        <v>18.690000000000001</v>
      </c>
      <c r="O35">
        <v>17.62</v>
      </c>
      <c r="P35">
        <v>4</v>
      </c>
      <c r="Q35">
        <v>27</v>
      </c>
      <c r="R35">
        <v>7</v>
      </c>
      <c r="U35">
        <f>H35*(1-N35%)</f>
        <v>29.539922999999995</v>
      </c>
      <c r="V35">
        <f>U35*I35</f>
        <v>886.19768999999985</v>
      </c>
      <c r="W35" t="e">
        <f>#REF!-V35</f>
        <v>#REF!</v>
      </c>
      <c r="X35" t="e">
        <f t="shared" si="0"/>
        <v>#REF!</v>
      </c>
    </row>
    <row r="36" spans="1:24" x14ac:dyDescent="0.3">
      <c r="A36">
        <v>1035</v>
      </c>
      <c r="B36" s="2">
        <v>44231</v>
      </c>
      <c r="C36" t="s">
        <v>41</v>
      </c>
      <c r="D36" t="s">
        <v>49</v>
      </c>
      <c r="E36" t="s">
        <v>25</v>
      </c>
      <c r="F36" t="s">
        <v>26</v>
      </c>
      <c r="G36" t="s">
        <v>50</v>
      </c>
      <c r="H36">
        <v>37.36</v>
      </c>
      <c r="I36">
        <v>67</v>
      </c>
      <c r="J36" s="1">
        <f>(H36*I36)+O36</f>
        <v>2567.37</v>
      </c>
      <c r="K36" s="1">
        <f>(H36*I36)+O36-N36</f>
        <v>2553.79</v>
      </c>
      <c r="L36">
        <v>1266.8399999999999</v>
      </c>
      <c r="M36" t="s">
        <v>28</v>
      </c>
      <c r="N36">
        <v>13.58</v>
      </c>
      <c r="O36">
        <v>64.25</v>
      </c>
      <c r="P36">
        <v>5</v>
      </c>
      <c r="Q36">
        <v>5</v>
      </c>
      <c r="R36">
        <v>3.59</v>
      </c>
      <c r="U36">
        <f>H36*(1-N36%)</f>
        <v>32.286511999999995</v>
      </c>
      <c r="V36">
        <f>U36*I36</f>
        <v>2163.1963039999996</v>
      </c>
      <c r="W36" t="e">
        <f>#REF!-V36</f>
        <v>#REF!</v>
      </c>
      <c r="X36" t="e">
        <f t="shared" si="0"/>
        <v>#REF!</v>
      </c>
    </row>
    <row r="37" spans="1:24" x14ac:dyDescent="0.3">
      <c r="A37">
        <v>1036</v>
      </c>
      <c r="B37" s="2">
        <v>44232</v>
      </c>
      <c r="C37" t="s">
        <v>56</v>
      </c>
      <c r="D37" t="s">
        <v>49</v>
      </c>
      <c r="E37" t="s">
        <v>25</v>
      </c>
      <c r="F37" t="s">
        <v>39</v>
      </c>
      <c r="G37" t="s">
        <v>50</v>
      </c>
      <c r="H37">
        <v>75.599999999999994</v>
      </c>
      <c r="I37">
        <v>50</v>
      </c>
      <c r="J37" s="1">
        <f>(H37*I37)+O37</f>
        <v>3798.6899999999996</v>
      </c>
      <c r="K37" s="1">
        <f>(H37*I37)+O37-N37</f>
        <v>3788.2299999999996</v>
      </c>
      <c r="L37">
        <v>1276</v>
      </c>
      <c r="M37" t="s">
        <v>37</v>
      </c>
      <c r="N37">
        <v>10.46</v>
      </c>
      <c r="O37">
        <v>18.690000000000001</v>
      </c>
      <c r="P37">
        <v>5</v>
      </c>
      <c r="Q37">
        <v>23</v>
      </c>
      <c r="R37">
        <v>3.4</v>
      </c>
      <c r="U37">
        <f>H37*(1-N37%)</f>
        <v>67.692239999999998</v>
      </c>
      <c r="V37">
        <f>U37*I37</f>
        <v>3384.6120000000001</v>
      </c>
      <c r="W37" t="e">
        <f>#REF!-V37</f>
        <v>#REF!</v>
      </c>
      <c r="X37" t="e">
        <f t="shared" si="0"/>
        <v>#REF!</v>
      </c>
    </row>
    <row r="38" spans="1:24" x14ac:dyDescent="0.3">
      <c r="A38">
        <v>1037</v>
      </c>
      <c r="B38" s="2">
        <v>44233</v>
      </c>
      <c r="C38" t="s">
        <v>57</v>
      </c>
      <c r="D38" t="s">
        <v>46</v>
      </c>
      <c r="E38" t="s">
        <v>25</v>
      </c>
      <c r="F38" t="s">
        <v>26</v>
      </c>
      <c r="G38" t="s">
        <v>40</v>
      </c>
      <c r="H38">
        <v>3.76</v>
      </c>
      <c r="I38">
        <v>40</v>
      </c>
      <c r="J38" s="1">
        <f>(H38*I38)+O38</f>
        <v>228.22999999999996</v>
      </c>
      <c r="K38" s="1">
        <f>(H38*I38)+O38-N38</f>
        <v>215.85999999999996</v>
      </c>
      <c r="L38">
        <v>171.52</v>
      </c>
      <c r="M38" t="s">
        <v>44</v>
      </c>
      <c r="N38">
        <v>12.37</v>
      </c>
      <c r="O38">
        <v>77.83</v>
      </c>
      <c r="P38">
        <v>5</v>
      </c>
      <c r="Q38">
        <v>28</v>
      </c>
      <c r="R38">
        <v>7.08</v>
      </c>
      <c r="U38">
        <f>H38*(1-N38%)</f>
        <v>3.2948879999999998</v>
      </c>
      <c r="V38">
        <f>U38*I38</f>
        <v>131.79551999999998</v>
      </c>
      <c r="W38" t="e">
        <f>#REF!-V38</f>
        <v>#REF!</v>
      </c>
      <c r="X38" t="e">
        <f t="shared" si="0"/>
        <v>#REF!</v>
      </c>
    </row>
    <row r="39" spans="1:24" x14ac:dyDescent="0.3">
      <c r="A39">
        <v>1038</v>
      </c>
      <c r="B39" s="2">
        <v>44234</v>
      </c>
      <c r="C39" t="s">
        <v>29</v>
      </c>
      <c r="D39" t="s">
        <v>30</v>
      </c>
      <c r="E39" t="s">
        <v>25</v>
      </c>
      <c r="F39" t="s">
        <v>26</v>
      </c>
      <c r="G39" t="s">
        <v>45</v>
      </c>
      <c r="H39">
        <v>75.790000000000006</v>
      </c>
      <c r="I39">
        <v>79</v>
      </c>
      <c r="J39" s="1">
        <f>(H39*I39)+O39</f>
        <v>5997.6800000000012</v>
      </c>
      <c r="K39" s="1">
        <f>(H39*I39)+O39-N39</f>
        <v>5981.8900000000012</v>
      </c>
      <c r="L39">
        <v>1056.1300000000001</v>
      </c>
      <c r="M39" t="s">
        <v>44</v>
      </c>
      <c r="N39">
        <v>15.79</v>
      </c>
      <c r="O39">
        <v>10.27</v>
      </c>
      <c r="P39">
        <v>3</v>
      </c>
      <c r="Q39">
        <v>4</v>
      </c>
      <c r="R39">
        <v>4.08</v>
      </c>
      <c r="U39">
        <f>H39*(1-N39%)</f>
        <v>63.822759000000012</v>
      </c>
      <c r="V39">
        <f>U39*I39</f>
        <v>5041.9979610000009</v>
      </c>
      <c r="W39" t="e">
        <f>#REF!-V39</f>
        <v>#REF!</v>
      </c>
      <c r="X39" t="e">
        <f t="shared" si="0"/>
        <v>#REF!</v>
      </c>
    </row>
    <row r="40" spans="1:24" x14ac:dyDescent="0.3">
      <c r="A40">
        <v>1039</v>
      </c>
      <c r="B40" s="2">
        <v>44235</v>
      </c>
      <c r="C40" t="s">
        <v>51</v>
      </c>
      <c r="D40" t="s">
        <v>58</v>
      </c>
      <c r="E40" t="s">
        <v>35</v>
      </c>
      <c r="F40" t="s">
        <v>26</v>
      </c>
      <c r="G40" t="s">
        <v>36</v>
      </c>
      <c r="H40">
        <v>44.4</v>
      </c>
      <c r="I40">
        <v>55</v>
      </c>
      <c r="J40" s="1">
        <f>(H40*I40)+O40</f>
        <v>2452.09</v>
      </c>
      <c r="K40" s="1">
        <f>(H40*I40)+O40-N40</f>
        <v>2445.5500000000002</v>
      </c>
      <c r="L40">
        <v>474.48</v>
      </c>
      <c r="M40" t="s">
        <v>44</v>
      </c>
      <c r="N40">
        <v>6.54</v>
      </c>
      <c r="O40">
        <v>10.09</v>
      </c>
      <c r="P40">
        <v>4</v>
      </c>
      <c r="Q40">
        <v>17</v>
      </c>
      <c r="R40">
        <v>6.74</v>
      </c>
      <c r="U40">
        <f>H40*(1-N40%)</f>
        <v>41.49624</v>
      </c>
      <c r="V40">
        <f>U40*I40</f>
        <v>2282.2932000000001</v>
      </c>
      <c r="W40" t="e">
        <f>#REF!-V40</f>
        <v>#REF!</v>
      </c>
      <c r="X40" t="e">
        <f t="shared" si="0"/>
        <v>#REF!</v>
      </c>
    </row>
    <row r="41" spans="1:24" x14ac:dyDescent="0.3">
      <c r="A41">
        <v>1040</v>
      </c>
      <c r="B41" s="2">
        <v>44236</v>
      </c>
      <c r="C41" t="s">
        <v>23</v>
      </c>
      <c r="D41" t="s">
        <v>34</v>
      </c>
      <c r="E41" t="s">
        <v>42</v>
      </c>
      <c r="F41" t="s">
        <v>26</v>
      </c>
      <c r="G41" t="s">
        <v>36</v>
      </c>
      <c r="H41">
        <v>76.19</v>
      </c>
      <c r="I41">
        <v>74</v>
      </c>
      <c r="J41" s="1">
        <f>(H41*I41)+O41</f>
        <v>5698.2</v>
      </c>
      <c r="K41" s="1">
        <f>(H41*I41)+O41-N41</f>
        <v>5697.65</v>
      </c>
      <c r="L41">
        <v>92.15</v>
      </c>
      <c r="M41" t="s">
        <v>37</v>
      </c>
      <c r="N41">
        <v>0.55000000000000004</v>
      </c>
      <c r="O41">
        <v>60.14</v>
      </c>
      <c r="P41">
        <v>1</v>
      </c>
      <c r="Q41">
        <v>7</v>
      </c>
      <c r="R41">
        <v>2.7</v>
      </c>
      <c r="U41">
        <f>H41*(1-N41%)</f>
        <v>75.770955000000001</v>
      </c>
      <c r="V41">
        <f>U41*I41</f>
        <v>5607.0506699999996</v>
      </c>
      <c r="W41" t="e">
        <f>#REF!-V41</f>
        <v>#REF!</v>
      </c>
      <c r="X41" t="e">
        <f t="shared" si="0"/>
        <v>#REF!</v>
      </c>
    </row>
    <row r="42" spans="1:24" x14ac:dyDescent="0.3">
      <c r="A42">
        <v>1041</v>
      </c>
      <c r="B42" s="2">
        <v>44237</v>
      </c>
      <c r="C42" t="s">
        <v>51</v>
      </c>
      <c r="D42" t="s">
        <v>24</v>
      </c>
      <c r="E42" t="s">
        <v>42</v>
      </c>
      <c r="F42" t="s">
        <v>26</v>
      </c>
      <c r="G42" t="s">
        <v>36</v>
      </c>
      <c r="H42">
        <v>55.24</v>
      </c>
      <c r="I42">
        <v>40</v>
      </c>
      <c r="J42" s="1">
        <f>(H42*I42)+O42</f>
        <v>2255.5</v>
      </c>
      <c r="K42" s="1">
        <f>(H42*I42)+O42-N42</f>
        <v>2244.1799999999998</v>
      </c>
      <c r="L42">
        <v>183.69</v>
      </c>
      <c r="M42" t="s">
        <v>28</v>
      </c>
      <c r="N42">
        <v>11.32</v>
      </c>
      <c r="O42">
        <v>45.9</v>
      </c>
      <c r="P42">
        <v>2</v>
      </c>
      <c r="Q42">
        <v>13</v>
      </c>
      <c r="R42">
        <v>0.25</v>
      </c>
      <c r="U42">
        <f>H42*(1-N42%)</f>
        <v>48.986832000000007</v>
      </c>
      <c r="V42">
        <f>U42*I42</f>
        <v>1959.4732800000002</v>
      </c>
      <c r="W42" t="e">
        <f>#REF!-V42</f>
        <v>#REF!</v>
      </c>
      <c r="X42" t="e">
        <f t="shared" si="0"/>
        <v>#REF!</v>
      </c>
    </row>
    <row r="43" spans="1:24" x14ac:dyDescent="0.3">
      <c r="A43">
        <v>1042</v>
      </c>
      <c r="B43" s="2">
        <v>44238</v>
      </c>
      <c r="C43" t="s">
        <v>38</v>
      </c>
      <c r="D43" t="s">
        <v>54</v>
      </c>
      <c r="E43" t="s">
        <v>42</v>
      </c>
      <c r="F43" t="s">
        <v>32</v>
      </c>
      <c r="G43" t="s">
        <v>53</v>
      </c>
      <c r="H43">
        <v>3.78</v>
      </c>
      <c r="I43">
        <v>77</v>
      </c>
      <c r="J43" s="1">
        <f>(H43*I43)+O43</f>
        <v>374.81</v>
      </c>
      <c r="K43" s="1">
        <f>(H43*I43)+O43-N43</f>
        <v>366.11</v>
      </c>
      <c r="L43">
        <v>150.55000000000001</v>
      </c>
      <c r="M43" t="s">
        <v>28</v>
      </c>
      <c r="N43">
        <v>8.6999999999999993</v>
      </c>
      <c r="O43">
        <v>83.75</v>
      </c>
      <c r="P43">
        <v>1</v>
      </c>
      <c r="Q43">
        <v>13</v>
      </c>
      <c r="R43">
        <v>3.65</v>
      </c>
      <c r="U43">
        <f>H43*(1-N43%)</f>
        <v>3.4511400000000001</v>
      </c>
      <c r="V43">
        <f>U43*I43</f>
        <v>265.73777999999999</v>
      </c>
      <c r="W43" t="e">
        <f>#REF!-V43</f>
        <v>#REF!</v>
      </c>
      <c r="X43" t="e">
        <f t="shared" si="0"/>
        <v>#REF!</v>
      </c>
    </row>
    <row r="44" spans="1:24" x14ac:dyDescent="0.3">
      <c r="A44">
        <v>1043</v>
      </c>
      <c r="B44" s="2">
        <v>44239</v>
      </c>
      <c r="C44" t="s">
        <v>52</v>
      </c>
      <c r="D44" t="s">
        <v>54</v>
      </c>
      <c r="E44" t="s">
        <v>35</v>
      </c>
      <c r="F44" t="s">
        <v>32</v>
      </c>
      <c r="G44" t="s">
        <v>45</v>
      </c>
      <c r="H44">
        <v>5.38</v>
      </c>
      <c r="I44">
        <v>93</v>
      </c>
      <c r="J44" s="1">
        <f>(H44*I44)+O44</f>
        <v>537.11</v>
      </c>
      <c r="K44" s="1">
        <f>(H44*I44)+O44-N44</f>
        <v>527.02</v>
      </c>
      <c r="L44">
        <v>73.739999999999995</v>
      </c>
      <c r="M44" t="s">
        <v>37</v>
      </c>
      <c r="N44">
        <v>10.09</v>
      </c>
      <c r="O44">
        <v>36.770000000000003</v>
      </c>
      <c r="P44">
        <v>4</v>
      </c>
      <c r="Q44">
        <v>18</v>
      </c>
      <c r="R44">
        <v>5.7</v>
      </c>
      <c r="U44">
        <f>H44*(1-N44%)</f>
        <v>4.8371579999999996</v>
      </c>
      <c r="V44">
        <f>U44*I44</f>
        <v>449.85569399999997</v>
      </c>
      <c r="W44" t="e">
        <f>#REF!-V44</f>
        <v>#REF!</v>
      </c>
      <c r="X44" t="e">
        <f t="shared" si="0"/>
        <v>#REF!</v>
      </c>
    </row>
    <row r="45" spans="1:24" x14ac:dyDescent="0.3">
      <c r="A45">
        <v>1044</v>
      </c>
      <c r="B45" s="2">
        <v>44240</v>
      </c>
      <c r="C45" t="s">
        <v>29</v>
      </c>
      <c r="D45" t="s">
        <v>30</v>
      </c>
      <c r="E45" t="s">
        <v>25</v>
      </c>
      <c r="F45" t="s">
        <v>26</v>
      </c>
      <c r="G45" t="s">
        <v>53</v>
      </c>
      <c r="H45">
        <v>12.93</v>
      </c>
      <c r="I45">
        <v>36</v>
      </c>
      <c r="J45" s="1">
        <f>(H45*I45)+O45</f>
        <v>564.94000000000005</v>
      </c>
      <c r="K45" s="1">
        <f>(H45*I45)+O45-N45</f>
        <v>548.97</v>
      </c>
      <c r="L45">
        <v>1435.36</v>
      </c>
      <c r="M45" t="s">
        <v>28</v>
      </c>
      <c r="N45">
        <v>15.97</v>
      </c>
      <c r="O45">
        <v>99.46</v>
      </c>
      <c r="P45">
        <v>2</v>
      </c>
      <c r="Q45">
        <v>22</v>
      </c>
      <c r="R45">
        <v>1.87</v>
      </c>
      <c r="U45">
        <f>H45*(1-N45%)</f>
        <v>10.865079</v>
      </c>
      <c r="V45">
        <f>U45*I45</f>
        <v>391.14284399999997</v>
      </c>
      <c r="W45" t="e">
        <f>#REF!-V45</f>
        <v>#REF!</v>
      </c>
      <c r="X45" t="e">
        <f t="shared" si="0"/>
        <v>#REF!</v>
      </c>
    </row>
    <row r="46" spans="1:24" x14ac:dyDescent="0.3">
      <c r="A46">
        <v>1045</v>
      </c>
      <c r="B46" s="2">
        <v>44241</v>
      </c>
      <c r="C46" t="s">
        <v>52</v>
      </c>
      <c r="D46" t="s">
        <v>46</v>
      </c>
      <c r="E46" t="s">
        <v>31</v>
      </c>
      <c r="F46" t="s">
        <v>39</v>
      </c>
      <c r="G46" t="s">
        <v>50</v>
      </c>
      <c r="H46">
        <v>75.72</v>
      </c>
      <c r="I46">
        <v>17</v>
      </c>
      <c r="J46" s="1">
        <f>(H46*I46)+O46</f>
        <v>1296.71</v>
      </c>
      <c r="K46" s="1">
        <f>(H46*I46)+O46-N46</f>
        <v>1281.57</v>
      </c>
      <c r="L46">
        <v>456.67</v>
      </c>
      <c r="M46" t="s">
        <v>37</v>
      </c>
      <c r="N46">
        <v>15.14</v>
      </c>
      <c r="O46">
        <v>9.4700000000000006</v>
      </c>
      <c r="P46">
        <v>3</v>
      </c>
      <c r="Q46">
        <v>11</v>
      </c>
      <c r="R46">
        <v>9.65</v>
      </c>
      <c r="U46">
        <f>H46*(1-N46%)</f>
        <v>64.255992000000006</v>
      </c>
      <c r="V46">
        <f>U46*I46</f>
        <v>1092.3518640000002</v>
      </c>
      <c r="W46" t="e">
        <f>#REF!-V46</f>
        <v>#REF!</v>
      </c>
      <c r="X46" t="e">
        <f t="shared" si="0"/>
        <v>#REF!</v>
      </c>
    </row>
    <row r="47" spans="1:24" x14ac:dyDescent="0.3">
      <c r="A47">
        <v>1046</v>
      </c>
      <c r="B47" s="2">
        <v>44242</v>
      </c>
      <c r="C47" t="s">
        <v>33</v>
      </c>
      <c r="D47" t="s">
        <v>30</v>
      </c>
      <c r="E47" t="s">
        <v>31</v>
      </c>
      <c r="F47" t="s">
        <v>39</v>
      </c>
      <c r="G47" t="s">
        <v>45</v>
      </c>
      <c r="H47">
        <v>54.06</v>
      </c>
      <c r="I47">
        <v>51</v>
      </c>
      <c r="J47" s="1">
        <f>(H47*I47)+O47</f>
        <v>2818.83</v>
      </c>
      <c r="K47" s="1">
        <f>(H47*I47)+O47-N47</f>
        <v>2812.99</v>
      </c>
      <c r="L47">
        <v>1275.82</v>
      </c>
      <c r="M47" t="s">
        <v>28</v>
      </c>
      <c r="N47">
        <v>5.84</v>
      </c>
      <c r="O47">
        <v>61.77</v>
      </c>
      <c r="P47">
        <v>1</v>
      </c>
      <c r="Q47">
        <v>15</v>
      </c>
      <c r="R47">
        <v>9.9</v>
      </c>
      <c r="U47">
        <f>H47*(1-N47%)</f>
        <v>50.902895999999998</v>
      </c>
      <c r="V47">
        <f>U47*I47</f>
        <v>2596.0476960000001</v>
      </c>
      <c r="W47" t="e">
        <f>#REF!-V47</f>
        <v>#REF!</v>
      </c>
      <c r="X47" t="e">
        <f t="shared" si="0"/>
        <v>#REF!</v>
      </c>
    </row>
    <row r="48" spans="1:24" x14ac:dyDescent="0.3">
      <c r="A48">
        <v>1047</v>
      </c>
      <c r="B48" s="2">
        <v>44243</v>
      </c>
      <c r="C48" t="s">
        <v>48</v>
      </c>
      <c r="D48" t="s">
        <v>46</v>
      </c>
      <c r="E48" t="s">
        <v>31</v>
      </c>
      <c r="F48" t="s">
        <v>32</v>
      </c>
      <c r="G48" t="s">
        <v>45</v>
      </c>
      <c r="H48">
        <v>55.23</v>
      </c>
      <c r="I48">
        <v>39</v>
      </c>
      <c r="J48" s="1">
        <f>(H48*I48)+O48</f>
        <v>2218.2999999999997</v>
      </c>
      <c r="K48" s="1">
        <f>(H48*I48)+O48-N48</f>
        <v>2212.4799999999996</v>
      </c>
      <c r="L48">
        <v>812.1</v>
      </c>
      <c r="M48" t="s">
        <v>28</v>
      </c>
      <c r="N48">
        <v>5.82</v>
      </c>
      <c r="O48">
        <v>64.33</v>
      </c>
      <c r="P48">
        <v>3</v>
      </c>
      <c r="Q48">
        <v>25</v>
      </c>
      <c r="R48">
        <v>5.86</v>
      </c>
      <c r="U48">
        <f>H48*(1-N48%)</f>
        <v>52.015613999999992</v>
      </c>
      <c r="V48">
        <f>U48*I48</f>
        <v>2028.6089459999996</v>
      </c>
      <c r="W48" t="e">
        <f>#REF!-V48</f>
        <v>#REF!</v>
      </c>
      <c r="X48" t="e">
        <f t="shared" si="0"/>
        <v>#REF!</v>
      </c>
    </row>
    <row r="49" spans="1:24" x14ac:dyDescent="0.3">
      <c r="A49">
        <v>1048</v>
      </c>
      <c r="B49" s="2">
        <v>44244</v>
      </c>
      <c r="C49" t="s">
        <v>56</v>
      </c>
      <c r="D49" t="s">
        <v>46</v>
      </c>
      <c r="E49" t="s">
        <v>31</v>
      </c>
      <c r="F49" t="s">
        <v>26</v>
      </c>
      <c r="G49" t="s">
        <v>36</v>
      </c>
      <c r="H49">
        <v>10.14</v>
      </c>
      <c r="I49">
        <v>54</v>
      </c>
      <c r="J49" s="1">
        <f>(H49*I49)+O49</f>
        <v>577.35</v>
      </c>
      <c r="K49" s="1">
        <f>(H49*I49)+O49-N49</f>
        <v>574.93000000000006</v>
      </c>
      <c r="L49">
        <v>120.92</v>
      </c>
      <c r="M49" t="s">
        <v>28</v>
      </c>
      <c r="N49">
        <v>2.42</v>
      </c>
      <c r="O49">
        <v>29.79</v>
      </c>
      <c r="P49">
        <v>4</v>
      </c>
      <c r="Q49">
        <v>5</v>
      </c>
      <c r="R49">
        <v>6.67</v>
      </c>
      <c r="U49">
        <f>H49*(1-N49%)</f>
        <v>9.8946120000000004</v>
      </c>
      <c r="V49">
        <f>U49*I49</f>
        <v>534.30904800000008</v>
      </c>
      <c r="W49" t="e">
        <f>#REF!-V49</f>
        <v>#REF!</v>
      </c>
      <c r="X49" t="e">
        <f t="shared" si="0"/>
        <v>#REF!</v>
      </c>
    </row>
    <row r="50" spans="1:24" x14ac:dyDescent="0.3">
      <c r="A50">
        <v>1049</v>
      </c>
      <c r="B50" s="2">
        <v>44245</v>
      </c>
      <c r="C50" t="s">
        <v>38</v>
      </c>
      <c r="D50" t="s">
        <v>34</v>
      </c>
      <c r="E50" t="s">
        <v>31</v>
      </c>
      <c r="F50" t="s">
        <v>39</v>
      </c>
      <c r="G50" t="s">
        <v>36</v>
      </c>
      <c r="H50">
        <v>64.510000000000005</v>
      </c>
      <c r="I50">
        <v>56</v>
      </c>
      <c r="J50" s="1">
        <f>(H50*I50)+O50</f>
        <v>3673.2300000000005</v>
      </c>
      <c r="K50" s="1">
        <f>(H50*I50)+O50-N50</f>
        <v>3661.4700000000003</v>
      </c>
      <c r="L50">
        <v>1328.39</v>
      </c>
      <c r="M50" t="s">
        <v>44</v>
      </c>
      <c r="N50">
        <v>11.76</v>
      </c>
      <c r="O50">
        <v>60.67</v>
      </c>
      <c r="P50">
        <v>3</v>
      </c>
      <c r="Q50">
        <v>10</v>
      </c>
      <c r="R50">
        <v>6.72</v>
      </c>
      <c r="U50">
        <f>H50*(1-N50%)</f>
        <v>56.923624000000004</v>
      </c>
      <c r="V50">
        <f>U50*I50</f>
        <v>3187.7229440000001</v>
      </c>
      <c r="W50" t="e">
        <f>#REF!-V50</f>
        <v>#REF!</v>
      </c>
      <c r="X50" t="e">
        <f t="shared" si="0"/>
        <v>#REF!</v>
      </c>
    </row>
    <row r="51" spans="1:24" x14ac:dyDescent="0.3">
      <c r="A51">
        <v>1050</v>
      </c>
      <c r="B51" s="2">
        <v>44246</v>
      </c>
      <c r="C51" t="s">
        <v>41</v>
      </c>
      <c r="D51" t="s">
        <v>54</v>
      </c>
      <c r="E51" t="s">
        <v>25</v>
      </c>
      <c r="F51" t="s">
        <v>26</v>
      </c>
      <c r="G51" t="s">
        <v>36</v>
      </c>
      <c r="H51">
        <v>9.0500000000000007</v>
      </c>
      <c r="I51">
        <v>35</v>
      </c>
      <c r="J51" s="1">
        <f>(H51*I51)+O51</f>
        <v>324.32</v>
      </c>
      <c r="K51" s="1">
        <f>(H51*I51)+O51-N51</f>
        <v>309.33999999999997</v>
      </c>
      <c r="L51">
        <v>786.17</v>
      </c>
      <c r="M51" t="s">
        <v>28</v>
      </c>
      <c r="N51">
        <v>14.98</v>
      </c>
      <c r="O51">
        <v>7.57</v>
      </c>
      <c r="P51">
        <v>2</v>
      </c>
      <c r="Q51">
        <v>17</v>
      </c>
      <c r="R51">
        <v>6.34</v>
      </c>
      <c r="U51">
        <f>H51*(1-N51%)</f>
        <v>7.6943099999999998</v>
      </c>
      <c r="V51">
        <f>U51*I51</f>
        <v>269.30084999999997</v>
      </c>
      <c r="W51" t="e">
        <f>#REF!-V51</f>
        <v>#REF!</v>
      </c>
      <c r="X51" t="e">
        <f t="shared" si="0"/>
        <v>#REF!</v>
      </c>
    </row>
    <row r="52" spans="1:24" x14ac:dyDescent="0.3">
      <c r="A52">
        <v>1051</v>
      </c>
      <c r="B52" s="2">
        <v>44247</v>
      </c>
      <c r="C52" t="s">
        <v>57</v>
      </c>
      <c r="D52" t="s">
        <v>49</v>
      </c>
      <c r="E52" t="s">
        <v>35</v>
      </c>
      <c r="F52" t="s">
        <v>32</v>
      </c>
      <c r="G52" t="s">
        <v>36</v>
      </c>
      <c r="H52">
        <v>45.57</v>
      </c>
      <c r="I52">
        <v>15</v>
      </c>
      <c r="J52" s="1">
        <f>(H52*I52)+O52</f>
        <v>706.17</v>
      </c>
      <c r="K52" s="1">
        <f>(H52*I52)+O52-N52</f>
        <v>694.59999999999991</v>
      </c>
      <c r="L52">
        <v>586.64</v>
      </c>
      <c r="M52" t="s">
        <v>44</v>
      </c>
      <c r="N52">
        <v>11.57</v>
      </c>
      <c r="O52">
        <v>22.62</v>
      </c>
      <c r="P52">
        <v>4</v>
      </c>
      <c r="Q52">
        <v>11</v>
      </c>
      <c r="R52">
        <v>0.18</v>
      </c>
      <c r="U52">
        <f>H52*(1-N52%)</f>
        <v>40.297550999999999</v>
      </c>
      <c r="V52">
        <f>U52*I52</f>
        <v>604.46326499999998</v>
      </c>
      <c r="W52" t="e">
        <f>#REF!-V52</f>
        <v>#REF!</v>
      </c>
      <c r="X52" t="e">
        <f t="shared" si="0"/>
        <v>#REF!</v>
      </c>
    </row>
    <row r="53" spans="1:24" x14ac:dyDescent="0.3">
      <c r="A53">
        <v>1052</v>
      </c>
      <c r="B53" s="2">
        <v>44248</v>
      </c>
      <c r="C53" t="s">
        <v>38</v>
      </c>
      <c r="D53" t="s">
        <v>30</v>
      </c>
      <c r="E53" t="s">
        <v>25</v>
      </c>
      <c r="F53" t="s">
        <v>26</v>
      </c>
      <c r="G53" t="s">
        <v>40</v>
      </c>
      <c r="H53">
        <v>64.17</v>
      </c>
      <c r="I53">
        <v>16</v>
      </c>
      <c r="J53" s="1">
        <f>(H53*I53)+O53</f>
        <v>1104.3600000000001</v>
      </c>
      <c r="K53" s="1">
        <f>(H53*I53)+O53-N53</f>
        <v>1102.7900000000002</v>
      </c>
      <c r="L53">
        <v>1181.47</v>
      </c>
      <c r="M53" t="s">
        <v>44</v>
      </c>
      <c r="N53">
        <v>1.57</v>
      </c>
      <c r="O53">
        <v>77.64</v>
      </c>
      <c r="P53">
        <v>2</v>
      </c>
      <c r="Q53">
        <v>9</v>
      </c>
      <c r="R53">
        <v>5.83</v>
      </c>
      <c r="U53">
        <f>H53*(1-N53%)</f>
        <v>63.162531000000001</v>
      </c>
      <c r="V53">
        <f>U53*I53</f>
        <v>1010.600496</v>
      </c>
      <c r="W53" t="e">
        <f>#REF!-V53</f>
        <v>#REF!</v>
      </c>
      <c r="X53" t="e">
        <f t="shared" si="0"/>
        <v>#REF!</v>
      </c>
    </row>
    <row r="54" spans="1:24" x14ac:dyDescent="0.3">
      <c r="A54">
        <v>1053</v>
      </c>
      <c r="B54" s="2">
        <v>44249</v>
      </c>
      <c r="C54" t="s">
        <v>38</v>
      </c>
      <c r="D54" t="s">
        <v>49</v>
      </c>
      <c r="E54" t="s">
        <v>42</v>
      </c>
      <c r="F54" t="s">
        <v>39</v>
      </c>
      <c r="G54" t="s">
        <v>47</v>
      </c>
      <c r="H54">
        <v>60.7</v>
      </c>
      <c r="I54">
        <v>63</v>
      </c>
      <c r="J54" s="1">
        <f>(H54*I54)+O54</f>
        <v>3848.03</v>
      </c>
      <c r="K54" s="1">
        <f>(H54*I54)+O54-N54</f>
        <v>3843.6800000000003</v>
      </c>
      <c r="L54">
        <v>582.98</v>
      </c>
      <c r="M54" t="s">
        <v>44</v>
      </c>
      <c r="N54">
        <v>4.3499999999999996</v>
      </c>
      <c r="O54">
        <v>23.93</v>
      </c>
      <c r="P54">
        <v>5</v>
      </c>
      <c r="Q54">
        <v>11</v>
      </c>
      <c r="R54">
        <v>3.95</v>
      </c>
      <c r="U54">
        <f>H54*(1-N54%)</f>
        <v>58.059550000000002</v>
      </c>
      <c r="V54">
        <f>U54*I54</f>
        <v>3657.7516500000002</v>
      </c>
      <c r="W54" t="e">
        <f>#REF!-V54</f>
        <v>#REF!</v>
      </c>
      <c r="X54" t="e">
        <f t="shared" si="0"/>
        <v>#REF!</v>
      </c>
    </row>
    <row r="55" spans="1:24" x14ac:dyDescent="0.3">
      <c r="A55">
        <v>1054</v>
      </c>
      <c r="B55" s="2">
        <v>44250</v>
      </c>
      <c r="C55" t="s">
        <v>33</v>
      </c>
      <c r="D55" t="s">
        <v>58</v>
      </c>
      <c r="E55" t="s">
        <v>35</v>
      </c>
      <c r="F55" t="s">
        <v>39</v>
      </c>
      <c r="G55" t="s">
        <v>45</v>
      </c>
      <c r="H55">
        <v>9.42</v>
      </c>
      <c r="I55">
        <v>33</v>
      </c>
      <c r="J55" s="1">
        <f>(H55*I55)+O55</f>
        <v>396.01</v>
      </c>
      <c r="K55" s="1">
        <f>(H55*I55)+O55-N55</f>
        <v>391.13</v>
      </c>
      <c r="L55">
        <v>1491.89</v>
      </c>
      <c r="M55" t="s">
        <v>28</v>
      </c>
      <c r="N55">
        <v>4.88</v>
      </c>
      <c r="O55">
        <v>85.15</v>
      </c>
      <c r="P55">
        <v>3</v>
      </c>
      <c r="Q55">
        <v>2</v>
      </c>
      <c r="R55">
        <v>3.45</v>
      </c>
      <c r="U55">
        <f>H55*(1-N55%)</f>
        <v>8.9603040000000007</v>
      </c>
      <c r="V55">
        <f>U55*I55</f>
        <v>295.69003200000003</v>
      </c>
      <c r="W55" t="e">
        <f>#REF!-V55</f>
        <v>#REF!</v>
      </c>
      <c r="X55" t="e">
        <f t="shared" si="0"/>
        <v>#REF!</v>
      </c>
    </row>
    <row r="56" spans="1:24" x14ac:dyDescent="0.3">
      <c r="A56">
        <v>1055</v>
      </c>
      <c r="B56" s="2">
        <v>44251</v>
      </c>
      <c r="C56" t="s">
        <v>52</v>
      </c>
      <c r="D56" t="s">
        <v>54</v>
      </c>
      <c r="E56" t="s">
        <v>25</v>
      </c>
      <c r="F56" t="s">
        <v>32</v>
      </c>
      <c r="G56" t="s">
        <v>43</v>
      </c>
      <c r="H56">
        <v>70.489999999999995</v>
      </c>
      <c r="I56">
        <v>26</v>
      </c>
      <c r="J56" s="1">
        <f>(H56*I56)+O56</f>
        <v>1930.1399999999999</v>
      </c>
      <c r="K56" s="1">
        <f>(H56*I56)+O56-N56</f>
        <v>1925.83</v>
      </c>
      <c r="L56">
        <v>581.29999999999995</v>
      </c>
      <c r="M56" t="s">
        <v>44</v>
      </c>
      <c r="N56">
        <v>4.3099999999999996</v>
      </c>
      <c r="O56">
        <v>97.4</v>
      </c>
      <c r="P56">
        <v>1</v>
      </c>
      <c r="Q56">
        <v>24</v>
      </c>
      <c r="R56">
        <v>2.3199999999999998</v>
      </c>
      <c r="U56">
        <f>H56*(1-N56%)</f>
        <v>67.451881</v>
      </c>
      <c r="V56">
        <f>U56*I56</f>
        <v>1753.748906</v>
      </c>
      <c r="W56" t="e">
        <f>#REF!-V56</f>
        <v>#REF!</v>
      </c>
      <c r="X56" t="e">
        <f t="shared" si="0"/>
        <v>#REF!</v>
      </c>
    </row>
    <row r="57" spans="1:24" x14ac:dyDescent="0.3">
      <c r="A57">
        <v>1056</v>
      </c>
      <c r="B57" s="2">
        <v>44252</v>
      </c>
      <c r="C57" t="s">
        <v>33</v>
      </c>
      <c r="D57" t="s">
        <v>30</v>
      </c>
      <c r="E57" t="s">
        <v>31</v>
      </c>
      <c r="F57" t="s">
        <v>26</v>
      </c>
      <c r="G57" t="s">
        <v>45</v>
      </c>
      <c r="H57">
        <v>79.819999999999993</v>
      </c>
      <c r="I57">
        <v>31</v>
      </c>
      <c r="J57" s="1">
        <f>(H57*I57)+O57</f>
        <v>2562.6799999999998</v>
      </c>
      <c r="K57" s="1">
        <f>(H57*I57)+O57-N57</f>
        <v>2547.0899999999997</v>
      </c>
      <c r="L57">
        <v>419.9</v>
      </c>
      <c r="M57" t="s">
        <v>37</v>
      </c>
      <c r="N57">
        <v>15.59</v>
      </c>
      <c r="O57">
        <v>88.26</v>
      </c>
      <c r="P57">
        <v>1</v>
      </c>
      <c r="Q57">
        <v>19</v>
      </c>
      <c r="R57">
        <v>9.31</v>
      </c>
      <c r="U57">
        <f>H57*(1-N57%)</f>
        <v>67.37606199999999</v>
      </c>
      <c r="V57">
        <f>U57*I57</f>
        <v>2088.6579219999999</v>
      </c>
      <c r="W57" t="e">
        <f>#REF!-V57</f>
        <v>#REF!</v>
      </c>
      <c r="X57" t="e">
        <f t="shared" si="0"/>
        <v>#REF!</v>
      </c>
    </row>
    <row r="58" spans="1:24" x14ac:dyDescent="0.3">
      <c r="A58">
        <v>1057</v>
      </c>
      <c r="B58" s="2">
        <v>44253</v>
      </c>
      <c r="C58" t="s">
        <v>56</v>
      </c>
      <c r="D58" t="s">
        <v>24</v>
      </c>
      <c r="E58" t="s">
        <v>25</v>
      </c>
      <c r="F58" t="s">
        <v>26</v>
      </c>
      <c r="G58" t="s">
        <v>47</v>
      </c>
      <c r="H58">
        <v>5.74</v>
      </c>
      <c r="I58">
        <v>14</v>
      </c>
      <c r="J58" s="1">
        <f>(H58*I58)+O58</f>
        <v>143.93</v>
      </c>
      <c r="K58" s="1">
        <f>(H58*I58)+O58-N58</f>
        <v>130.81</v>
      </c>
      <c r="L58">
        <v>562.66999999999996</v>
      </c>
      <c r="M58" t="s">
        <v>28</v>
      </c>
      <c r="N58">
        <v>13.12</v>
      </c>
      <c r="O58">
        <v>63.57</v>
      </c>
      <c r="P58">
        <v>4</v>
      </c>
      <c r="Q58">
        <v>9</v>
      </c>
      <c r="R58">
        <v>9.99</v>
      </c>
      <c r="U58">
        <f>H58*(1-N58%)</f>
        <v>4.9869120000000002</v>
      </c>
      <c r="V58">
        <f>U58*I58</f>
        <v>69.816767999999996</v>
      </c>
      <c r="W58" t="e">
        <f>#REF!-V58</f>
        <v>#REF!</v>
      </c>
      <c r="X58" t="e">
        <f t="shared" si="0"/>
        <v>#REF!</v>
      </c>
    </row>
    <row r="59" spans="1:24" x14ac:dyDescent="0.3">
      <c r="A59">
        <v>1058</v>
      </c>
      <c r="B59" s="2">
        <v>44254</v>
      </c>
      <c r="C59" t="s">
        <v>33</v>
      </c>
      <c r="D59" t="s">
        <v>46</v>
      </c>
      <c r="E59" t="s">
        <v>35</v>
      </c>
      <c r="F59" t="s">
        <v>39</v>
      </c>
      <c r="G59" t="s">
        <v>53</v>
      </c>
      <c r="H59">
        <v>67.91</v>
      </c>
      <c r="I59">
        <v>91</v>
      </c>
      <c r="J59" s="1">
        <f>(H59*I59)+O59</f>
        <v>6215.82</v>
      </c>
      <c r="K59" s="1">
        <f>(H59*I59)+O59-N59</f>
        <v>6205.74</v>
      </c>
      <c r="L59">
        <v>568.9</v>
      </c>
      <c r="M59" t="s">
        <v>44</v>
      </c>
      <c r="N59">
        <v>10.08</v>
      </c>
      <c r="O59">
        <v>36.01</v>
      </c>
      <c r="P59">
        <v>4</v>
      </c>
      <c r="Q59">
        <v>24</v>
      </c>
      <c r="R59">
        <v>6.48</v>
      </c>
      <c r="U59">
        <f>H59*(1-N59%)</f>
        <v>61.064671999999995</v>
      </c>
      <c r="V59">
        <f>U59*I59</f>
        <v>5556.8851519999998</v>
      </c>
      <c r="W59" t="e">
        <f>#REF!-V59</f>
        <v>#REF!</v>
      </c>
      <c r="X59" t="e">
        <f t="shared" si="0"/>
        <v>#REF!</v>
      </c>
    </row>
    <row r="60" spans="1:24" x14ac:dyDescent="0.3">
      <c r="A60">
        <v>1059</v>
      </c>
      <c r="B60" s="2">
        <v>44255</v>
      </c>
      <c r="C60" t="s">
        <v>52</v>
      </c>
      <c r="D60" t="s">
        <v>55</v>
      </c>
      <c r="E60" t="s">
        <v>31</v>
      </c>
      <c r="F60" t="s">
        <v>39</v>
      </c>
      <c r="G60" t="s">
        <v>45</v>
      </c>
      <c r="H60">
        <v>68.540000000000006</v>
      </c>
      <c r="I60">
        <v>22</v>
      </c>
      <c r="J60" s="1">
        <f>(H60*I60)+O60</f>
        <v>1517.2800000000002</v>
      </c>
      <c r="K60" s="1">
        <f>(H60*I60)+O60-N60</f>
        <v>1500.64</v>
      </c>
      <c r="L60">
        <v>1276.6500000000001</v>
      </c>
      <c r="M60" t="s">
        <v>44</v>
      </c>
      <c r="N60">
        <v>16.64</v>
      </c>
      <c r="O60">
        <v>9.4</v>
      </c>
      <c r="P60">
        <v>5</v>
      </c>
      <c r="Q60">
        <v>16</v>
      </c>
      <c r="R60">
        <v>2.4500000000000002</v>
      </c>
      <c r="U60">
        <f>H60*(1-N60%)</f>
        <v>57.134944000000004</v>
      </c>
      <c r="V60">
        <f>U60*I60</f>
        <v>1256.9687680000002</v>
      </c>
      <c r="W60" t="e">
        <f>#REF!-V60</f>
        <v>#REF!</v>
      </c>
      <c r="X60" t="e">
        <f t="shared" si="0"/>
        <v>#REF!</v>
      </c>
    </row>
    <row r="61" spans="1:24" x14ac:dyDescent="0.3">
      <c r="A61">
        <v>1060</v>
      </c>
      <c r="B61" s="2">
        <v>44256</v>
      </c>
      <c r="C61" t="s">
        <v>29</v>
      </c>
      <c r="D61" t="s">
        <v>34</v>
      </c>
      <c r="E61" t="s">
        <v>35</v>
      </c>
      <c r="F61" t="s">
        <v>32</v>
      </c>
      <c r="G61" t="s">
        <v>45</v>
      </c>
      <c r="H61">
        <v>45.61</v>
      </c>
      <c r="I61">
        <v>76</v>
      </c>
      <c r="J61" s="1">
        <f>(H61*I61)+O61</f>
        <v>3507.65</v>
      </c>
      <c r="K61" s="1">
        <f>(H61*I61)+O61-N61</f>
        <v>3498.23</v>
      </c>
      <c r="L61">
        <v>293.95</v>
      </c>
      <c r="M61" t="s">
        <v>28</v>
      </c>
      <c r="N61">
        <v>9.42</v>
      </c>
      <c r="O61">
        <v>41.29</v>
      </c>
      <c r="P61">
        <v>2</v>
      </c>
      <c r="Q61">
        <v>30</v>
      </c>
      <c r="R61">
        <v>3.71</v>
      </c>
      <c r="U61">
        <f>H61*(1-N61%)</f>
        <v>41.313537999999994</v>
      </c>
      <c r="V61">
        <f>U61*I61</f>
        <v>3139.8288879999996</v>
      </c>
      <c r="W61" t="e">
        <f>#REF!-V61</f>
        <v>#REF!</v>
      </c>
      <c r="X61" t="e">
        <f t="shared" si="0"/>
        <v>#REF!</v>
      </c>
    </row>
    <row r="62" spans="1:24" x14ac:dyDescent="0.3">
      <c r="A62">
        <v>1061</v>
      </c>
      <c r="B62" s="2">
        <v>44257</v>
      </c>
      <c r="C62" t="s">
        <v>48</v>
      </c>
      <c r="D62" t="s">
        <v>49</v>
      </c>
      <c r="E62" t="s">
        <v>31</v>
      </c>
      <c r="F62" t="s">
        <v>39</v>
      </c>
      <c r="G62" t="s">
        <v>43</v>
      </c>
      <c r="H62">
        <v>46.54</v>
      </c>
      <c r="I62">
        <v>17</v>
      </c>
      <c r="J62" s="1">
        <f>(H62*I62)+O62</f>
        <v>851.57999999999993</v>
      </c>
      <c r="K62" s="1">
        <f>(H62*I62)+O62-N62</f>
        <v>848.61999999999989</v>
      </c>
      <c r="L62">
        <v>1467.82</v>
      </c>
      <c r="M62" t="s">
        <v>44</v>
      </c>
      <c r="N62">
        <v>2.96</v>
      </c>
      <c r="O62">
        <v>60.4</v>
      </c>
      <c r="P62">
        <v>4</v>
      </c>
      <c r="Q62">
        <v>15</v>
      </c>
      <c r="R62">
        <v>0.79</v>
      </c>
      <c r="U62">
        <f>H62*(1-N62%)</f>
        <v>45.162416</v>
      </c>
      <c r="V62">
        <f>U62*I62</f>
        <v>767.76107200000001</v>
      </c>
      <c r="W62" t="e">
        <f>#REF!-V62</f>
        <v>#REF!</v>
      </c>
      <c r="X62" t="e">
        <f t="shared" si="0"/>
        <v>#REF!</v>
      </c>
    </row>
    <row r="63" spans="1:24" x14ac:dyDescent="0.3">
      <c r="A63">
        <v>1062</v>
      </c>
      <c r="B63" s="2">
        <v>44258</v>
      </c>
      <c r="C63" t="s">
        <v>33</v>
      </c>
      <c r="D63" t="s">
        <v>24</v>
      </c>
      <c r="E63" t="s">
        <v>42</v>
      </c>
      <c r="F63" t="s">
        <v>39</v>
      </c>
      <c r="G63" t="s">
        <v>36</v>
      </c>
      <c r="H63">
        <v>54.53</v>
      </c>
      <c r="I63">
        <v>14</v>
      </c>
      <c r="J63" s="1">
        <f>(H63*I63)+O63</f>
        <v>799.5100000000001</v>
      </c>
      <c r="K63" s="1">
        <f>(H63*I63)+O63-N63</f>
        <v>793.99000000000012</v>
      </c>
      <c r="L63">
        <v>356.66</v>
      </c>
      <c r="M63" t="s">
        <v>37</v>
      </c>
      <c r="N63">
        <v>5.52</v>
      </c>
      <c r="O63">
        <v>36.090000000000003</v>
      </c>
      <c r="P63">
        <v>2</v>
      </c>
      <c r="Q63">
        <v>29</v>
      </c>
      <c r="R63">
        <v>8.68</v>
      </c>
      <c r="U63">
        <f>H63*(1-N63%)</f>
        <v>51.519944000000002</v>
      </c>
      <c r="V63">
        <f>U63*I63</f>
        <v>721.27921600000002</v>
      </c>
      <c r="W63" t="e">
        <f>#REF!-V63</f>
        <v>#REF!</v>
      </c>
      <c r="X63" t="e">
        <f t="shared" si="0"/>
        <v>#REF!</v>
      </c>
    </row>
    <row r="64" spans="1:24" x14ac:dyDescent="0.3">
      <c r="A64">
        <v>1063</v>
      </c>
      <c r="B64" s="2">
        <v>44259</v>
      </c>
      <c r="C64" t="s">
        <v>48</v>
      </c>
      <c r="D64" t="s">
        <v>49</v>
      </c>
      <c r="E64" t="s">
        <v>31</v>
      </c>
      <c r="F64" t="s">
        <v>32</v>
      </c>
      <c r="G64" t="s">
        <v>43</v>
      </c>
      <c r="H64">
        <v>66.150000000000006</v>
      </c>
      <c r="I64">
        <v>43</v>
      </c>
      <c r="J64" s="1">
        <f>(H64*I64)+O64</f>
        <v>2875.0200000000004</v>
      </c>
      <c r="K64" s="1">
        <f>(H64*I64)+O64-N64</f>
        <v>2862.2800000000007</v>
      </c>
      <c r="L64">
        <v>445.55</v>
      </c>
      <c r="M64" t="s">
        <v>28</v>
      </c>
      <c r="N64">
        <v>12.74</v>
      </c>
      <c r="O64">
        <v>30.57</v>
      </c>
      <c r="P64">
        <v>2</v>
      </c>
      <c r="Q64">
        <v>7</v>
      </c>
      <c r="R64">
        <v>7.2</v>
      </c>
      <c r="U64">
        <f>H64*(1-N64%)</f>
        <v>57.722490000000008</v>
      </c>
      <c r="V64">
        <f>U64*I64</f>
        <v>2482.0670700000005</v>
      </c>
      <c r="W64" t="e">
        <f>#REF!-V64</f>
        <v>#REF!</v>
      </c>
      <c r="X64" t="e">
        <f t="shared" si="0"/>
        <v>#REF!</v>
      </c>
    </row>
    <row r="65" spans="1:24" x14ac:dyDescent="0.3">
      <c r="A65">
        <v>1064</v>
      </c>
      <c r="B65" s="2">
        <v>44260</v>
      </c>
      <c r="C65" t="s">
        <v>38</v>
      </c>
      <c r="D65" t="s">
        <v>54</v>
      </c>
      <c r="E65" t="s">
        <v>35</v>
      </c>
      <c r="F65" t="s">
        <v>26</v>
      </c>
      <c r="G65" t="s">
        <v>36</v>
      </c>
      <c r="H65">
        <v>48.79</v>
      </c>
      <c r="I65">
        <v>71</v>
      </c>
      <c r="J65" s="1">
        <f>(H65*I65)+O65</f>
        <v>3541.9100000000003</v>
      </c>
      <c r="K65" s="1">
        <f>(H65*I65)+O65-N65</f>
        <v>3523.8100000000004</v>
      </c>
      <c r="L65">
        <v>479.83</v>
      </c>
      <c r="M65" t="s">
        <v>37</v>
      </c>
      <c r="N65">
        <v>18.100000000000001</v>
      </c>
      <c r="O65">
        <v>77.819999999999993</v>
      </c>
      <c r="P65">
        <v>4</v>
      </c>
      <c r="Q65">
        <v>1</v>
      </c>
      <c r="R65">
        <v>8.92</v>
      </c>
      <c r="U65">
        <f>H65*(1-N65%)</f>
        <v>39.959009999999999</v>
      </c>
      <c r="V65">
        <f>U65*I65</f>
        <v>2837.0897099999997</v>
      </c>
      <c r="W65" t="e">
        <f>#REF!-V65</f>
        <v>#REF!</v>
      </c>
      <c r="X65" t="e">
        <f t="shared" si="0"/>
        <v>#REF!</v>
      </c>
    </row>
    <row r="66" spans="1:24" x14ac:dyDescent="0.3">
      <c r="A66">
        <v>1065</v>
      </c>
      <c r="B66" s="2">
        <v>44261</v>
      </c>
      <c r="C66" t="s">
        <v>51</v>
      </c>
      <c r="D66" t="s">
        <v>30</v>
      </c>
      <c r="E66" t="s">
        <v>31</v>
      </c>
      <c r="F66" t="s">
        <v>32</v>
      </c>
      <c r="G66" t="s">
        <v>47</v>
      </c>
      <c r="H66">
        <v>5.73</v>
      </c>
      <c r="I66">
        <v>68</v>
      </c>
      <c r="J66" s="1">
        <f>(H66*I66)+O66</f>
        <v>424.48</v>
      </c>
      <c r="K66" s="1">
        <f>(H66*I66)+O66-N66</f>
        <v>413.21000000000004</v>
      </c>
      <c r="L66">
        <v>1144.29</v>
      </c>
      <c r="M66" t="s">
        <v>28</v>
      </c>
      <c r="N66">
        <v>11.27</v>
      </c>
      <c r="O66">
        <v>34.840000000000003</v>
      </c>
      <c r="P66">
        <v>5</v>
      </c>
      <c r="Q66">
        <v>12</v>
      </c>
      <c r="R66">
        <v>0.56000000000000005</v>
      </c>
      <c r="U66">
        <f>H66*(1-N66%)</f>
        <v>5.0842290000000006</v>
      </c>
      <c r="V66">
        <f>U66*I66</f>
        <v>345.72757200000001</v>
      </c>
      <c r="W66" t="e">
        <f>#REF!-V66</f>
        <v>#REF!</v>
      </c>
      <c r="X66" t="e">
        <f t="shared" si="0"/>
        <v>#REF!</v>
      </c>
    </row>
    <row r="67" spans="1:24" x14ac:dyDescent="0.3">
      <c r="A67">
        <v>1066</v>
      </c>
      <c r="B67" s="2">
        <v>44262</v>
      </c>
      <c r="C67" t="s">
        <v>33</v>
      </c>
      <c r="D67" t="s">
        <v>24</v>
      </c>
      <c r="E67" t="s">
        <v>25</v>
      </c>
      <c r="F67" t="s">
        <v>39</v>
      </c>
      <c r="G67" t="s">
        <v>40</v>
      </c>
      <c r="H67">
        <v>60.4</v>
      </c>
      <c r="I67">
        <v>91</v>
      </c>
      <c r="J67" s="1">
        <f>(H67*I67)+O67</f>
        <v>5551.9</v>
      </c>
      <c r="K67" s="1">
        <f>(H67*I67)+O67-N67</f>
        <v>5544.5499999999993</v>
      </c>
      <c r="L67">
        <v>419.18</v>
      </c>
      <c r="M67" t="s">
        <v>44</v>
      </c>
      <c r="N67">
        <v>7.35</v>
      </c>
      <c r="O67">
        <v>55.5</v>
      </c>
      <c r="P67">
        <v>3</v>
      </c>
      <c r="Q67">
        <v>9</v>
      </c>
      <c r="R67">
        <v>9.43</v>
      </c>
      <c r="U67">
        <f>H67*(1-N67%)</f>
        <v>55.960599999999999</v>
      </c>
      <c r="V67">
        <f>U67*I67</f>
        <v>5092.4146000000001</v>
      </c>
      <c r="W67" t="e">
        <f>#REF!-V67</f>
        <v>#REF!</v>
      </c>
      <c r="X67" t="e">
        <f t="shared" ref="X67:X130" si="1">(L67/W67)*100</f>
        <v>#REF!</v>
      </c>
    </row>
    <row r="68" spans="1:24" x14ac:dyDescent="0.3">
      <c r="A68">
        <v>1067</v>
      </c>
      <c r="B68" s="2">
        <v>44263</v>
      </c>
      <c r="C68" t="s">
        <v>57</v>
      </c>
      <c r="D68" t="s">
        <v>24</v>
      </c>
      <c r="E68" t="s">
        <v>42</v>
      </c>
      <c r="F68" t="s">
        <v>39</v>
      </c>
      <c r="G68" t="s">
        <v>43</v>
      </c>
      <c r="H68">
        <v>73.52</v>
      </c>
      <c r="I68">
        <v>67</v>
      </c>
      <c r="J68" s="1">
        <f>(H68*I68)+O68</f>
        <v>4939.04</v>
      </c>
      <c r="K68" s="1">
        <f>(H68*I68)+O68-N68</f>
        <v>4924.5199999999995</v>
      </c>
      <c r="L68">
        <v>947.42</v>
      </c>
      <c r="M68" t="s">
        <v>37</v>
      </c>
      <c r="N68">
        <v>14.52</v>
      </c>
      <c r="O68">
        <v>13.2</v>
      </c>
      <c r="P68">
        <v>4</v>
      </c>
      <c r="Q68">
        <v>22</v>
      </c>
      <c r="R68">
        <v>2.42</v>
      </c>
      <c r="U68">
        <f>H68*(1-N68%)</f>
        <v>62.844895999999999</v>
      </c>
      <c r="V68">
        <f>U68*I68</f>
        <v>4210.6080320000001</v>
      </c>
      <c r="W68" t="e">
        <f>#REF!-V68</f>
        <v>#REF!</v>
      </c>
      <c r="X68" t="e">
        <f t="shared" si="1"/>
        <v>#REF!</v>
      </c>
    </row>
    <row r="69" spans="1:24" x14ac:dyDescent="0.3">
      <c r="A69">
        <v>1068</v>
      </c>
      <c r="B69" s="2">
        <v>44264</v>
      </c>
      <c r="C69" t="s">
        <v>52</v>
      </c>
      <c r="D69" t="s">
        <v>46</v>
      </c>
      <c r="E69" t="s">
        <v>31</v>
      </c>
      <c r="F69" t="s">
        <v>26</v>
      </c>
      <c r="G69" t="s">
        <v>27</v>
      </c>
      <c r="H69">
        <v>41.76</v>
      </c>
      <c r="I69">
        <v>48</v>
      </c>
      <c r="J69" s="1">
        <f>(H69*I69)+O69</f>
        <v>2054.4299999999998</v>
      </c>
      <c r="K69" s="1">
        <f>(H69*I69)+O69-N69</f>
        <v>2035.9399999999998</v>
      </c>
      <c r="L69">
        <v>144.47999999999999</v>
      </c>
      <c r="M69" t="s">
        <v>28</v>
      </c>
      <c r="N69">
        <v>18.489999999999998</v>
      </c>
      <c r="O69">
        <v>49.95</v>
      </c>
      <c r="P69">
        <v>1</v>
      </c>
      <c r="Q69">
        <v>19</v>
      </c>
      <c r="R69">
        <v>0.08</v>
      </c>
      <c r="U69">
        <f>H69*(1-N69%)</f>
        <v>34.038575999999999</v>
      </c>
      <c r="V69">
        <f>U69*I69</f>
        <v>1633.8516479999998</v>
      </c>
      <c r="W69" t="e">
        <f>#REF!-V69</f>
        <v>#REF!</v>
      </c>
      <c r="X69" t="e">
        <f t="shared" si="1"/>
        <v>#REF!</v>
      </c>
    </row>
    <row r="70" spans="1:24" x14ac:dyDescent="0.3">
      <c r="A70">
        <v>1069</v>
      </c>
      <c r="B70" s="2">
        <v>44265</v>
      </c>
      <c r="C70" t="s">
        <v>57</v>
      </c>
      <c r="D70" t="s">
        <v>34</v>
      </c>
      <c r="E70" t="s">
        <v>31</v>
      </c>
      <c r="F70" t="s">
        <v>32</v>
      </c>
      <c r="G70" t="s">
        <v>45</v>
      </c>
      <c r="H70">
        <v>65.900000000000006</v>
      </c>
      <c r="I70">
        <v>89</v>
      </c>
      <c r="J70" s="1">
        <f>(H70*I70)+O70</f>
        <v>5877.59</v>
      </c>
      <c r="K70" s="1">
        <f>(H70*I70)+O70-N70</f>
        <v>5867.55</v>
      </c>
      <c r="L70">
        <v>901.72</v>
      </c>
      <c r="M70" t="s">
        <v>28</v>
      </c>
      <c r="N70">
        <v>10.039999999999999</v>
      </c>
      <c r="O70">
        <v>12.49</v>
      </c>
      <c r="P70">
        <v>2</v>
      </c>
      <c r="Q70">
        <v>10</v>
      </c>
      <c r="R70">
        <v>3.08</v>
      </c>
      <c r="U70">
        <f>H70*(1-N70%)</f>
        <v>59.283640000000005</v>
      </c>
      <c r="V70">
        <f>U70*I70</f>
        <v>5276.2439600000007</v>
      </c>
      <c r="W70" t="e">
        <f>#REF!-V70</f>
        <v>#REF!</v>
      </c>
      <c r="X70" t="e">
        <f t="shared" si="1"/>
        <v>#REF!</v>
      </c>
    </row>
    <row r="71" spans="1:24" x14ac:dyDescent="0.3">
      <c r="A71">
        <v>1070</v>
      </c>
      <c r="B71" s="2">
        <v>44266</v>
      </c>
      <c r="C71" t="s">
        <v>38</v>
      </c>
      <c r="D71" t="s">
        <v>30</v>
      </c>
      <c r="E71" t="s">
        <v>35</v>
      </c>
      <c r="F71" t="s">
        <v>39</v>
      </c>
      <c r="G71" t="s">
        <v>40</v>
      </c>
      <c r="H71">
        <v>16.82</v>
      </c>
      <c r="I71">
        <v>53</v>
      </c>
      <c r="J71" s="1">
        <f>(H71*I71)+O71</f>
        <v>914.53000000000009</v>
      </c>
      <c r="K71" s="1">
        <f>(H71*I71)+O71-N71</f>
        <v>896.03000000000009</v>
      </c>
      <c r="L71">
        <v>183.54</v>
      </c>
      <c r="M71" t="s">
        <v>28</v>
      </c>
      <c r="N71">
        <v>18.5</v>
      </c>
      <c r="O71">
        <v>23.07</v>
      </c>
      <c r="P71">
        <v>4</v>
      </c>
      <c r="Q71">
        <v>5</v>
      </c>
      <c r="R71">
        <v>3.09</v>
      </c>
      <c r="U71">
        <f>H71*(1-N71%)</f>
        <v>13.708299999999999</v>
      </c>
      <c r="V71">
        <f>U71*I71</f>
        <v>726.53989999999999</v>
      </c>
      <c r="W71" t="e">
        <f>#REF!-V71</f>
        <v>#REF!</v>
      </c>
      <c r="X71" t="e">
        <f t="shared" si="1"/>
        <v>#REF!</v>
      </c>
    </row>
    <row r="72" spans="1:24" x14ac:dyDescent="0.3">
      <c r="A72">
        <v>1071</v>
      </c>
      <c r="B72" s="2">
        <v>44267</v>
      </c>
      <c r="C72" t="s">
        <v>23</v>
      </c>
      <c r="D72" t="s">
        <v>30</v>
      </c>
      <c r="E72" t="s">
        <v>35</v>
      </c>
      <c r="F72" t="s">
        <v>32</v>
      </c>
      <c r="G72" t="s">
        <v>43</v>
      </c>
      <c r="H72">
        <v>11.97</v>
      </c>
      <c r="I72">
        <v>50</v>
      </c>
      <c r="J72" s="1">
        <f>(H72*I72)+O72</f>
        <v>696.76</v>
      </c>
      <c r="K72" s="1">
        <f>(H72*I72)+O72-N72</f>
        <v>686.01</v>
      </c>
      <c r="L72">
        <v>1073.6400000000001</v>
      </c>
      <c r="M72" t="s">
        <v>28</v>
      </c>
      <c r="N72">
        <v>10.75</v>
      </c>
      <c r="O72">
        <v>98.26</v>
      </c>
      <c r="P72">
        <v>2</v>
      </c>
      <c r="Q72">
        <v>6</v>
      </c>
      <c r="R72">
        <v>8.14</v>
      </c>
      <c r="U72">
        <f>H72*(1-N72%)</f>
        <v>10.683225</v>
      </c>
      <c r="V72">
        <f>U72*I72</f>
        <v>534.16125</v>
      </c>
      <c r="W72" t="e">
        <f>#REF!-V72</f>
        <v>#REF!</v>
      </c>
      <c r="X72" t="e">
        <f t="shared" si="1"/>
        <v>#REF!</v>
      </c>
    </row>
    <row r="73" spans="1:24" x14ac:dyDescent="0.3">
      <c r="A73">
        <v>1072</v>
      </c>
      <c r="B73" s="2">
        <v>44268</v>
      </c>
      <c r="C73" t="s">
        <v>52</v>
      </c>
      <c r="D73" t="s">
        <v>49</v>
      </c>
      <c r="E73" t="s">
        <v>31</v>
      </c>
      <c r="F73" t="s">
        <v>26</v>
      </c>
      <c r="G73" t="s">
        <v>43</v>
      </c>
      <c r="H73">
        <v>41.8</v>
      </c>
      <c r="I73">
        <v>71</v>
      </c>
      <c r="J73" s="1">
        <f>(H73*I73)+O73</f>
        <v>3035.95</v>
      </c>
      <c r="K73" s="1">
        <f>(H73*I73)+O73-N73</f>
        <v>3017.68</v>
      </c>
      <c r="L73">
        <v>175.48</v>
      </c>
      <c r="M73" t="s">
        <v>37</v>
      </c>
      <c r="N73">
        <v>18.27</v>
      </c>
      <c r="O73">
        <v>68.150000000000006</v>
      </c>
      <c r="P73">
        <v>2</v>
      </c>
      <c r="Q73">
        <v>20</v>
      </c>
      <c r="R73">
        <v>2.9</v>
      </c>
      <c r="U73">
        <f>H73*(1-N73%)</f>
        <v>34.163139999999999</v>
      </c>
      <c r="V73">
        <f>U73*I73</f>
        <v>2425.5829399999998</v>
      </c>
      <c r="W73" t="e">
        <f>#REF!-V73</f>
        <v>#REF!</v>
      </c>
      <c r="X73" t="e">
        <f t="shared" si="1"/>
        <v>#REF!</v>
      </c>
    </row>
    <row r="74" spans="1:24" x14ac:dyDescent="0.3">
      <c r="A74">
        <v>1073</v>
      </c>
      <c r="B74" s="2">
        <v>44269</v>
      </c>
      <c r="C74" t="s">
        <v>51</v>
      </c>
      <c r="D74" t="s">
        <v>55</v>
      </c>
      <c r="E74" t="s">
        <v>42</v>
      </c>
      <c r="F74" t="s">
        <v>32</v>
      </c>
      <c r="G74" t="s">
        <v>47</v>
      </c>
      <c r="H74">
        <v>72.03</v>
      </c>
      <c r="I74">
        <v>44</v>
      </c>
      <c r="J74" s="1">
        <f>(H74*I74)+O74</f>
        <v>3177.65</v>
      </c>
      <c r="K74" s="1">
        <f>(H74*I74)+O74-N74</f>
        <v>3175.32</v>
      </c>
      <c r="L74">
        <v>534.64</v>
      </c>
      <c r="M74" t="s">
        <v>44</v>
      </c>
      <c r="N74">
        <v>2.33</v>
      </c>
      <c r="O74">
        <v>8.33</v>
      </c>
      <c r="P74">
        <v>1</v>
      </c>
      <c r="Q74">
        <v>13</v>
      </c>
      <c r="R74">
        <v>6.34</v>
      </c>
      <c r="U74">
        <f>H74*(1-N74%)</f>
        <v>70.351701000000006</v>
      </c>
      <c r="V74">
        <f>U74*I74</f>
        <v>3095.4748440000003</v>
      </c>
      <c r="W74" t="e">
        <f>#REF!-V74</f>
        <v>#REF!</v>
      </c>
      <c r="X74" t="e">
        <f t="shared" si="1"/>
        <v>#REF!</v>
      </c>
    </row>
    <row r="75" spans="1:24" x14ac:dyDescent="0.3">
      <c r="A75">
        <v>1074</v>
      </c>
      <c r="B75" s="2">
        <v>44270</v>
      </c>
      <c r="C75" t="s">
        <v>48</v>
      </c>
      <c r="D75" t="s">
        <v>46</v>
      </c>
      <c r="E75" t="s">
        <v>25</v>
      </c>
      <c r="F75" t="s">
        <v>32</v>
      </c>
      <c r="G75" t="s">
        <v>27</v>
      </c>
      <c r="H75">
        <v>47.27</v>
      </c>
      <c r="I75">
        <v>42</v>
      </c>
      <c r="J75" s="1">
        <f>(H75*I75)+O75</f>
        <v>1996.0000000000002</v>
      </c>
      <c r="K75" s="1">
        <f>(H75*I75)+O75-N75</f>
        <v>1993.0400000000002</v>
      </c>
      <c r="L75">
        <v>949.75</v>
      </c>
      <c r="M75" t="s">
        <v>37</v>
      </c>
      <c r="N75">
        <v>2.96</v>
      </c>
      <c r="O75">
        <v>10.66</v>
      </c>
      <c r="P75">
        <v>5</v>
      </c>
      <c r="Q75">
        <v>6</v>
      </c>
      <c r="R75">
        <v>0.55000000000000004</v>
      </c>
      <c r="U75">
        <f>H75*(1-N75%)</f>
        <v>45.870808000000004</v>
      </c>
      <c r="V75">
        <f>U75*I75</f>
        <v>1926.5739360000002</v>
      </c>
      <c r="W75" t="e">
        <f>#REF!-V75</f>
        <v>#REF!</v>
      </c>
      <c r="X75" t="e">
        <f t="shared" si="1"/>
        <v>#REF!</v>
      </c>
    </row>
    <row r="76" spans="1:24" x14ac:dyDescent="0.3">
      <c r="A76">
        <v>1075</v>
      </c>
      <c r="B76" s="2">
        <v>44271</v>
      </c>
      <c r="C76" t="s">
        <v>51</v>
      </c>
      <c r="D76" t="s">
        <v>46</v>
      </c>
      <c r="E76" t="s">
        <v>42</v>
      </c>
      <c r="F76" t="s">
        <v>32</v>
      </c>
      <c r="G76" t="s">
        <v>50</v>
      </c>
      <c r="H76">
        <v>41.6</v>
      </c>
      <c r="I76">
        <v>63</v>
      </c>
      <c r="J76" s="1">
        <f>(H76*I76)+O76</f>
        <v>2680.8900000000003</v>
      </c>
      <c r="K76" s="1">
        <f>(H76*I76)+O76-N76</f>
        <v>2663.2200000000003</v>
      </c>
      <c r="L76">
        <v>1307.3</v>
      </c>
      <c r="M76" t="s">
        <v>37</v>
      </c>
      <c r="N76">
        <v>17.670000000000002</v>
      </c>
      <c r="O76">
        <v>60.09</v>
      </c>
      <c r="P76">
        <v>1</v>
      </c>
      <c r="Q76">
        <v>4</v>
      </c>
      <c r="R76">
        <v>2.96</v>
      </c>
      <c r="U76">
        <f>H76*(1-N76%)</f>
        <v>34.249279999999999</v>
      </c>
      <c r="V76">
        <f>U76*I76</f>
        <v>2157.7046399999999</v>
      </c>
      <c r="W76" t="e">
        <f>#REF!-V76</f>
        <v>#REF!</v>
      </c>
      <c r="X76" t="e">
        <f t="shared" si="1"/>
        <v>#REF!</v>
      </c>
    </row>
    <row r="77" spans="1:24" x14ac:dyDescent="0.3">
      <c r="A77">
        <v>1076</v>
      </c>
      <c r="B77" s="2">
        <v>44272</v>
      </c>
      <c r="C77" t="s">
        <v>23</v>
      </c>
      <c r="D77" t="s">
        <v>24</v>
      </c>
      <c r="E77" t="s">
        <v>25</v>
      </c>
      <c r="F77" t="s">
        <v>26</v>
      </c>
      <c r="G77" t="s">
        <v>45</v>
      </c>
      <c r="H77">
        <v>20.010000000000002</v>
      </c>
      <c r="I77">
        <v>94</v>
      </c>
      <c r="J77" s="1">
        <f>(H77*I77)+O77</f>
        <v>1941.9</v>
      </c>
      <c r="K77" s="1">
        <f>(H77*I77)+O77-N77</f>
        <v>1937.77</v>
      </c>
      <c r="L77">
        <v>87.55</v>
      </c>
      <c r="M77" t="s">
        <v>37</v>
      </c>
      <c r="N77">
        <v>4.13</v>
      </c>
      <c r="O77">
        <v>60.96</v>
      </c>
      <c r="P77">
        <v>2</v>
      </c>
      <c r="Q77">
        <v>26</v>
      </c>
      <c r="R77">
        <v>3.24</v>
      </c>
      <c r="U77">
        <f>H77*(1-N77%)</f>
        <v>19.183587000000003</v>
      </c>
      <c r="V77">
        <f>U77*I77</f>
        <v>1803.2571780000003</v>
      </c>
      <c r="W77" t="e">
        <f>#REF!-V77</f>
        <v>#REF!</v>
      </c>
      <c r="X77" t="e">
        <f t="shared" si="1"/>
        <v>#REF!</v>
      </c>
    </row>
    <row r="78" spans="1:24" x14ac:dyDescent="0.3">
      <c r="A78">
        <v>1077</v>
      </c>
      <c r="B78" s="2">
        <v>44273</v>
      </c>
      <c r="C78" t="s">
        <v>29</v>
      </c>
      <c r="D78" t="s">
        <v>49</v>
      </c>
      <c r="E78" t="s">
        <v>35</v>
      </c>
      <c r="F78" t="s">
        <v>32</v>
      </c>
      <c r="G78" t="s">
        <v>53</v>
      </c>
      <c r="H78">
        <v>12.98</v>
      </c>
      <c r="I78">
        <v>83</v>
      </c>
      <c r="J78" s="1">
        <f>(H78*I78)+O78</f>
        <v>1089.7400000000002</v>
      </c>
      <c r="K78" s="1">
        <f>(H78*I78)+O78-N78</f>
        <v>1074.5900000000001</v>
      </c>
      <c r="L78">
        <v>917.61</v>
      </c>
      <c r="M78" t="s">
        <v>28</v>
      </c>
      <c r="N78">
        <v>15.15</v>
      </c>
      <c r="O78">
        <v>12.4</v>
      </c>
      <c r="P78">
        <v>3</v>
      </c>
      <c r="Q78">
        <v>6</v>
      </c>
      <c r="R78">
        <v>9.58</v>
      </c>
      <c r="U78">
        <f>H78*(1-N78%)</f>
        <v>11.013530000000001</v>
      </c>
      <c r="V78">
        <f>U78*I78</f>
        <v>914.12299000000007</v>
      </c>
      <c r="W78" t="e">
        <f>#REF!-V78</f>
        <v>#REF!</v>
      </c>
      <c r="X78" t="e">
        <f t="shared" si="1"/>
        <v>#REF!</v>
      </c>
    </row>
    <row r="79" spans="1:24" x14ac:dyDescent="0.3">
      <c r="A79">
        <v>1078</v>
      </c>
      <c r="B79" s="2">
        <v>44274</v>
      </c>
      <c r="C79" t="s">
        <v>48</v>
      </c>
      <c r="D79" t="s">
        <v>34</v>
      </c>
      <c r="E79" t="s">
        <v>31</v>
      </c>
      <c r="F79" t="s">
        <v>26</v>
      </c>
      <c r="G79" t="s">
        <v>36</v>
      </c>
      <c r="H79">
        <v>71.459999999999994</v>
      </c>
      <c r="I79">
        <v>72</v>
      </c>
      <c r="J79" s="1">
        <f>(H79*I79)+O79</f>
        <v>5223.83</v>
      </c>
      <c r="K79" s="1">
        <f>(H79*I79)+O79-N79</f>
        <v>5211.49</v>
      </c>
      <c r="L79">
        <v>1208.17</v>
      </c>
      <c r="M79" t="s">
        <v>37</v>
      </c>
      <c r="N79">
        <v>12.34</v>
      </c>
      <c r="O79">
        <v>78.709999999999994</v>
      </c>
      <c r="P79">
        <v>2</v>
      </c>
      <c r="Q79">
        <v>2</v>
      </c>
      <c r="R79">
        <v>6.15</v>
      </c>
      <c r="U79">
        <f>H79*(1-N79%)</f>
        <v>62.641835999999998</v>
      </c>
      <c r="V79">
        <f>U79*I79</f>
        <v>4510.212192</v>
      </c>
      <c r="W79" t="e">
        <f>#REF!-V79</f>
        <v>#REF!</v>
      </c>
      <c r="X79" t="e">
        <f t="shared" si="1"/>
        <v>#REF!</v>
      </c>
    </row>
    <row r="80" spans="1:24" x14ac:dyDescent="0.3">
      <c r="A80">
        <v>1079</v>
      </c>
      <c r="B80" s="2">
        <v>44275</v>
      </c>
      <c r="C80" t="s">
        <v>57</v>
      </c>
      <c r="D80" t="s">
        <v>46</v>
      </c>
      <c r="E80" t="s">
        <v>25</v>
      </c>
      <c r="F80" t="s">
        <v>39</v>
      </c>
      <c r="G80" t="s">
        <v>27</v>
      </c>
      <c r="H80">
        <v>33.44</v>
      </c>
      <c r="I80">
        <v>68</v>
      </c>
      <c r="J80" s="1">
        <f>(H80*I80)+O80</f>
        <v>2300.58</v>
      </c>
      <c r="K80" s="1">
        <f>(H80*I80)+O80-N80</f>
        <v>2294.66</v>
      </c>
      <c r="L80">
        <v>1135.44</v>
      </c>
      <c r="M80" t="s">
        <v>37</v>
      </c>
      <c r="N80">
        <v>5.92</v>
      </c>
      <c r="O80">
        <v>26.66</v>
      </c>
      <c r="P80">
        <v>5</v>
      </c>
      <c r="Q80">
        <v>23</v>
      </c>
      <c r="R80">
        <v>3.91</v>
      </c>
      <c r="U80">
        <f>H80*(1-N80%)</f>
        <v>31.460351999999997</v>
      </c>
      <c r="V80">
        <f>U80*I80</f>
        <v>2139.3039359999998</v>
      </c>
      <c r="W80" t="e">
        <f>#REF!-V80</f>
        <v>#REF!</v>
      </c>
      <c r="X80" t="e">
        <f t="shared" si="1"/>
        <v>#REF!</v>
      </c>
    </row>
    <row r="81" spans="1:24" x14ac:dyDescent="0.3">
      <c r="A81">
        <v>1080</v>
      </c>
      <c r="B81" s="2">
        <v>44276</v>
      </c>
      <c r="C81" t="s">
        <v>41</v>
      </c>
      <c r="D81" t="s">
        <v>34</v>
      </c>
      <c r="E81" t="s">
        <v>35</v>
      </c>
      <c r="F81" t="s">
        <v>39</v>
      </c>
      <c r="G81" t="s">
        <v>50</v>
      </c>
      <c r="H81">
        <v>59.64</v>
      </c>
      <c r="I81">
        <v>89</v>
      </c>
      <c r="J81" s="1">
        <f>(H81*I81)+O81</f>
        <v>5400.74</v>
      </c>
      <c r="K81" s="1">
        <f>(H81*I81)+O81-N81</f>
        <v>5397.7199999999993</v>
      </c>
      <c r="L81">
        <v>704.51</v>
      </c>
      <c r="M81" t="s">
        <v>44</v>
      </c>
      <c r="N81">
        <v>3.02</v>
      </c>
      <c r="O81">
        <v>92.78</v>
      </c>
      <c r="P81">
        <v>2</v>
      </c>
      <c r="Q81">
        <v>27</v>
      </c>
      <c r="R81">
        <v>1.38</v>
      </c>
      <c r="U81">
        <f>H81*(1-N81%)</f>
        <v>57.838872000000002</v>
      </c>
      <c r="V81">
        <f>U81*I81</f>
        <v>5147.6596079999999</v>
      </c>
      <c r="W81" t="e">
        <f>#REF!-V81</f>
        <v>#REF!</v>
      </c>
      <c r="X81" t="e">
        <f t="shared" si="1"/>
        <v>#REF!</v>
      </c>
    </row>
    <row r="82" spans="1:24" x14ac:dyDescent="0.3">
      <c r="A82">
        <v>1081</v>
      </c>
      <c r="B82" s="2">
        <v>44277</v>
      </c>
      <c r="C82" t="s">
        <v>23</v>
      </c>
      <c r="D82" t="s">
        <v>54</v>
      </c>
      <c r="E82" t="s">
        <v>25</v>
      </c>
      <c r="F82" t="s">
        <v>32</v>
      </c>
      <c r="G82" t="s">
        <v>27</v>
      </c>
      <c r="H82">
        <v>13.39</v>
      </c>
      <c r="I82">
        <v>96</v>
      </c>
      <c r="J82" s="1">
        <f>(H82*I82)+O82</f>
        <v>1371.67</v>
      </c>
      <c r="K82" s="1">
        <f>(H82*I82)+O82-N82</f>
        <v>1360.16</v>
      </c>
      <c r="L82">
        <v>1147.73</v>
      </c>
      <c r="M82" t="s">
        <v>28</v>
      </c>
      <c r="N82">
        <v>11.51</v>
      </c>
      <c r="O82">
        <v>86.23</v>
      </c>
      <c r="P82">
        <v>5</v>
      </c>
      <c r="Q82">
        <v>28</v>
      </c>
      <c r="R82">
        <v>7.91</v>
      </c>
      <c r="U82">
        <f>H82*(1-N82%)</f>
        <v>11.848811000000001</v>
      </c>
      <c r="V82">
        <f>U82*I82</f>
        <v>1137.4858560000002</v>
      </c>
      <c r="W82" t="e">
        <f>#REF!-V82</f>
        <v>#REF!</v>
      </c>
      <c r="X82" t="e">
        <f t="shared" si="1"/>
        <v>#REF!</v>
      </c>
    </row>
    <row r="83" spans="1:24" x14ac:dyDescent="0.3">
      <c r="A83">
        <v>1082</v>
      </c>
      <c r="B83" s="2">
        <v>44278</v>
      </c>
      <c r="C83" t="s">
        <v>56</v>
      </c>
      <c r="D83" t="s">
        <v>30</v>
      </c>
      <c r="E83" t="s">
        <v>42</v>
      </c>
      <c r="F83" t="s">
        <v>32</v>
      </c>
      <c r="G83" t="s">
        <v>40</v>
      </c>
      <c r="H83">
        <v>4.68</v>
      </c>
      <c r="I83">
        <v>64</v>
      </c>
      <c r="J83" s="1">
        <f>(H83*I83)+O83</f>
        <v>307.27999999999997</v>
      </c>
      <c r="K83" s="1">
        <f>(H83*I83)+O83-N83</f>
        <v>304.80999999999995</v>
      </c>
      <c r="L83">
        <v>721.52</v>
      </c>
      <c r="M83" t="s">
        <v>44</v>
      </c>
      <c r="N83">
        <v>2.4700000000000002</v>
      </c>
      <c r="O83">
        <v>7.76</v>
      </c>
      <c r="P83">
        <v>2</v>
      </c>
      <c r="Q83">
        <v>20</v>
      </c>
      <c r="R83">
        <v>1.98</v>
      </c>
      <c r="U83">
        <f>H83*(1-N83%)</f>
        <v>4.5644039999999997</v>
      </c>
      <c r="V83">
        <f>U83*I83</f>
        <v>292.12185599999998</v>
      </c>
      <c r="W83" t="e">
        <f>#REF!-V83</f>
        <v>#REF!</v>
      </c>
      <c r="X83" t="e">
        <f t="shared" si="1"/>
        <v>#REF!</v>
      </c>
    </row>
    <row r="84" spans="1:24" x14ac:dyDescent="0.3">
      <c r="A84">
        <v>1083</v>
      </c>
      <c r="B84" s="2">
        <v>44279</v>
      </c>
      <c r="C84" t="s">
        <v>57</v>
      </c>
      <c r="D84" t="s">
        <v>24</v>
      </c>
      <c r="E84" t="s">
        <v>31</v>
      </c>
      <c r="F84" t="s">
        <v>26</v>
      </c>
      <c r="G84" t="s">
        <v>47</v>
      </c>
      <c r="H84">
        <v>17.559999999999999</v>
      </c>
      <c r="I84">
        <v>41</v>
      </c>
      <c r="J84" s="1">
        <f>(H84*I84)+O84</f>
        <v>729.68999999999994</v>
      </c>
      <c r="K84" s="1">
        <f>(H84*I84)+O84-N84</f>
        <v>718.81999999999994</v>
      </c>
      <c r="L84">
        <v>600.51</v>
      </c>
      <c r="M84" t="s">
        <v>28</v>
      </c>
      <c r="N84">
        <v>10.87</v>
      </c>
      <c r="O84">
        <v>9.73</v>
      </c>
      <c r="P84">
        <v>2</v>
      </c>
      <c r="Q84">
        <v>23</v>
      </c>
      <c r="R84">
        <v>7.95</v>
      </c>
      <c r="U84">
        <f>H84*(1-N84%)</f>
        <v>15.651227999999998</v>
      </c>
      <c r="V84">
        <f>U84*I84</f>
        <v>641.70034799999996</v>
      </c>
      <c r="W84" t="e">
        <f>#REF!-V84</f>
        <v>#REF!</v>
      </c>
      <c r="X84" t="e">
        <f t="shared" si="1"/>
        <v>#REF!</v>
      </c>
    </row>
    <row r="85" spans="1:24" x14ac:dyDescent="0.3">
      <c r="A85">
        <v>1084</v>
      </c>
      <c r="B85" s="2">
        <v>44280</v>
      </c>
      <c r="C85" t="s">
        <v>29</v>
      </c>
      <c r="D85" t="s">
        <v>46</v>
      </c>
      <c r="E85" t="s">
        <v>35</v>
      </c>
      <c r="F85" t="s">
        <v>32</v>
      </c>
      <c r="G85" t="s">
        <v>40</v>
      </c>
      <c r="H85">
        <v>35.799999999999997</v>
      </c>
      <c r="I85">
        <v>61</v>
      </c>
      <c r="J85" s="1">
        <f>(H85*I85)+O85</f>
        <v>2256.5099999999998</v>
      </c>
      <c r="K85" s="1">
        <f>(H85*I85)+O85-N85</f>
        <v>2248.6499999999996</v>
      </c>
      <c r="L85">
        <v>1113.3599999999999</v>
      </c>
      <c r="M85" t="s">
        <v>28</v>
      </c>
      <c r="N85">
        <v>7.86</v>
      </c>
      <c r="O85">
        <v>72.709999999999994</v>
      </c>
      <c r="P85">
        <v>5</v>
      </c>
      <c r="Q85">
        <v>1</v>
      </c>
      <c r="R85">
        <v>0.5</v>
      </c>
      <c r="U85">
        <f>H85*(1-N85%)</f>
        <v>32.98612</v>
      </c>
      <c r="V85">
        <f>U85*I85</f>
        <v>2012.1533199999999</v>
      </c>
      <c r="W85" t="e">
        <f>#REF!-V85</f>
        <v>#REF!</v>
      </c>
      <c r="X85" t="e">
        <f t="shared" si="1"/>
        <v>#REF!</v>
      </c>
    </row>
    <row r="86" spans="1:24" x14ac:dyDescent="0.3">
      <c r="A86">
        <v>1085</v>
      </c>
      <c r="B86" s="2">
        <v>44281</v>
      </c>
      <c r="C86" t="s">
        <v>38</v>
      </c>
      <c r="D86" t="s">
        <v>46</v>
      </c>
      <c r="E86" t="s">
        <v>25</v>
      </c>
      <c r="F86" t="s">
        <v>32</v>
      </c>
      <c r="G86" t="s">
        <v>47</v>
      </c>
      <c r="H86">
        <v>51.74</v>
      </c>
      <c r="I86">
        <v>26</v>
      </c>
      <c r="J86" s="1">
        <f>(H86*I86)+O86</f>
        <v>1438.74</v>
      </c>
      <c r="K86" s="1">
        <f>(H86*I86)+O86-N86</f>
        <v>1431.83</v>
      </c>
      <c r="L86">
        <v>1378.53</v>
      </c>
      <c r="M86" t="s">
        <v>44</v>
      </c>
      <c r="N86">
        <v>6.91</v>
      </c>
      <c r="O86">
        <v>93.5</v>
      </c>
      <c r="P86">
        <v>3</v>
      </c>
      <c r="Q86">
        <v>28</v>
      </c>
      <c r="R86">
        <v>5.69</v>
      </c>
      <c r="U86">
        <f>H86*(1-N86%)</f>
        <v>48.164766000000007</v>
      </c>
      <c r="V86">
        <f>U86*I86</f>
        <v>1252.2839160000001</v>
      </c>
      <c r="W86" t="e">
        <f>#REF!-V86</f>
        <v>#REF!</v>
      </c>
      <c r="X86" t="e">
        <f t="shared" si="1"/>
        <v>#REF!</v>
      </c>
    </row>
    <row r="87" spans="1:24" x14ac:dyDescent="0.3">
      <c r="A87">
        <v>1086</v>
      </c>
      <c r="B87" s="2">
        <v>44282</v>
      </c>
      <c r="C87" t="s">
        <v>23</v>
      </c>
      <c r="D87" t="s">
        <v>49</v>
      </c>
      <c r="E87" t="s">
        <v>25</v>
      </c>
      <c r="F87" t="s">
        <v>39</v>
      </c>
      <c r="G87" t="s">
        <v>36</v>
      </c>
      <c r="H87">
        <v>66.14</v>
      </c>
      <c r="I87">
        <v>25</v>
      </c>
      <c r="J87" s="1">
        <f>(H87*I87)+O87</f>
        <v>1661.59</v>
      </c>
      <c r="K87" s="1">
        <f>(H87*I87)+O87-N87</f>
        <v>1641.72</v>
      </c>
      <c r="L87">
        <v>580.01</v>
      </c>
      <c r="M87" t="s">
        <v>44</v>
      </c>
      <c r="N87">
        <v>19.87</v>
      </c>
      <c r="O87">
        <v>8.09</v>
      </c>
      <c r="P87">
        <v>5</v>
      </c>
      <c r="Q87">
        <v>5</v>
      </c>
      <c r="R87">
        <v>3.39</v>
      </c>
      <c r="U87">
        <f>H87*(1-N87%)</f>
        <v>52.997982</v>
      </c>
      <c r="V87">
        <f>U87*I87</f>
        <v>1324.94955</v>
      </c>
      <c r="W87" t="e">
        <f>#REF!-V87</f>
        <v>#REF!</v>
      </c>
      <c r="X87" t="e">
        <f t="shared" si="1"/>
        <v>#REF!</v>
      </c>
    </row>
    <row r="88" spans="1:24" x14ac:dyDescent="0.3">
      <c r="A88">
        <v>1087</v>
      </c>
      <c r="B88" s="2">
        <v>44283</v>
      </c>
      <c r="C88" t="s">
        <v>51</v>
      </c>
      <c r="D88" t="s">
        <v>46</v>
      </c>
      <c r="E88" t="s">
        <v>35</v>
      </c>
      <c r="F88" t="s">
        <v>32</v>
      </c>
      <c r="G88" t="s">
        <v>27</v>
      </c>
      <c r="H88">
        <v>31.27</v>
      </c>
      <c r="I88">
        <v>29</v>
      </c>
      <c r="J88" s="1">
        <f>(H88*I88)+O88</f>
        <v>978.49</v>
      </c>
      <c r="K88" s="1">
        <f>(H88*I88)+O88-N88</f>
        <v>961.33</v>
      </c>
      <c r="L88">
        <v>785.74</v>
      </c>
      <c r="M88" t="s">
        <v>44</v>
      </c>
      <c r="N88">
        <v>17.16</v>
      </c>
      <c r="O88">
        <v>71.66</v>
      </c>
      <c r="P88">
        <v>4</v>
      </c>
      <c r="Q88">
        <v>12</v>
      </c>
      <c r="R88">
        <v>9.7200000000000006</v>
      </c>
      <c r="U88">
        <f>H88*(1-N88%)</f>
        <v>25.904067999999999</v>
      </c>
      <c r="V88">
        <f>U88*I88</f>
        <v>751.21797199999992</v>
      </c>
      <c r="W88" t="e">
        <f>#REF!-V88</f>
        <v>#REF!</v>
      </c>
      <c r="X88" t="e">
        <f t="shared" si="1"/>
        <v>#REF!</v>
      </c>
    </row>
    <row r="89" spans="1:24" x14ac:dyDescent="0.3">
      <c r="A89">
        <v>1088</v>
      </c>
      <c r="B89" s="2">
        <v>44284</v>
      </c>
      <c r="C89" t="s">
        <v>48</v>
      </c>
      <c r="D89" t="s">
        <v>24</v>
      </c>
      <c r="E89" t="s">
        <v>25</v>
      </c>
      <c r="F89" t="s">
        <v>32</v>
      </c>
      <c r="G89" t="s">
        <v>40</v>
      </c>
      <c r="H89">
        <v>43.85</v>
      </c>
      <c r="I89">
        <v>57</v>
      </c>
      <c r="J89" s="1">
        <f>(H89*I89)+O89</f>
        <v>2585.8100000000004</v>
      </c>
      <c r="K89" s="1">
        <f>(H89*I89)+O89-N89</f>
        <v>2573.9500000000003</v>
      </c>
      <c r="L89">
        <v>511.3</v>
      </c>
      <c r="M89" t="s">
        <v>28</v>
      </c>
      <c r="N89">
        <v>11.86</v>
      </c>
      <c r="O89">
        <v>86.36</v>
      </c>
      <c r="P89">
        <v>4</v>
      </c>
      <c r="Q89">
        <v>23</v>
      </c>
      <c r="R89">
        <v>9.91</v>
      </c>
      <c r="U89">
        <f>H89*(1-N89%)</f>
        <v>38.649389999999997</v>
      </c>
      <c r="V89">
        <f>U89*I89</f>
        <v>2203.01523</v>
      </c>
      <c r="W89" t="e">
        <f>#REF!-V89</f>
        <v>#REF!</v>
      </c>
      <c r="X89" t="e">
        <f t="shared" si="1"/>
        <v>#REF!</v>
      </c>
    </row>
    <row r="90" spans="1:24" x14ac:dyDescent="0.3">
      <c r="A90">
        <v>1089</v>
      </c>
      <c r="B90" s="2">
        <v>44285</v>
      </c>
      <c r="C90" t="s">
        <v>52</v>
      </c>
      <c r="D90" t="s">
        <v>24</v>
      </c>
      <c r="E90" t="s">
        <v>25</v>
      </c>
      <c r="F90" t="s">
        <v>39</v>
      </c>
      <c r="G90" t="s">
        <v>43</v>
      </c>
      <c r="H90">
        <v>27.18</v>
      </c>
      <c r="I90">
        <v>51</v>
      </c>
      <c r="J90" s="1">
        <f>(H90*I90)+O90</f>
        <v>1411.13</v>
      </c>
      <c r="K90" s="1">
        <f>(H90*I90)+O90-N90</f>
        <v>1393.0200000000002</v>
      </c>
      <c r="L90">
        <v>779.4</v>
      </c>
      <c r="M90" t="s">
        <v>44</v>
      </c>
      <c r="N90">
        <v>18.11</v>
      </c>
      <c r="O90">
        <v>24.95</v>
      </c>
      <c r="P90">
        <v>4</v>
      </c>
      <c r="Q90">
        <v>21</v>
      </c>
      <c r="R90">
        <v>9.32</v>
      </c>
      <c r="U90">
        <f>H90*(1-N90%)</f>
        <v>22.257701999999998</v>
      </c>
      <c r="V90">
        <f>U90*I90</f>
        <v>1135.1428019999998</v>
      </c>
      <c r="W90" t="e">
        <f>#REF!-V90</f>
        <v>#REF!</v>
      </c>
      <c r="X90" t="e">
        <f t="shared" si="1"/>
        <v>#REF!</v>
      </c>
    </row>
    <row r="91" spans="1:24" x14ac:dyDescent="0.3">
      <c r="A91">
        <v>1090</v>
      </c>
      <c r="B91" s="2">
        <v>44286</v>
      </c>
      <c r="C91" t="s">
        <v>29</v>
      </c>
      <c r="D91" t="s">
        <v>54</v>
      </c>
      <c r="E91" t="s">
        <v>42</v>
      </c>
      <c r="F91" t="s">
        <v>32</v>
      </c>
      <c r="G91" t="s">
        <v>27</v>
      </c>
      <c r="H91">
        <v>56.2</v>
      </c>
      <c r="I91">
        <v>96</v>
      </c>
      <c r="J91" s="1">
        <f>(H91*I91)+O91</f>
        <v>5452.14</v>
      </c>
      <c r="K91" s="1">
        <f>(H91*I91)+O91-N91</f>
        <v>5439.3200000000006</v>
      </c>
      <c r="L91">
        <v>1216.22</v>
      </c>
      <c r="M91" t="s">
        <v>44</v>
      </c>
      <c r="N91">
        <v>12.82</v>
      </c>
      <c r="O91">
        <v>56.94</v>
      </c>
      <c r="P91">
        <v>1</v>
      </c>
      <c r="Q91">
        <v>20</v>
      </c>
      <c r="R91">
        <v>2.87</v>
      </c>
      <c r="U91">
        <f>H91*(1-N91%)</f>
        <v>48.995160000000006</v>
      </c>
      <c r="V91">
        <f>U91*I91</f>
        <v>4703.5353600000008</v>
      </c>
      <c r="W91" t="e">
        <f>#REF!-V91</f>
        <v>#REF!</v>
      </c>
      <c r="X91" t="e">
        <f t="shared" si="1"/>
        <v>#REF!</v>
      </c>
    </row>
    <row r="92" spans="1:24" x14ac:dyDescent="0.3">
      <c r="A92">
        <v>1091</v>
      </c>
      <c r="B92" s="2">
        <v>44287</v>
      </c>
      <c r="C92" t="s">
        <v>56</v>
      </c>
      <c r="D92" t="s">
        <v>49</v>
      </c>
      <c r="E92" t="s">
        <v>42</v>
      </c>
      <c r="F92" t="s">
        <v>39</v>
      </c>
      <c r="G92" t="s">
        <v>27</v>
      </c>
      <c r="H92">
        <v>9.51</v>
      </c>
      <c r="I92">
        <v>39</v>
      </c>
      <c r="J92" s="1">
        <f>(H92*I92)+O92</f>
        <v>445.23</v>
      </c>
      <c r="K92" s="1">
        <f>(H92*I92)+O92-N92</f>
        <v>431.22</v>
      </c>
      <c r="L92">
        <v>937.52</v>
      </c>
      <c r="M92" t="s">
        <v>44</v>
      </c>
      <c r="N92">
        <v>14.01</v>
      </c>
      <c r="O92">
        <v>74.34</v>
      </c>
      <c r="P92">
        <v>1</v>
      </c>
      <c r="Q92">
        <v>24</v>
      </c>
      <c r="R92">
        <v>4.07</v>
      </c>
      <c r="U92">
        <f>H92*(1-N92%)</f>
        <v>8.1776490000000006</v>
      </c>
      <c r="V92">
        <f>U92*I92</f>
        <v>318.92831100000001</v>
      </c>
      <c r="W92" t="e">
        <f>#REF!-V92</f>
        <v>#REF!</v>
      </c>
      <c r="X92" t="e">
        <f t="shared" si="1"/>
        <v>#REF!</v>
      </c>
    </row>
    <row r="93" spans="1:24" x14ac:dyDescent="0.3">
      <c r="A93">
        <v>1092</v>
      </c>
      <c r="B93" s="2">
        <v>44288</v>
      </c>
      <c r="C93" t="s">
        <v>29</v>
      </c>
      <c r="D93" t="s">
        <v>49</v>
      </c>
      <c r="E93" t="s">
        <v>35</v>
      </c>
      <c r="F93" t="s">
        <v>32</v>
      </c>
      <c r="G93" t="s">
        <v>47</v>
      </c>
      <c r="H93">
        <v>13.21</v>
      </c>
      <c r="I93">
        <v>11</v>
      </c>
      <c r="J93" s="1">
        <f>(H93*I93)+O93</f>
        <v>184.59</v>
      </c>
      <c r="K93" s="1">
        <f>(H93*I93)+O93-N93</f>
        <v>172.85</v>
      </c>
      <c r="L93">
        <v>321.70999999999998</v>
      </c>
      <c r="M93" t="s">
        <v>44</v>
      </c>
      <c r="N93">
        <v>11.74</v>
      </c>
      <c r="O93">
        <v>39.28</v>
      </c>
      <c r="P93">
        <v>1</v>
      </c>
      <c r="Q93">
        <v>7</v>
      </c>
      <c r="R93">
        <v>2.2999999999999998</v>
      </c>
      <c r="U93">
        <f>H93*(1-N93%)</f>
        <v>11.659146000000002</v>
      </c>
      <c r="V93">
        <f>U93*I93</f>
        <v>128.250606</v>
      </c>
      <c r="W93" t="e">
        <f>#REF!-V93</f>
        <v>#REF!</v>
      </c>
      <c r="X93" t="e">
        <f t="shared" si="1"/>
        <v>#REF!</v>
      </c>
    </row>
    <row r="94" spans="1:24" x14ac:dyDescent="0.3">
      <c r="A94">
        <v>1093</v>
      </c>
      <c r="B94" s="2">
        <v>44289</v>
      </c>
      <c r="C94" t="s">
        <v>23</v>
      </c>
      <c r="D94" t="s">
        <v>34</v>
      </c>
      <c r="E94" t="s">
        <v>35</v>
      </c>
      <c r="F94" t="s">
        <v>39</v>
      </c>
      <c r="G94" t="s">
        <v>47</v>
      </c>
      <c r="H94">
        <v>18.04</v>
      </c>
      <c r="I94">
        <v>92</v>
      </c>
      <c r="J94" s="1">
        <f>(H94*I94)+O94</f>
        <v>1683.6599999999999</v>
      </c>
      <c r="K94" s="1">
        <f>(H94*I94)+O94-N94</f>
        <v>1678.6</v>
      </c>
      <c r="L94">
        <v>631.30999999999995</v>
      </c>
      <c r="M94" t="s">
        <v>28</v>
      </c>
      <c r="N94">
        <v>5.0599999999999996</v>
      </c>
      <c r="O94">
        <v>23.98</v>
      </c>
      <c r="P94">
        <v>5</v>
      </c>
      <c r="Q94">
        <v>25</v>
      </c>
      <c r="R94">
        <v>3.28</v>
      </c>
      <c r="U94">
        <f>H94*(1-N94%)</f>
        <v>17.127175999999999</v>
      </c>
      <c r="V94">
        <f>U94*I94</f>
        <v>1575.7001919999998</v>
      </c>
      <c r="W94" t="e">
        <f>#REF!-V94</f>
        <v>#REF!</v>
      </c>
      <c r="X94" t="e">
        <f t="shared" si="1"/>
        <v>#REF!</v>
      </c>
    </row>
    <row r="95" spans="1:24" x14ac:dyDescent="0.3">
      <c r="A95">
        <v>1094</v>
      </c>
      <c r="B95" s="2">
        <v>44290</v>
      </c>
      <c r="C95" t="s">
        <v>56</v>
      </c>
      <c r="D95" t="s">
        <v>58</v>
      </c>
      <c r="E95" t="s">
        <v>35</v>
      </c>
      <c r="F95" t="s">
        <v>26</v>
      </c>
      <c r="G95" t="s">
        <v>27</v>
      </c>
      <c r="H95">
        <v>37.090000000000003</v>
      </c>
      <c r="I95">
        <v>14</v>
      </c>
      <c r="J95" s="1">
        <f>(H95*I95)+O95</f>
        <v>553.45000000000005</v>
      </c>
      <c r="K95" s="1">
        <f>(H95*I95)+O95-N95</f>
        <v>541.62</v>
      </c>
      <c r="L95">
        <v>472.57</v>
      </c>
      <c r="M95" t="s">
        <v>44</v>
      </c>
      <c r="N95">
        <v>11.83</v>
      </c>
      <c r="O95">
        <v>34.19</v>
      </c>
      <c r="P95">
        <v>3</v>
      </c>
      <c r="Q95">
        <v>4</v>
      </c>
      <c r="R95">
        <v>9.57</v>
      </c>
      <c r="U95">
        <f>H95*(1-N95%)</f>
        <v>32.702253000000006</v>
      </c>
      <c r="V95">
        <f>U95*I95</f>
        <v>457.83154200000007</v>
      </c>
      <c r="W95" t="e">
        <f>#REF!-V95</f>
        <v>#REF!</v>
      </c>
      <c r="X95" t="e">
        <f t="shared" si="1"/>
        <v>#REF!</v>
      </c>
    </row>
    <row r="96" spans="1:24" x14ac:dyDescent="0.3">
      <c r="A96">
        <v>1095</v>
      </c>
      <c r="B96" s="2">
        <v>44291</v>
      </c>
      <c r="C96" t="s">
        <v>56</v>
      </c>
      <c r="D96" t="s">
        <v>55</v>
      </c>
      <c r="E96" t="s">
        <v>35</v>
      </c>
      <c r="F96" t="s">
        <v>26</v>
      </c>
      <c r="G96" t="s">
        <v>43</v>
      </c>
      <c r="H96">
        <v>80.78</v>
      </c>
      <c r="I96">
        <v>65</v>
      </c>
      <c r="J96" s="1">
        <f>(H96*I96)+O96</f>
        <v>5278.4</v>
      </c>
      <c r="K96" s="1">
        <f>(H96*I96)+O96-N96</f>
        <v>5272.07</v>
      </c>
      <c r="L96">
        <v>1078.1199999999999</v>
      </c>
      <c r="M96" t="s">
        <v>28</v>
      </c>
      <c r="N96">
        <v>6.33</v>
      </c>
      <c r="O96">
        <v>27.7</v>
      </c>
      <c r="P96">
        <v>5</v>
      </c>
      <c r="Q96">
        <v>13</v>
      </c>
      <c r="R96">
        <v>6.83</v>
      </c>
      <c r="U96">
        <f>H96*(1-N96%)</f>
        <v>75.666625999999994</v>
      </c>
      <c r="V96">
        <f>U96*I96</f>
        <v>4918.3306899999998</v>
      </c>
      <c r="W96" t="e">
        <f>#REF!-V96</f>
        <v>#REF!</v>
      </c>
      <c r="X96" t="e">
        <f t="shared" si="1"/>
        <v>#REF!</v>
      </c>
    </row>
    <row r="97" spans="1:24" x14ac:dyDescent="0.3">
      <c r="A97">
        <v>1096</v>
      </c>
      <c r="B97" s="2">
        <v>44292</v>
      </c>
      <c r="C97" t="s">
        <v>38</v>
      </c>
      <c r="D97" t="s">
        <v>46</v>
      </c>
      <c r="E97" t="s">
        <v>25</v>
      </c>
      <c r="F97" t="s">
        <v>26</v>
      </c>
      <c r="G97" t="s">
        <v>43</v>
      </c>
      <c r="H97">
        <v>53.18</v>
      </c>
      <c r="I97">
        <v>23</v>
      </c>
      <c r="J97" s="1">
        <f>(H97*I97)+O97</f>
        <v>1291.1100000000001</v>
      </c>
      <c r="K97" s="1">
        <f>(H97*I97)+O97-N97</f>
        <v>1289.8300000000002</v>
      </c>
      <c r="L97">
        <v>1098.3900000000001</v>
      </c>
      <c r="M97" t="s">
        <v>28</v>
      </c>
      <c r="N97">
        <v>1.28</v>
      </c>
      <c r="O97">
        <v>67.97</v>
      </c>
      <c r="P97">
        <v>3</v>
      </c>
      <c r="Q97">
        <v>4</v>
      </c>
      <c r="R97">
        <v>7.17</v>
      </c>
      <c r="U97">
        <f>H97*(1-N97%)</f>
        <v>52.499296000000001</v>
      </c>
      <c r="V97">
        <f>U97*I97</f>
        <v>1207.483808</v>
      </c>
      <c r="W97" t="e">
        <f>#REF!-V97</f>
        <v>#REF!</v>
      </c>
      <c r="X97" t="e">
        <f t="shared" si="1"/>
        <v>#REF!</v>
      </c>
    </row>
    <row r="98" spans="1:24" x14ac:dyDescent="0.3">
      <c r="A98">
        <v>1097</v>
      </c>
      <c r="B98" s="2">
        <v>44293</v>
      </c>
      <c r="C98" t="s">
        <v>48</v>
      </c>
      <c r="D98" t="s">
        <v>55</v>
      </c>
      <c r="E98" t="s">
        <v>42</v>
      </c>
      <c r="F98" t="s">
        <v>39</v>
      </c>
      <c r="G98" t="s">
        <v>40</v>
      </c>
      <c r="H98">
        <v>70.650000000000006</v>
      </c>
      <c r="I98">
        <v>27</v>
      </c>
      <c r="J98" s="1">
        <f>(H98*I98)+O98</f>
        <v>1952.3700000000001</v>
      </c>
      <c r="K98" s="1">
        <f>(H98*I98)+O98-N98</f>
        <v>1952.0200000000002</v>
      </c>
      <c r="L98">
        <v>78.36</v>
      </c>
      <c r="M98" t="s">
        <v>28</v>
      </c>
      <c r="N98">
        <v>0.35</v>
      </c>
      <c r="O98">
        <v>44.82</v>
      </c>
      <c r="P98">
        <v>3</v>
      </c>
      <c r="Q98">
        <v>29</v>
      </c>
      <c r="R98">
        <v>9.8000000000000007</v>
      </c>
      <c r="U98">
        <f>H98*(1-N98%)</f>
        <v>70.402725000000004</v>
      </c>
      <c r="V98">
        <f>U98*I98</f>
        <v>1900.8735750000001</v>
      </c>
      <c r="W98" t="e">
        <f>#REF!-V98</f>
        <v>#REF!</v>
      </c>
      <c r="X98" t="e">
        <f t="shared" si="1"/>
        <v>#REF!</v>
      </c>
    </row>
    <row r="99" spans="1:24" x14ac:dyDescent="0.3">
      <c r="A99">
        <v>1098</v>
      </c>
      <c r="B99" s="2">
        <v>44294</v>
      </c>
      <c r="C99" t="s">
        <v>29</v>
      </c>
      <c r="D99" t="s">
        <v>58</v>
      </c>
      <c r="E99" t="s">
        <v>31</v>
      </c>
      <c r="F99" t="s">
        <v>32</v>
      </c>
      <c r="G99" t="s">
        <v>27</v>
      </c>
      <c r="H99">
        <v>79.48</v>
      </c>
      <c r="I99">
        <v>29</v>
      </c>
      <c r="J99" s="1">
        <f>(H99*I99)+O99</f>
        <v>2388.34</v>
      </c>
      <c r="K99" s="1">
        <f>(H99*I99)+O99-N99</f>
        <v>2375.4100000000003</v>
      </c>
      <c r="L99">
        <v>479.68</v>
      </c>
      <c r="M99" t="s">
        <v>44</v>
      </c>
      <c r="N99">
        <v>12.93</v>
      </c>
      <c r="O99">
        <v>83.42</v>
      </c>
      <c r="P99">
        <v>3</v>
      </c>
      <c r="Q99">
        <v>21</v>
      </c>
      <c r="R99">
        <v>9.6</v>
      </c>
      <c r="U99">
        <f>H99*(1-N99%)</f>
        <v>69.203236000000004</v>
      </c>
      <c r="V99">
        <f>U99*I99</f>
        <v>2006.8938440000002</v>
      </c>
      <c r="W99" t="e">
        <f>#REF!-V99</f>
        <v>#REF!</v>
      </c>
      <c r="X99" t="e">
        <f t="shared" si="1"/>
        <v>#REF!</v>
      </c>
    </row>
    <row r="100" spans="1:24" x14ac:dyDescent="0.3">
      <c r="A100">
        <v>1099</v>
      </c>
      <c r="B100" s="2">
        <v>44295</v>
      </c>
      <c r="C100" t="s">
        <v>38</v>
      </c>
      <c r="D100" t="s">
        <v>58</v>
      </c>
      <c r="E100" t="s">
        <v>25</v>
      </c>
      <c r="F100" t="s">
        <v>39</v>
      </c>
      <c r="G100" t="s">
        <v>40</v>
      </c>
      <c r="H100">
        <v>29.71</v>
      </c>
      <c r="I100">
        <v>15</v>
      </c>
      <c r="J100" s="1">
        <f>(H100*I100)+O100</f>
        <v>523.01</v>
      </c>
      <c r="K100" s="1">
        <f>(H100*I100)+O100-N100</f>
        <v>505.55</v>
      </c>
      <c r="L100">
        <v>820.1</v>
      </c>
      <c r="M100" t="s">
        <v>28</v>
      </c>
      <c r="N100">
        <v>17.46</v>
      </c>
      <c r="O100">
        <v>77.36</v>
      </c>
      <c r="P100">
        <v>2</v>
      </c>
      <c r="Q100">
        <v>5</v>
      </c>
      <c r="R100">
        <v>7.73</v>
      </c>
      <c r="U100">
        <f>H100*(1-N100%)</f>
        <v>24.522634</v>
      </c>
      <c r="V100">
        <f>U100*I100</f>
        <v>367.83951000000002</v>
      </c>
      <c r="W100" t="e">
        <f>#REF!-V100</f>
        <v>#REF!</v>
      </c>
      <c r="X100" t="e">
        <f t="shared" si="1"/>
        <v>#REF!</v>
      </c>
    </row>
    <row r="101" spans="1:24" x14ac:dyDescent="0.3">
      <c r="A101">
        <v>1100</v>
      </c>
      <c r="B101" s="2">
        <v>44296</v>
      </c>
      <c r="C101" t="s">
        <v>51</v>
      </c>
      <c r="D101" t="s">
        <v>58</v>
      </c>
      <c r="E101" t="s">
        <v>35</v>
      </c>
      <c r="F101" t="s">
        <v>26</v>
      </c>
      <c r="G101" t="s">
        <v>27</v>
      </c>
      <c r="H101">
        <v>27.76</v>
      </c>
      <c r="I101">
        <v>40</v>
      </c>
      <c r="J101" s="1">
        <f>(H101*I101)+O101</f>
        <v>1163.77</v>
      </c>
      <c r="K101" s="1">
        <f>(H101*I101)+O101-N101</f>
        <v>1160.8899999999999</v>
      </c>
      <c r="L101">
        <v>140.44999999999999</v>
      </c>
      <c r="M101" t="s">
        <v>37</v>
      </c>
      <c r="N101">
        <v>2.88</v>
      </c>
      <c r="O101">
        <v>53.37</v>
      </c>
      <c r="P101">
        <v>4</v>
      </c>
      <c r="Q101">
        <v>8</v>
      </c>
      <c r="R101">
        <v>7.87</v>
      </c>
      <c r="U101">
        <f>H101*(1-N101%)</f>
        <v>26.960512000000001</v>
      </c>
      <c r="V101">
        <f>U101*I101</f>
        <v>1078.42048</v>
      </c>
      <c r="W101" t="e">
        <f>#REF!-V101</f>
        <v>#REF!</v>
      </c>
      <c r="X101" t="e">
        <f t="shared" si="1"/>
        <v>#REF!</v>
      </c>
    </row>
    <row r="102" spans="1:24" x14ac:dyDescent="0.3">
      <c r="A102">
        <v>1101</v>
      </c>
      <c r="B102" s="2">
        <v>44297</v>
      </c>
      <c r="C102" t="s">
        <v>48</v>
      </c>
      <c r="D102" t="s">
        <v>24</v>
      </c>
      <c r="E102" t="s">
        <v>35</v>
      </c>
      <c r="F102" t="s">
        <v>32</v>
      </c>
      <c r="G102" t="s">
        <v>43</v>
      </c>
      <c r="H102">
        <v>41.03</v>
      </c>
      <c r="I102">
        <v>30</v>
      </c>
      <c r="J102" s="1">
        <f>(H102*I102)+O102</f>
        <v>1243.2800000000002</v>
      </c>
      <c r="K102" s="1">
        <f>(H102*I102)+O102-N102</f>
        <v>1228.1200000000001</v>
      </c>
      <c r="L102">
        <v>1396.79</v>
      </c>
      <c r="M102" t="s">
        <v>37</v>
      </c>
      <c r="N102">
        <v>15.16</v>
      </c>
      <c r="O102">
        <v>12.38</v>
      </c>
      <c r="P102">
        <v>5</v>
      </c>
      <c r="Q102">
        <v>16</v>
      </c>
      <c r="R102">
        <v>7.26</v>
      </c>
      <c r="U102">
        <f>H102*(1-N102%)</f>
        <v>34.809851999999999</v>
      </c>
      <c r="V102">
        <f>U102*I102</f>
        <v>1044.29556</v>
      </c>
      <c r="W102" t="e">
        <f>#REF!-V102</f>
        <v>#REF!</v>
      </c>
      <c r="X102" t="e">
        <f t="shared" si="1"/>
        <v>#REF!</v>
      </c>
    </row>
    <row r="103" spans="1:24" x14ac:dyDescent="0.3">
      <c r="A103">
        <v>1102</v>
      </c>
      <c r="B103" s="2">
        <v>44298</v>
      </c>
      <c r="C103" t="s">
        <v>48</v>
      </c>
      <c r="D103" t="s">
        <v>58</v>
      </c>
      <c r="E103" t="s">
        <v>35</v>
      </c>
      <c r="F103" t="s">
        <v>26</v>
      </c>
      <c r="G103" t="s">
        <v>50</v>
      </c>
      <c r="H103">
        <v>13.81</v>
      </c>
      <c r="I103">
        <v>12</v>
      </c>
      <c r="J103" s="1">
        <f>(H103*I103)+O103</f>
        <v>201.5</v>
      </c>
      <c r="K103" s="1">
        <f>(H103*I103)+O103-N103</f>
        <v>188.58</v>
      </c>
      <c r="L103">
        <v>73.64</v>
      </c>
      <c r="M103" t="s">
        <v>37</v>
      </c>
      <c r="N103">
        <v>12.92</v>
      </c>
      <c r="O103">
        <v>35.78</v>
      </c>
      <c r="P103">
        <v>5</v>
      </c>
      <c r="Q103">
        <v>3</v>
      </c>
      <c r="R103">
        <v>3.71</v>
      </c>
      <c r="U103">
        <f>H103*(1-N103%)</f>
        <v>12.025748</v>
      </c>
      <c r="V103">
        <f>U103*I103</f>
        <v>144.308976</v>
      </c>
      <c r="W103" t="e">
        <f>#REF!-V103</f>
        <v>#REF!</v>
      </c>
      <c r="X103" t="e">
        <f t="shared" si="1"/>
        <v>#REF!</v>
      </c>
    </row>
    <row r="104" spans="1:24" x14ac:dyDescent="0.3">
      <c r="A104">
        <v>1103</v>
      </c>
      <c r="B104" s="2">
        <v>44299</v>
      </c>
      <c r="C104" t="s">
        <v>56</v>
      </c>
      <c r="D104" t="s">
        <v>34</v>
      </c>
      <c r="E104" t="s">
        <v>25</v>
      </c>
      <c r="F104" t="s">
        <v>32</v>
      </c>
      <c r="G104" t="s">
        <v>40</v>
      </c>
      <c r="H104">
        <v>12.13</v>
      </c>
      <c r="I104">
        <v>19</v>
      </c>
      <c r="J104" s="1">
        <f>(H104*I104)+O104</f>
        <v>269.69000000000005</v>
      </c>
      <c r="K104" s="1">
        <f>(H104*I104)+O104-N104</f>
        <v>255.00000000000006</v>
      </c>
      <c r="L104">
        <v>1102.28</v>
      </c>
      <c r="M104" t="s">
        <v>44</v>
      </c>
      <c r="N104">
        <v>14.69</v>
      </c>
      <c r="O104">
        <v>39.22</v>
      </c>
      <c r="P104">
        <v>2</v>
      </c>
      <c r="Q104">
        <v>21</v>
      </c>
      <c r="R104">
        <v>8.64</v>
      </c>
      <c r="U104">
        <f>H104*(1-N104%)</f>
        <v>10.348103</v>
      </c>
      <c r="V104">
        <f>U104*I104</f>
        <v>196.613957</v>
      </c>
      <c r="W104" t="e">
        <f>#REF!-V104</f>
        <v>#REF!</v>
      </c>
      <c r="X104" t="e">
        <f t="shared" si="1"/>
        <v>#REF!</v>
      </c>
    </row>
    <row r="105" spans="1:24" x14ac:dyDescent="0.3">
      <c r="A105">
        <v>1104</v>
      </c>
      <c r="B105" s="2">
        <v>44300</v>
      </c>
      <c r="C105" t="s">
        <v>33</v>
      </c>
      <c r="D105" t="s">
        <v>49</v>
      </c>
      <c r="E105" t="s">
        <v>42</v>
      </c>
      <c r="F105" t="s">
        <v>32</v>
      </c>
      <c r="G105" t="s">
        <v>40</v>
      </c>
      <c r="H105">
        <v>68.5</v>
      </c>
      <c r="I105">
        <v>93</v>
      </c>
      <c r="J105" s="1">
        <f>(H105*I105)+O105</f>
        <v>6465.73</v>
      </c>
      <c r="K105" s="1">
        <f>(H105*I105)+O105-N105</f>
        <v>6457.37</v>
      </c>
      <c r="L105">
        <v>714.65</v>
      </c>
      <c r="M105" t="s">
        <v>44</v>
      </c>
      <c r="N105">
        <v>8.36</v>
      </c>
      <c r="O105">
        <v>95.23</v>
      </c>
      <c r="P105">
        <v>1</v>
      </c>
      <c r="Q105">
        <v>26</v>
      </c>
      <c r="R105">
        <v>5.09</v>
      </c>
      <c r="U105">
        <f>H105*(1-N105%)</f>
        <v>62.773400000000002</v>
      </c>
      <c r="V105">
        <f>U105*I105</f>
        <v>5837.9261999999999</v>
      </c>
      <c r="W105" t="e">
        <f>#REF!-V105</f>
        <v>#REF!</v>
      </c>
      <c r="X105" t="e">
        <f t="shared" si="1"/>
        <v>#REF!</v>
      </c>
    </row>
    <row r="106" spans="1:24" x14ac:dyDescent="0.3">
      <c r="A106">
        <v>1105</v>
      </c>
      <c r="B106" s="2">
        <v>44301</v>
      </c>
      <c r="C106" t="s">
        <v>33</v>
      </c>
      <c r="D106" t="s">
        <v>30</v>
      </c>
      <c r="E106" t="s">
        <v>25</v>
      </c>
      <c r="F106" t="s">
        <v>26</v>
      </c>
      <c r="G106" t="s">
        <v>43</v>
      </c>
      <c r="H106">
        <v>26.39</v>
      </c>
      <c r="I106">
        <v>99</v>
      </c>
      <c r="J106" s="1">
        <f>(H106*I106)+O106</f>
        <v>2631.26</v>
      </c>
      <c r="K106" s="1">
        <f>(H106*I106)+O106-N106</f>
        <v>2630.32</v>
      </c>
      <c r="L106">
        <v>909.51</v>
      </c>
      <c r="M106" t="s">
        <v>44</v>
      </c>
      <c r="N106">
        <v>0.94</v>
      </c>
      <c r="O106">
        <v>18.649999999999999</v>
      </c>
      <c r="P106">
        <v>2</v>
      </c>
      <c r="Q106">
        <v>15</v>
      </c>
      <c r="R106">
        <v>0.37</v>
      </c>
      <c r="U106">
        <f>H106*(1-N106%)</f>
        <v>26.141934000000003</v>
      </c>
      <c r="V106">
        <f>U106*I106</f>
        <v>2588.0514660000003</v>
      </c>
      <c r="W106" t="e">
        <f>#REF!-V106</f>
        <v>#REF!</v>
      </c>
      <c r="X106" t="e">
        <f t="shared" si="1"/>
        <v>#REF!</v>
      </c>
    </row>
    <row r="107" spans="1:24" x14ac:dyDescent="0.3">
      <c r="A107">
        <v>1106</v>
      </c>
      <c r="B107" s="2">
        <v>44302</v>
      </c>
      <c r="C107" t="s">
        <v>52</v>
      </c>
      <c r="D107" t="s">
        <v>30</v>
      </c>
      <c r="E107" t="s">
        <v>31</v>
      </c>
      <c r="F107" t="s">
        <v>32</v>
      </c>
      <c r="G107" t="s">
        <v>50</v>
      </c>
      <c r="H107">
        <v>31.57</v>
      </c>
      <c r="I107">
        <v>84</v>
      </c>
      <c r="J107" s="1">
        <f>(H107*I107)+O107</f>
        <v>2720.84</v>
      </c>
      <c r="K107" s="1">
        <f>(H107*I107)+O107-N107</f>
        <v>2702.13</v>
      </c>
      <c r="L107">
        <v>1191.78</v>
      </c>
      <c r="M107" t="s">
        <v>37</v>
      </c>
      <c r="N107">
        <v>18.71</v>
      </c>
      <c r="O107">
        <v>68.959999999999994</v>
      </c>
      <c r="P107">
        <v>1</v>
      </c>
      <c r="Q107">
        <v>23</v>
      </c>
      <c r="R107">
        <v>5.13</v>
      </c>
      <c r="U107">
        <f>H107*(1-N107%)</f>
        <v>25.663252999999997</v>
      </c>
      <c r="V107">
        <f>U107*I107</f>
        <v>2155.7132519999996</v>
      </c>
      <c r="W107" t="e">
        <f>#REF!-V107</f>
        <v>#REF!</v>
      </c>
      <c r="X107" t="e">
        <f t="shared" si="1"/>
        <v>#REF!</v>
      </c>
    </row>
    <row r="108" spans="1:24" x14ac:dyDescent="0.3">
      <c r="A108">
        <v>1107</v>
      </c>
      <c r="B108" s="2">
        <v>44303</v>
      </c>
      <c r="C108" t="s">
        <v>56</v>
      </c>
      <c r="D108" t="s">
        <v>54</v>
      </c>
      <c r="E108" t="s">
        <v>25</v>
      </c>
      <c r="F108" t="s">
        <v>39</v>
      </c>
      <c r="G108" t="s">
        <v>47</v>
      </c>
      <c r="H108">
        <v>23.41</v>
      </c>
      <c r="I108">
        <v>81</v>
      </c>
      <c r="J108" s="1">
        <f>(H108*I108)+O108</f>
        <v>1934.1200000000001</v>
      </c>
      <c r="K108" s="1">
        <f>(H108*I108)+O108-N108</f>
        <v>1932.8700000000001</v>
      </c>
      <c r="L108">
        <v>811.48</v>
      </c>
      <c r="M108" t="s">
        <v>44</v>
      </c>
      <c r="N108">
        <v>1.25</v>
      </c>
      <c r="O108">
        <v>37.909999999999997</v>
      </c>
      <c r="P108">
        <v>4</v>
      </c>
      <c r="Q108">
        <v>3</v>
      </c>
      <c r="R108">
        <v>3.8</v>
      </c>
      <c r="U108">
        <f>H108*(1-N108%)</f>
        <v>23.117375000000003</v>
      </c>
      <c r="V108">
        <f>U108*I108</f>
        <v>1872.5073750000001</v>
      </c>
      <c r="W108" t="e">
        <f>#REF!-V108</f>
        <v>#REF!</v>
      </c>
      <c r="X108" t="e">
        <f t="shared" si="1"/>
        <v>#REF!</v>
      </c>
    </row>
    <row r="109" spans="1:24" x14ac:dyDescent="0.3">
      <c r="A109">
        <v>1108</v>
      </c>
      <c r="B109" s="2">
        <v>44304</v>
      </c>
      <c r="C109" t="s">
        <v>56</v>
      </c>
      <c r="D109" t="s">
        <v>30</v>
      </c>
      <c r="E109" t="s">
        <v>42</v>
      </c>
      <c r="F109" t="s">
        <v>26</v>
      </c>
      <c r="G109" t="s">
        <v>50</v>
      </c>
      <c r="H109">
        <v>64.11</v>
      </c>
      <c r="I109">
        <v>59</v>
      </c>
      <c r="J109" s="1">
        <f>(H109*I109)+O109</f>
        <v>3831.18</v>
      </c>
      <c r="K109" s="1">
        <f>(H109*I109)+O109-N109</f>
        <v>3828.91</v>
      </c>
      <c r="L109">
        <v>404.55</v>
      </c>
      <c r="M109" t="s">
        <v>28</v>
      </c>
      <c r="N109">
        <v>2.27</v>
      </c>
      <c r="O109">
        <v>48.69</v>
      </c>
      <c r="P109">
        <v>4</v>
      </c>
      <c r="Q109">
        <v>30</v>
      </c>
      <c r="R109">
        <v>0.52</v>
      </c>
      <c r="U109">
        <f>H109*(1-N109%)</f>
        <v>62.654702999999998</v>
      </c>
      <c r="V109">
        <f>U109*I109</f>
        <v>3696.627477</v>
      </c>
      <c r="W109" t="e">
        <f>#REF!-V109</f>
        <v>#REF!</v>
      </c>
      <c r="X109" t="e">
        <f t="shared" si="1"/>
        <v>#REF!</v>
      </c>
    </row>
    <row r="110" spans="1:24" x14ac:dyDescent="0.3">
      <c r="A110">
        <v>1109</v>
      </c>
      <c r="B110" s="2">
        <v>44305</v>
      </c>
      <c r="C110" t="s">
        <v>48</v>
      </c>
      <c r="D110" t="s">
        <v>24</v>
      </c>
      <c r="E110" t="s">
        <v>25</v>
      </c>
      <c r="F110" t="s">
        <v>26</v>
      </c>
      <c r="G110" t="s">
        <v>36</v>
      </c>
      <c r="H110">
        <v>17.579999999999998</v>
      </c>
      <c r="I110">
        <v>10</v>
      </c>
      <c r="J110" s="1">
        <f>(H110*I110)+O110</f>
        <v>249.5</v>
      </c>
      <c r="K110" s="1">
        <f>(H110*I110)+O110-N110</f>
        <v>229.77</v>
      </c>
      <c r="L110">
        <v>881.42</v>
      </c>
      <c r="M110" t="s">
        <v>37</v>
      </c>
      <c r="N110">
        <v>19.73</v>
      </c>
      <c r="O110">
        <v>73.7</v>
      </c>
      <c r="P110">
        <v>1</v>
      </c>
      <c r="Q110">
        <v>28</v>
      </c>
      <c r="R110">
        <v>8.16</v>
      </c>
      <c r="U110">
        <f>H110*(1-N110%)</f>
        <v>14.111465999999998</v>
      </c>
      <c r="V110">
        <f>U110*I110</f>
        <v>141.11465999999999</v>
      </c>
      <c r="W110" t="e">
        <f>#REF!-V110</f>
        <v>#REF!</v>
      </c>
      <c r="X110" t="e">
        <f t="shared" si="1"/>
        <v>#REF!</v>
      </c>
    </row>
    <row r="111" spans="1:24" x14ac:dyDescent="0.3">
      <c r="A111">
        <v>1110</v>
      </c>
      <c r="B111" s="2">
        <v>44306</v>
      </c>
      <c r="C111" t="s">
        <v>41</v>
      </c>
      <c r="D111" t="s">
        <v>55</v>
      </c>
      <c r="E111" t="s">
        <v>25</v>
      </c>
      <c r="F111" t="s">
        <v>32</v>
      </c>
      <c r="G111" t="s">
        <v>43</v>
      </c>
      <c r="H111">
        <v>21.18</v>
      </c>
      <c r="I111">
        <v>72</v>
      </c>
      <c r="J111" s="1">
        <f>(H111*I111)+O111</f>
        <v>1619.4</v>
      </c>
      <c r="K111" s="1">
        <f>(H111*I111)+O111-N111</f>
        <v>1614.01</v>
      </c>
      <c r="L111">
        <v>335.91</v>
      </c>
      <c r="M111" t="s">
        <v>44</v>
      </c>
      <c r="N111">
        <v>5.39</v>
      </c>
      <c r="O111">
        <v>94.44</v>
      </c>
      <c r="P111">
        <v>2</v>
      </c>
      <c r="Q111">
        <v>7</v>
      </c>
      <c r="R111">
        <v>6.17</v>
      </c>
      <c r="U111">
        <f>H111*(1-N111%)</f>
        <v>20.038398000000001</v>
      </c>
      <c r="V111">
        <f>U111*I111</f>
        <v>1442.7646560000001</v>
      </c>
      <c r="W111" t="e">
        <f>#REF!-V111</f>
        <v>#REF!</v>
      </c>
      <c r="X111" t="e">
        <f t="shared" si="1"/>
        <v>#REF!</v>
      </c>
    </row>
    <row r="112" spans="1:24" x14ac:dyDescent="0.3">
      <c r="A112">
        <v>1111</v>
      </c>
      <c r="B112" s="2">
        <v>44307</v>
      </c>
      <c r="C112" t="s">
        <v>41</v>
      </c>
      <c r="D112" t="s">
        <v>30</v>
      </c>
      <c r="E112" t="s">
        <v>35</v>
      </c>
      <c r="F112" t="s">
        <v>32</v>
      </c>
      <c r="G112" t="s">
        <v>50</v>
      </c>
      <c r="H112">
        <v>24.86</v>
      </c>
      <c r="I112">
        <v>80</v>
      </c>
      <c r="J112" s="1">
        <f>(H112*I112)+O112</f>
        <v>2063.63</v>
      </c>
      <c r="K112" s="1">
        <f>(H112*I112)+O112-N112</f>
        <v>2058.0100000000002</v>
      </c>
      <c r="L112">
        <v>1469.98</v>
      </c>
      <c r="M112" t="s">
        <v>37</v>
      </c>
      <c r="N112">
        <v>5.62</v>
      </c>
      <c r="O112">
        <v>74.83</v>
      </c>
      <c r="P112">
        <v>3</v>
      </c>
      <c r="Q112">
        <v>26</v>
      </c>
      <c r="R112">
        <v>2.69</v>
      </c>
      <c r="U112">
        <f>H112*(1-N112%)</f>
        <v>23.462868</v>
      </c>
      <c r="V112">
        <f>U112*I112</f>
        <v>1877.02944</v>
      </c>
      <c r="W112" t="e">
        <f>#REF!-V112</f>
        <v>#REF!</v>
      </c>
      <c r="X112" t="e">
        <f t="shared" si="1"/>
        <v>#REF!</v>
      </c>
    </row>
    <row r="113" spans="1:24" x14ac:dyDescent="0.3">
      <c r="A113">
        <v>1112</v>
      </c>
      <c r="B113" s="2">
        <v>44308</v>
      </c>
      <c r="C113" t="s">
        <v>33</v>
      </c>
      <c r="D113" t="s">
        <v>55</v>
      </c>
      <c r="E113" t="s">
        <v>31</v>
      </c>
      <c r="F113" t="s">
        <v>26</v>
      </c>
      <c r="G113" t="s">
        <v>50</v>
      </c>
      <c r="H113">
        <v>36.979999999999997</v>
      </c>
      <c r="I113">
        <v>24</v>
      </c>
      <c r="J113" s="1">
        <f>(H113*I113)+O113</f>
        <v>941.94999999999993</v>
      </c>
      <c r="K113" s="1">
        <f>(H113*I113)+O113-N113</f>
        <v>939.52</v>
      </c>
      <c r="L113">
        <v>1134.77</v>
      </c>
      <c r="M113" t="s">
        <v>44</v>
      </c>
      <c r="N113">
        <v>2.4300000000000002</v>
      </c>
      <c r="O113">
        <v>54.43</v>
      </c>
      <c r="P113">
        <v>2</v>
      </c>
      <c r="Q113">
        <v>5</v>
      </c>
      <c r="R113">
        <v>0.13</v>
      </c>
      <c r="U113">
        <f>H113*(1-N113%)</f>
        <v>36.081385999999995</v>
      </c>
      <c r="V113">
        <f>U113*I113</f>
        <v>865.95326399999988</v>
      </c>
      <c r="W113" t="e">
        <f>#REF!-V113</f>
        <v>#REF!</v>
      </c>
      <c r="X113" t="e">
        <f t="shared" si="1"/>
        <v>#REF!</v>
      </c>
    </row>
    <row r="114" spans="1:24" x14ac:dyDescent="0.3">
      <c r="A114">
        <v>1113</v>
      </c>
      <c r="B114" s="2">
        <v>44309</v>
      </c>
      <c r="C114" t="s">
        <v>57</v>
      </c>
      <c r="D114" t="s">
        <v>49</v>
      </c>
      <c r="E114" t="s">
        <v>35</v>
      </c>
      <c r="F114" t="s">
        <v>32</v>
      </c>
      <c r="G114" t="s">
        <v>45</v>
      </c>
      <c r="H114">
        <v>25.91</v>
      </c>
      <c r="I114">
        <v>47</v>
      </c>
      <c r="J114" s="1">
        <f>(H114*I114)+O114</f>
        <v>1292.0899999999999</v>
      </c>
      <c r="K114" s="1">
        <f>(H114*I114)+O114-N114</f>
        <v>1286.8599999999999</v>
      </c>
      <c r="L114">
        <v>679.12</v>
      </c>
      <c r="M114" t="s">
        <v>37</v>
      </c>
      <c r="N114">
        <v>5.23</v>
      </c>
      <c r="O114">
        <v>74.319999999999993</v>
      </c>
      <c r="P114">
        <v>5</v>
      </c>
      <c r="Q114">
        <v>19</v>
      </c>
      <c r="R114">
        <v>6.05</v>
      </c>
      <c r="U114">
        <f>H114*(1-N114%)</f>
        <v>24.554907</v>
      </c>
      <c r="V114">
        <f>U114*I114</f>
        <v>1154.080629</v>
      </c>
      <c r="W114" t="e">
        <f>#REF!-V114</f>
        <v>#REF!</v>
      </c>
      <c r="X114" t="e">
        <f t="shared" si="1"/>
        <v>#REF!</v>
      </c>
    </row>
    <row r="115" spans="1:24" x14ac:dyDescent="0.3">
      <c r="A115">
        <v>1114</v>
      </c>
      <c r="B115" s="2">
        <v>44310</v>
      </c>
      <c r="C115" t="s">
        <v>23</v>
      </c>
      <c r="D115" t="s">
        <v>58</v>
      </c>
      <c r="E115" t="s">
        <v>31</v>
      </c>
      <c r="F115" t="s">
        <v>26</v>
      </c>
      <c r="G115" t="s">
        <v>27</v>
      </c>
      <c r="H115">
        <v>46.54</v>
      </c>
      <c r="I115">
        <v>12</v>
      </c>
      <c r="J115" s="1">
        <f>(H115*I115)+O115</f>
        <v>582.46</v>
      </c>
      <c r="K115" s="1">
        <f>(H115*I115)+O115-N115</f>
        <v>579.37</v>
      </c>
      <c r="L115">
        <v>155.12</v>
      </c>
      <c r="M115" t="s">
        <v>37</v>
      </c>
      <c r="N115">
        <v>3.09</v>
      </c>
      <c r="O115">
        <v>23.98</v>
      </c>
      <c r="P115">
        <v>3</v>
      </c>
      <c r="Q115">
        <v>15</v>
      </c>
      <c r="R115">
        <v>9.98</v>
      </c>
      <c r="U115">
        <f>H115*(1-N115%)</f>
        <v>45.101914000000001</v>
      </c>
      <c r="V115">
        <f>U115*I115</f>
        <v>541.22296800000004</v>
      </c>
      <c r="W115" t="e">
        <f>#REF!-V115</f>
        <v>#REF!</v>
      </c>
      <c r="X115" t="e">
        <f t="shared" si="1"/>
        <v>#REF!</v>
      </c>
    </row>
    <row r="116" spans="1:24" x14ac:dyDescent="0.3">
      <c r="A116">
        <v>1115</v>
      </c>
      <c r="B116" s="2">
        <v>44311</v>
      </c>
      <c r="C116" t="s">
        <v>41</v>
      </c>
      <c r="D116" t="s">
        <v>24</v>
      </c>
      <c r="E116" t="s">
        <v>25</v>
      </c>
      <c r="F116" t="s">
        <v>32</v>
      </c>
      <c r="G116" t="s">
        <v>50</v>
      </c>
      <c r="H116">
        <v>79.42</v>
      </c>
      <c r="I116">
        <v>87</v>
      </c>
      <c r="J116" s="1">
        <f>(H116*I116)+O116</f>
        <v>7005.07</v>
      </c>
      <c r="K116" s="1">
        <f>(H116*I116)+O116-N116</f>
        <v>6996.11</v>
      </c>
      <c r="L116">
        <v>1158.81</v>
      </c>
      <c r="M116" t="s">
        <v>44</v>
      </c>
      <c r="N116">
        <v>8.9600000000000009</v>
      </c>
      <c r="O116">
        <v>95.53</v>
      </c>
      <c r="P116">
        <v>2</v>
      </c>
      <c r="Q116">
        <v>4</v>
      </c>
      <c r="R116">
        <v>8.2799999999999994</v>
      </c>
      <c r="U116">
        <f>H116*(1-N116%)</f>
        <v>72.303967999999998</v>
      </c>
      <c r="V116">
        <f>U116*I116</f>
        <v>6290.4452160000001</v>
      </c>
      <c r="W116" t="e">
        <f>#REF!-V116</f>
        <v>#REF!</v>
      </c>
      <c r="X116" t="e">
        <f t="shared" si="1"/>
        <v>#REF!</v>
      </c>
    </row>
    <row r="117" spans="1:24" x14ac:dyDescent="0.3">
      <c r="A117">
        <v>1116</v>
      </c>
      <c r="B117" s="2">
        <v>44312</v>
      </c>
      <c r="C117" t="s">
        <v>56</v>
      </c>
      <c r="D117" t="s">
        <v>24</v>
      </c>
      <c r="E117" t="s">
        <v>25</v>
      </c>
      <c r="F117" t="s">
        <v>32</v>
      </c>
      <c r="G117" t="s">
        <v>50</v>
      </c>
      <c r="H117">
        <v>69.98</v>
      </c>
      <c r="I117">
        <v>52</v>
      </c>
      <c r="J117" s="1">
        <f>(H117*I117)+O117</f>
        <v>3651.07</v>
      </c>
      <c r="K117" s="1">
        <f>(H117*I117)+O117-N117</f>
        <v>3643.67</v>
      </c>
      <c r="L117">
        <v>1114.28</v>
      </c>
      <c r="M117" t="s">
        <v>44</v>
      </c>
      <c r="N117">
        <v>7.4</v>
      </c>
      <c r="O117">
        <v>12.11</v>
      </c>
      <c r="P117">
        <v>2</v>
      </c>
      <c r="Q117">
        <v>6</v>
      </c>
      <c r="R117">
        <v>7.98</v>
      </c>
      <c r="U117">
        <f>H117*(1-N117%)</f>
        <v>64.801479999999998</v>
      </c>
      <c r="V117">
        <f>U117*I117</f>
        <v>3369.6769599999998</v>
      </c>
      <c r="W117" t="e">
        <f>#REF!-V117</f>
        <v>#REF!</v>
      </c>
      <c r="X117" t="e">
        <f t="shared" si="1"/>
        <v>#REF!</v>
      </c>
    </row>
    <row r="118" spans="1:24" x14ac:dyDescent="0.3">
      <c r="A118">
        <v>1117</v>
      </c>
      <c r="B118" s="2">
        <v>44313</v>
      </c>
      <c r="C118" t="s">
        <v>48</v>
      </c>
      <c r="D118" t="s">
        <v>58</v>
      </c>
      <c r="E118" t="s">
        <v>42</v>
      </c>
      <c r="F118" t="s">
        <v>26</v>
      </c>
      <c r="G118" t="s">
        <v>36</v>
      </c>
      <c r="H118">
        <v>80.73</v>
      </c>
      <c r="I118">
        <v>99</v>
      </c>
      <c r="J118" s="1">
        <f>(H118*I118)+O118</f>
        <v>8015.2900000000009</v>
      </c>
      <c r="K118" s="1">
        <f>(H118*I118)+O118-N118</f>
        <v>8008.7000000000007</v>
      </c>
      <c r="L118">
        <v>508.83</v>
      </c>
      <c r="M118" t="s">
        <v>28</v>
      </c>
      <c r="N118">
        <v>6.59</v>
      </c>
      <c r="O118">
        <v>23.02</v>
      </c>
      <c r="P118">
        <v>4</v>
      </c>
      <c r="Q118">
        <v>5</v>
      </c>
      <c r="R118">
        <v>3.35</v>
      </c>
      <c r="U118">
        <f>H118*(1-N118%)</f>
        <v>75.409893000000011</v>
      </c>
      <c r="V118">
        <f>U118*I118</f>
        <v>7465.5794070000011</v>
      </c>
      <c r="W118" t="e">
        <f>#REF!-V118</f>
        <v>#REF!</v>
      </c>
      <c r="X118" t="e">
        <f t="shared" si="1"/>
        <v>#REF!</v>
      </c>
    </row>
    <row r="119" spans="1:24" x14ac:dyDescent="0.3">
      <c r="A119">
        <v>1118</v>
      </c>
      <c r="B119" s="2">
        <v>44314</v>
      </c>
      <c r="C119" t="s">
        <v>57</v>
      </c>
      <c r="D119" t="s">
        <v>24</v>
      </c>
      <c r="E119" t="s">
        <v>25</v>
      </c>
      <c r="F119" t="s">
        <v>32</v>
      </c>
      <c r="G119" t="s">
        <v>40</v>
      </c>
      <c r="H119">
        <v>41.75</v>
      </c>
      <c r="I119">
        <v>96</v>
      </c>
      <c r="J119" s="1">
        <f>(H119*I119)+O119</f>
        <v>4050.55</v>
      </c>
      <c r="K119" s="1">
        <f>(H119*I119)+O119-N119</f>
        <v>4042.05</v>
      </c>
      <c r="L119">
        <v>755.02</v>
      </c>
      <c r="M119" t="s">
        <v>44</v>
      </c>
      <c r="N119">
        <v>8.5</v>
      </c>
      <c r="O119">
        <v>42.55</v>
      </c>
      <c r="P119">
        <v>5</v>
      </c>
      <c r="Q119">
        <v>30</v>
      </c>
      <c r="R119">
        <v>5.46</v>
      </c>
      <c r="U119">
        <f>H119*(1-N119%)</f>
        <v>38.201250000000002</v>
      </c>
      <c r="V119">
        <f>U119*I119</f>
        <v>3667.32</v>
      </c>
      <c r="W119" t="e">
        <f>#REF!-V119</f>
        <v>#REF!</v>
      </c>
      <c r="X119" t="e">
        <f t="shared" si="1"/>
        <v>#REF!</v>
      </c>
    </row>
    <row r="120" spans="1:24" x14ac:dyDescent="0.3">
      <c r="A120">
        <v>1119</v>
      </c>
      <c r="B120" s="2">
        <v>44315</v>
      </c>
      <c r="C120" t="s">
        <v>33</v>
      </c>
      <c r="D120" t="s">
        <v>30</v>
      </c>
      <c r="E120" t="s">
        <v>35</v>
      </c>
      <c r="F120" t="s">
        <v>32</v>
      </c>
      <c r="G120" t="s">
        <v>43</v>
      </c>
      <c r="H120">
        <v>63.82</v>
      </c>
      <c r="I120">
        <v>32</v>
      </c>
      <c r="J120" s="1">
        <f>(H120*I120)+O120</f>
        <v>2083.7800000000002</v>
      </c>
      <c r="K120" s="1">
        <f>(H120*I120)+O120-N120</f>
        <v>2071.4100000000003</v>
      </c>
      <c r="L120">
        <v>1236.24</v>
      </c>
      <c r="M120" t="s">
        <v>37</v>
      </c>
      <c r="N120">
        <v>12.37</v>
      </c>
      <c r="O120">
        <v>41.54</v>
      </c>
      <c r="P120">
        <v>5</v>
      </c>
      <c r="Q120">
        <v>2</v>
      </c>
      <c r="R120">
        <v>9.58</v>
      </c>
      <c r="U120">
        <f>H120*(1-N120%)</f>
        <v>55.925466</v>
      </c>
      <c r="V120">
        <f>U120*I120</f>
        <v>1789.614912</v>
      </c>
      <c r="W120" t="e">
        <f>#REF!-V120</f>
        <v>#REF!</v>
      </c>
      <c r="X120" t="e">
        <f t="shared" si="1"/>
        <v>#REF!</v>
      </c>
    </row>
    <row r="121" spans="1:24" x14ac:dyDescent="0.3">
      <c r="A121">
        <v>1120</v>
      </c>
      <c r="B121" s="2">
        <v>44316</v>
      </c>
      <c r="C121" t="s">
        <v>48</v>
      </c>
      <c r="D121" t="s">
        <v>55</v>
      </c>
      <c r="E121" t="s">
        <v>35</v>
      </c>
      <c r="F121" t="s">
        <v>32</v>
      </c>
      <c r="G121" t="s">
        <v>40</v>
      </c>
      <c r="H121">
        <v>72.42</v>
      </c>
      <c r="I121">
        <v>78</v>
      </c>
      <c r="J121" s="1">
        <f>(H121*I121)+O121</f>
        <v>5695.9000000000005</v>
      </c>
      <c r="K121" s="1">
        <f>(H121*I121)+O121-N121</f>
        <v>5694.2800000000007</v>
      </c>
      <c r="L121">
        <v>1445.11</v>
      </c>
      <c r="M121" t="s">
        <v>44</v>
      </c>
      <c r="N121">
        <v>1.62</v>
      </c>
      <c r="O121">
        <v>47.14</v>
      </c>
      <c r="P121">
        <v>5</v>
      </c>
      <c r="Q121">
        <v>23</v>
      </c>
      <c r="R121">
        <v>6</v>
      </c>
      <c r="U121">
        <f>H121*(1-N121%)</f>
        <v>71.246796000000003</v>
      </c>
      <c r="V121">
        <f>U121*I121</f>
        <v>5557.2500880000007</v>
      </c>
      <c r="W121" t="e">
        <f>#REF!-V121</f>
        <v>#REF!</v>
      </c>
      <c r="X121" t="e">
        <f t="shared" si="1"/>
        <v>#REF!</v>
      </c>
    </row>
    <row r="122" spans="1:24" x14ac:dyDescent="0.3">
      <c r="A122">
        <v>1121</v>
      </c>
      <c r="B122" s="2">
        <v>44317</v>
      </c>
      <c r="C122" t="s">
        <v>29</v>
      </c>
      <c r="D122" t="s">
        <v>30</v>
      </c>
      <c r="E122" t="s">
        <v>42</v>
      </c>
      <c r="F122" t="s">
        <v>32</v>
      </c>
      <c r="G122" t="s">
        <v>36</v>
      </c>
      <c r="H122">
        <v>29.18</v>
      </c>
      <c r="I122">
        <v>34</v>
      </c>
      <c r="J122" s="1">
        <f>(H122*I122)+O122</f>
        <v>1006.97</v>
      </c>
      <c r="K122" s="1">
        <f>(H122*I122)+O122-N122</f>
        <v>995.95</v>
      </c>
      <c r="L122">
        <v>113.97</v>
      </c>
      <c r="M122" t="s">
        <v>44</v>
      </c>
      <c r="N122">
        <v>11.02</v>
      </c>
      <c r="O122">
        <v>14.85</v>
      </c>
      <c r="P122">
        <v>5</v>
      </c>
      <c r="Q122">
        <v>13</v>
      </c>
      <c r="R122">
        <v>9.24</v>
      </c>
      <c r="U122">
        <f>H122*(1-N122%)</f>
        <v>25.964364</v>
      </c>
      <c r="V122">
        <f>U122*I122</f>
        <v>882.78837599999997</v>
      </c>
      <c r="W122" t="e">
        <f>#REF!-V122</f>
        <v>#REF!</v>
      </c>
      <c r="X122" t="e">
        <f t="shared" si="1"/>
        <v>#REF!</v>
      </c>
    </row>
    <row r="123" spans="1:24" x14ac:dyDescent="0.3">
      <c r="A123">
        <v>1122</v>
      </c>
      <c r="B123" s="2">
        <v>44318</v>
      </c>
      <c r="C123" t="s">
        <v>52</v>
      </c>
      <c r="D123" t="s">
        <v>24</v>
      </c>
      <c r="E123" t="s">
        <v>35</v>
      </c>
      <c r="F123" t="s">
        <v>39</v>
      </c>
      <c r="G123" t="s">
        <v>43</v>
      </c>
      <c r="H123">
        <v>7.96</v>
      </c>
      <c r="I123">
        <v>94</v>
      </c>
      <c r="J123" s="1">
        <f>(H123*I123)+O123</f>
        <v>772.44</v>
      </c>
      <c r="K123" s="1">
        <f>(H123*I123)+O123-N123</f>
        <v>771.21</v>
      </c>
      <c r="L123">
        <v>784.45</v>
      </c>
      <c r="M123" t="s">
        <v>28</v>
      </c>
      <c r="N123">
        <v>1.23</v>
      </c>
      <c r="O123">
        <v>24.2</v>
      </c>
      <c r="P123">
        <v>3</v>
      </c>
      <c r="Q123">
        <v>28</v>
      </c>
      <c r="R123">
        <v>0.08</v>
      </c>
      <c r="U123">
        <f>H123*(1-N123%)</f>
        <v>7.8620920000000005</v>
      </c>
      <c r="V123">
        <f>U123*I123</f>
        <v>739.03664800000001</v>
      </c>
      <c r="W123" t="e">
        <f>#REF!-V123</f>
        <v>#REF!</v>
      </c>
      <c r="X123" t="e">
        <f t="shared" si="1"/>
        <v>#REF!</v>
      </c>
    </row>
    <row r="124" spans="1:24" x14ac:dyDescent="0.3">
      <c r="A124">
        <v>1123</v>
      </c>
      <c r="B124" s="2">
        <v>44319</v>
      </c>
      <c r="C124" t="s">
        <v>48</v>
      </c>
      <c r="D124" t="s">
        <v>34</v>
      </c>
      <c r="E124" t="s">
        <v>31</v>
      </c>
      <c r="F124" t="s">
        <v>39</v>
      </c>
      <c r="G124" t="s">
        <v>27</v>
      </c>
      <c r="H124">
        <v>29.32</v>
      </c>
      <c r="I124">
        <v>38</v>
      </c>
      <c r="J124" s="1">
        <f>(H124*I124)+O124</f>
        <v>1196.8500000000001</v>
      </c>
      <c r="K124" s="1">
        <f>(H124*I124)+O124-N124</f>
        <v>1183.22</v>
      </c>
      <c r="L124">
        <v>83.47</v>
      </c>
      <c r="M124" t="s">
        <v>28</v>
      </c>
      <c r="N124">
        <v>13.63</v>
      </c>
      <c r="O124">
        <v>82.69</v>
      </c>
      <c r="P124">
        <v>2</v>
      </c>
      <c r="Q124">
        <v>4</v>
      </c>
      <c r="R124">
        <v>2.02</v>
      </c>
      <c r="U124">
        <f>H124*(1-N124%)</f>
        <v>25.323684</v>
      </c>
      <c r="V124">
        <f>U124*I124</f>
        <v>962.29999199999997</v>
      </c>
      <c r="W124" t="e">
        <f>#REF!-V124</f>
        <v>#REF!</v>
      </c>
      <c r="X124" t="e">
        <f t="shared" si="1"/>
        <v>#REF!</v>
      </c>
    </row>
    <row r="125" spans="1:24" x14ac:dyDescent="0.3">
      <c r="A125">
        <v>1124</v>
      </c>
      <c r="B125" s="2">
        <v>44320</v>
      </c>
      <c r="C125" t="s">
        <v>57</v>
      </c>
      <c r="D125" t="s">
        <v>54</v>
      </c>
      <c r="E125" t="s">
        <v>42</v>
      </c>
      <c r="F125" t="s">
        <v>32</v>
      </c>
      <c r="G125" t="s">
        <v>36</v>
      </c>
      <c r="H125">
        <v>38.049999999999997</v>
      </c>
      <c r="I125">
        <v>88</v>
      </c>
      <c r="J125" s="1">
        <f>(H125*I125)+O125</f>
        <v>3356.45</v>
      </c>
      <c r="K125" s="1">
        <f>(H125*I125)+O125-N125</f>
        <v>3347.1099999999997</v>
      </c>
      <c r="L125">
        <v>592.59</v>
      </c>
      <c r="M125" t="s">
        <v>37</v>
      </c>
      <c r="N125">
        <v>9.34</v>
      </c>
      <c r="O125">
        <v>8.0500000000000007</v>
      </c>
      <c r="P125">
        <v>1</v>
      </c>
      <c r="Q125">
        <v>22</v>
      </c>
      <c r="R125">
        <v>6.98</v>
      </c>
      <c r="U125">
        <f>H125*(1-N125%)</f>
        <v>34.496129999999994</v>
      </c>
      <c r="V125">
        <f>U125*I125</f>
        <v>3035.6594399999994</v>
      </c>
      <c r="W125" t="e">
        <f>#REF!-V125</f>
        <v>#REF!</v>
      </c>
      <c r="X125" t="e">
        <f t="shared" si="1"/>
        <v>#REF!</v>
      </c>
    </row>
    <row r="126" spans="1:24" x14ac:dyDescent="0.3">
      <c r="A126">
        <v>1125</v>
      </c>
      <c r="B126" s="2">
        <v>44321</v>
      </c>
      <c r="C126" t="s">
        <v>51</v>
      </c>
      <c r="D126" t="s">
        <v>34</v>
      </c>
      <c r="E126" t="s">
        <v>25</v>
      </c>
      <c r="F126" t="s">
        <v>32</v>
      </c>
      <c r="G126" t="s">
        <v>43</v>
      </c>
      <c r="H126">
        <v>38.4</v>
      </c>
      <c r="I126">
        <v>50</v>
      </c>
      <c r="J126" s="1">
        <f>(H126*I126)+O126</f>
        <v>1982.06</v>
      </c>
      <c r="K126" s="1">
        <f>(H126*I126)+O126-N126</f>
        <v>1974.52</v>
      </c>
      <c r="L126">
        <v>571.80999999999995</v>
      </c>
      <c r="M126" t="s">
        <v>44</v>
      </c>
      <c r="N126">
        <v>7.54</v>
      </c>
      <c r="O126">
        <v>62.06</v>
      </c>
      <c r="P126">
        <v>5</v>
      </c>
      <c r="Q126">
        <v>1</v>
      </c>
      <c r="R126">
        <v>8.69</v>
      </c>
      <c r="U126">
        <f>H126*(1-N126%)</f>
        <v>35.504639999999995</v>
      </c>
      <c r="V126">
        <f>U126*I126</f>
        <v>1775.2319999999997</v>
      </c>
      <c r="W126" t="e">
        <f>#REF!-V126</f>
        <v>#REF!</v>
      </c>
      <c r="X126" t="e">
        <f t="shared" si="1"/>
        <v>#REF!</v>
      </c>
    </row>
    <row r="127" spans="1:24" x14ac:dyDescent="0.3">
      <c r="A127">
        <v>1126</v>
      </c>
      <c r="B127" s="2">
        <v>44322</v>
      </c>
      <c r="C127" t="s">
        <v>52</v>
      </c>
      <c r="D127" t="s">
        <v>55</v>
      </c>
      <c r="E127" t="s">
        <v>25</v>
      </c>
      <c r="F127" t="s">
        <v>32</v>
      </c>
      <c r="G127" t="s">
        <v>27</v>
      </c>
      <c r="H127">
        <v>64.47</v>
      </c>
      <c r="I127">
        <v>76</v>
      </c>
      <c r="J127" s="1">
        <f>(H127*I127)+O127</f>
        <v>4922.79</v>
      </c>
      <c r="K127" s="1">
        <f>(H127*I127)+O127-N127</f>
        <v>4917.05</v>
      </c>
      <c r="L127">
        <v>998.68</v>
      </c>
      <c r="M127" t="s">
        <v>44</v>
      </c>
      <c r="N127">
        <v>5.74</v>
      </c>
      <c r="O127">
        <v>23.07</v>
      </c>
      <c r="P127">
        <v>3</v>
      </c>
      <c r="Q127">
        <v>14</v>
      </c>
      <c r="R127">
        <v>3.57</v>
      </c>
      <c r="U127">
        <f>H127*(1-N127%)</f>
        <v>60.769421999999999</v>
      </c>
      <c r="V127">
        <f>U127*I127</f>
        <v>4618.4760719999995</v>
      </c>
      <c r="W127" t="e">
        <f>#REF!-V127</f>
        <v>#REF!</v>
      </c>
      <c r="X127" t="e">
        <f t="shared" si="1"/>
        <v>#REF!</v>
      </c>
    </row>
    <row r="128" spans="1:24" x14ac:dyDescent="0.3">
      <c r="A128">
        <v>1127</v>
      </c>
      <c r="B128" s="2">
        <v>44323</v>
      </c>
      <c r="C128" t="s">
        <v>41</v>
      </c>
      <c r="D128" t="s">
        <v>55</v>
      </c>
      <c r="E128" t="s">
        <v>35</v>
      </c>
      <c r="F128" t="s">
        <v>39</v>
      </c>
      <c r="G128" t="s">
        <v>36</v>
      </c>
      <c r="H128">
        <v>49.81</v>
      </c>
      <c r="I128">
        <v>42</v>
      </c>
      <c r="J128" s="1">
        <f>(H128*I128)+O128</f>
        <v>2157.79</v>
      </c>
      <c r="K128" s="1">
        <f>(H128*I128)+O128-N128</f>
        <v>2155.4</v>
      </c>
      <c r="L128">
        <v>885.37</v>
      </c>
      <c r="M128" t="s">
        <v>37</v>
      </c>
      <c r="N128">
        <v>2.39</v>
      </c>
      <c r="O128">
        <v>65.77</v>
      </c>
      <c r="P128">
        <v>3</v>
      </c>
      <c r="Q128">
        <v>17</v>
      </c>
      <c r="R128">
        <v>2.31</v>
      </c>
      <c r="U128">
        <f>H128*(1-N128%)</f>
        <v>48.619540999999998</v>
      </c>
      <c r="V128">
        <f>U128*I128</f>
        <v>2042.020722</v>
      </c>
      <c r="W128" t="e">
        <f>#REF!-V128</f>
        <v>#REF!</v>
      </c>
      <c r="X128" t="e">
        <f t="shared" si="1"/>
        <v>#REF!</v>
      </c>
    </row>
    <row r="129" spans="1:24" x14ac:dyDescent="0.3">
      <c r="A129">
        <v>1128</v>
      </c>
      <c r="B129" s="2">
        <v>44324</v>
      </c>
      <c r="C129" t="s">
        <v>52</v>
      </c>
      <c r="D129" t="s">
        <v>34</v>
      </c>
      <c r="E129" t="s">
        <v>31</v>
      </c>
      <c r="F129" t="s">
        <v>39</v>
      </c>
      <c r="G129" t="s">
        <v>45</v>
      </c>
      <c r="H129">
        <v>52.63</v>
      </c>
      <c r="I129">
        <v>24</v>
      </c>
      <c r="J129" s="1">
        <f>(H129*I129)+O129</f>
        <v>1273.2800000000002</v>
      </c>
      <c r="K129" s="1">
        <f>(H129*I129)+O129-N129</f>
        <v>1263.9600000000003</v>
      </c>
      <c r="L129">
        <v>205.59</v>
      </c>
      <c r="M129" t="s">
        <v>28</v>
      </c>
      <c r="N129">
        <v>9.32</v>
      </c>
      <c r="O129">
        <v>10.16</v>
      </c>
      <c r="P129">
        <v>2</v>
      </c>
      <c r="Q129">
        <v>29</v>
      </c>
      <c r="R129">
        <v>0.99</v>
      </c>
      <c r="U129">
        <f>H129*(1-N129%)</f>
        <v>47.724884000000003</v>
      </c>
      <c r="V129">
        <f>U129*I129</f>
        <v>1145.3972160000001</v>
      </c>
      <c r="W129" t="e">
        <f>#REF!-V129</f>
        <v>#REF!</v>
      </c>
      <c r="X129" t="e">
        <f t="shared" si="1"/>
        <v>#REF!</v>
      </c>
    </row>
    <row r="130" spans="1:24" x14ac:dyDescent="0.3">
      <c r="A130">
        <v>1129</v>
      </c>
      <c r="B130" s="2">
        <v>44325</v>
      </c>
      <c r="C130" t="s">
        <v>56</v>
      </c>
      <c r="D130" t="s">
        <v>46</v>
      </c>
      <c r="E130" t="s">
        <v>42</v>
      </c>
      <c r="F130" t="s">
        <v>39</v>
      </c>
      <c r="G130" t="s">
        <v>27</v>
      </c>
      <c r="H130">
        <v>7.71</v>
      </c>
      <c r="I130">
        <v>68</v>
      </c>
      <c r="J130" s="1">
        <f>(H130*I130)+O130</f>
        <v>554.24</v>
      </c>
      <c r="K130" s="1">
        <f>(H130*I130)+O130-N130</f>
        <v>553.12</v>
      </c>
      <c r="L130">
        <v>334.3</v>
      </c>
      <c r="M130" t="s">
        <v>44</v>
      </c>
      <c r="N130">
        <v>1.1200000000000001</v>
      </c>
      <c r="O130">
        <v>29.96</v>
      </c>
      <c r="P130">
        <v>4</v>
      </c>
      <c r="Q130">
        <v>30</v>
      </c>
      <c r="R130">
        <v>0.98</v>
      </c>
      <c r="U130">
        <f>H130*(1-N130%)</f>
        <v>7.6236480000000002</v>
      </c>
      <c r="V130">
        <f>U130*I130</f>
        <v>518.40806399999997</v>
      </c>
      <c r="W130" t="e">
        <f>#REF!-V130</f>
        <v>#REF!</v>
      </c>
      <c r="X130" t="e">
        <f t="shared" si="1"/>
        <v>#REF!</v>
      </c>
    </row>
    <row r="131" spans="1:24" x14ac:dyDescent="0.3">
      <c r="A131">
        <v>1130</v>
      </c>
      <c r="B131" s="2">
        <v>44326</v>
      </c>
      <c r="C131" t="s">
        <v>38</v>
      </c>
      <c r="D131" t="s">
        <v>58</v>
      </c>
      <c r="E131" t="s">
        <v>31</v>
      </c>
      <c r="F131" t="s">
        <v>32</v>
      </c>
      <c r="G131" t="s">
        <v>43</v>
      </c>
      <c r="H131">
        <v>31.41</v>
      </c>
      <c r="I131">
        <v>69</v>
      </c>
      <c r="J131" s="1">
        <f>(H131*I131)+O131</f>
        <v>2183.6</v>
      </c>
      <c r="K131" s="1">
        <f>(H131*I131)+O131-N131</f>
        <v>2173.46</v>
      </c>
      <c r="L131">
        <v>1227.92</v>
      </c>
      <c r="M131" t="s">
        <v>44</v>
      </c>
      <c r="N131">
        <v>10.14</v>
      </c>
      <c r="O131">
        <v>16.309999999999999</v>
      </c>
      <c r="P131">
        <v>4</v>
      </c>
      <c r="Q131">
        <v>1</v>
      </c>
      <c r="R131">
        <v>5.18</v>
      </c>
      <c r="U131">
        <f>H131*(1-N131%)</f>
        <v>28.225026</v>
      </c>
      <c r="V131">
        <f>U131*I131</f>
        <v>1947.5267939999999</v>
      </c>
      <c r="W131" t="e">
        <f>#REF!-V131</f>
        <v>#REF!</v>
      </c>
      <c r="X131" t="e">
        <f t="shared" ref="X131:X194" si="2">(L131/W131)*100</f>
        <v>#REF!</v>
      </c>
    </row>
    <row r="132" spans="1:24" x14ac:dyDescent="0.3">
      <c r="A132">
        <v>1131</v>
      </c>
      <c r="B132" s="2">
        <v>44327</v>
      </c>
      <c r="C132" t="s">
        <v>38</v>
      </c>
      <c r="D132" t="s">
        <v>58</v>
      </c>
      <c r="E132" t="s">
        <v>35</v>
      </c>
      <c r="F132" t="s">
        <v>26</v>
      </c>
      <c r="G132" t="s">
        <v>43</v>
      </c>
      <c r="H132">
        <v>24.56</v>
      </c>
      <c r="I132">
        <v>10</v>
      </c>
      <c r="J132" s="1">
        <f>(H132*I132)+O132</f>
        <v>266.20999999999998</v>
      </c>
      <c r="K132" s="1">
        <f>(H132*I132)+O132-N132</f>
        <v>250.87999999999997</v>
      </c>
      <c r="L132">
        <v>193.62</v>
      </c>
      <c r="M132" t="s">
        <v>28</v>
      </c>
      <c r="N132">
        <v>15.33</v>
      </c>
      <c r="O132">
        <v>20.61</v>
      </c>
      <c r="P132">
        <v>5</v>
      </c>
      <c r="Q132">
        <v>29</v>
      </c>
      <c r="R132">
        <v>2.2999999999999998</v>
      </c>
      <c r="U132">
        <f>H132*(1-N132%)</f>
        <v>20.794951999999999</v>
      </c>
      <c r="V132">
        <f>U132*I132</f>
        <v>207.94951999999998</v>
      </c>
      <c r="W132" t="e">
        <f>#REF!-V132</f>
        <v>#REF!</v>
      </c>
      <c r="X132" t="e">
        <f t="shared" si="2"/>
        <v>#REF!</v>
      </c>
    </row>
    <row r="133" spans="1:24" x14ac:dyDescent="0.3">
      <c r="A133">
        <v>1132</v>
      </c>
      <c r="B133" s="2">
        <v>44328</v>
      </c>
      <c r="C133" t="s">
        <v>23</v>
      </c>
      <c r="D133" t="s">
        <v>49</v>
      </c>
      <c r="E133" t="s">
        <v>35</v>
      </c>
      <c r="F133" t="s">
        <v>26</v>
      </c>
      <c r="G133" t="s">
        <v>50</v>
      </c>
      <c r="H133">
        <v>3.68</v>
      </c>
      <c r="I133">
        <v>82</v>
      </c>
      <c r="J133" s="1">
        <f>(H133*I133)+O133</f>
        <v>395.12</v>
      </c>
      <c r="K133" s="1">
        <f>(H133*I133)+O133-N133</f>
        <v>393.42</v>
      </c>
      <c r="L133">
        <v>1407.02</v>
      </c>
      <c r="M133" t="s">
        <v>37</v>
      </c>
      <c r="N133">
        <v>1.7</v>
      </c>
      <c r="O133">
        <v>93.36</v>
      </c>
      <c r="P133">
        <v>2</v>
      </c>
      <c r="Q133">
        <v>21</v>
      </c>
      <c r="R133">
        <v>4.6100000000000003</v>
      </c>
      <c r="U133">
        <f>H133*(1-N133%)</f>
        <v>3.6174400000000002</v>
      </c>
      <c r="V133">
        <f>U133*I133</f>
        <v>296.63008000000002</v>
      </c>
      <c r="W133" t="e">
        <f>#REF!-V133</f>
        <v>#REF!</v>
      </c>
      <c r="X133" t="e">
        <f t="shared" si="2"/>
        <v>#REF!</v>
      </c>
    </row>
    <row r="134" spans="1:24" x14ac:dyDescent="0.3">
      <c r="A134">
        <v>1133</v>
      </c>
      <c r="B134" s="2">
        <v>44329</v>
      </c>
      <c r="C134" t="s">
        <v>38</v>
      </c>
      <c r="D134" t="s">
        <v>55</v>
      </c>
      <c r="E134" t="s">
        <v>42</v>
      </c>
      <c r="F134" t="s">
        <v>39</v>
      </c>
      <c r="G134" t="s">
        <v>53</v>
      </c>
      <c r="H134">
        <v>10.5</v>
      </c>
      <c r="I134">
        <v>47</v>
      </c>
      <c r="J134" s="1">
        <f>(H134*I134)+O134</f>
        <v>508.39</v>
      </c>
      <c r="K134" s="1">
        <f>(H134*I134)+O134-N134</f>
        <v>494.7</v>
      </c>
      <c r="L134">
        <v>1417.49</v>
      </c>
      <c r="M134" t="s">
        <v>37</v>
      </c>
      <c r="N134">
        <v>13.69</v>
      </c>
      <c r="O134">
        <v>14.89</v>
      </c>
      <c r="P134">
        <v>2</v>
      </c>
      <c r="Q134">
        <v>2</v>
      </c>
      <c r="R134">
        <v>1.68</v>
      </c>
      <c r="U134">
        <f>H134*(1-N134%)</f>
        <v>9.0625499999999999</v>
      </c>
      <c r="V134">
        <f>U134*I134</f>
        <v>425.93984999999998</v>
      </c>
      <c r="W134" t="e">
        <f>#REF!-V134</f>
        <v>#REF!</v>
      </c>
      <c r="X134" t="e">
        <f t="shared" si="2"/>
        <v>#REF!</v>
      </c>
    </row>
    <row r="135" spans="1:24" x14ac:dyDescent="0.3">
      <c r="A135">
        <v>1134</v>
      </c>
      <c r="B135" s="2">
        <v>44330</v>
      </c>
      <c r="C135" t="s">
        <v>41</v>
      </c>
      <c r="D135" t="s">
        <v>58</v>
      </c>
      <c r="E135" t="s">
        <v>25</v>
      </c>
      <c r="F135" t="s">
        <v>26</v>
      </c>
      <c r="G135" t="s">
        <v>50</v>
      </c>
      <c r="H135">
        <v>74.55</v>
      </c>
      <c r="I135">
        <v>37</v>
      </c>
      <c r="J135" s="1">
        <f>(H135*I135)+O135</f>
        <v>2802.1</v>
      </c>
      <c r="K135" s="1">
        <f>(H135*I135)+O135-N135</f>
        <v>2793.17</v>
      </c>
      <c r="L135">
        <v>807.19</v>
      </c>
      <c r="M135" t="s">
        <v>37</v>
      </c>
      <c r="N135">
        <v>8.93</v>
      </c>
      <c r="O135">
        <v>43.75</v>
      </c>
      <c r="P135">
        <v>4</v>
      </c>
      <c r="Q135">
        <v>18</v>
      </c>
      <c r="R135">
        <v>2.06</v>
      </c>
      <c r="U135">
        <f>H135*(1-N135%)</f>
        <v>67.892685</v>
      </c>
      <c r="V135">
        <f>U135*I135</f>
        <v>2512.0293449999999</v>
      </c>
      <c r="W135" t="e">
        <f>#REF!-V135</f>
        <v>#REF!</v>
      </c>
      <c r="X135" t="e">
        <f t="shared" si="2"/>
        <v>#REF!</v>
      </c>
    </row>
    <row r="136" spans="1:24" x14ac:dyDescent="0.3">
      <c r="A136">
        <v>1135</v>
      </c>
      <c r="B136" s="2">
        <v>44331</v>
      </c>
      <c r="C136" t="s">
        <v>41</v>
      </c>
      <c r="D136" t="s">
        <v>30</v>
      </c>
      <c r="E136" t="s">
        <v>42</v>
      </c>
      <c r="F136" t="s">
        <v>39</v>
      </c>
      <c r="G136" t="s">
        <v>45</v>
      </c>
      <c r="H136">
        <v>75.56</v>
      </c>
      <c r="I136">
        <v>46</v>
      </c>
      <c r="J136" s="1">
        <f>(H136*I136)+O136</f>
        <v>3530.51</v>
      </c>
      <c r="K136" s="1">
        <f>(H136*I136)+O136-N136</f>
        <v>3515.01</v>
      </c>
      <c r="L136">
        <v>165.19</v>
      </c>
      <c r="M136" t="s">
        <v>44</v>
      </c>
      <c r="N136">
        <v>15.5</v>
      </c>
      <c r="O136">
        <v>54.75</v>
      </c>
      <c r="P136">
        <v>3</v>
      </c>
      <c r="Q136">
        <v>22</v>
      </c>
      <c r="R136">
        <v>6.78</v>
      </c>
      <c r="U136">
        <f>H136*(1-N136%)</f>
        <v>63.848199999999999</v>
      </c>
      <c r="V136">
        <f>U136*I136</f>
        <v>2937.0171999999998</v>
      </c>
      <c r="W136" t="e">
        <f>#REF!-V136</f>
        <v>#REF!</v>
      </c>
      <c r="X136" t="e">
        <f t="shared" si="2"/>
        <v>#REF!</v>
      </c>
    </row>
    <row r="137" spans="1:24" x14ac:dyDescent="0.3">
      <c r="A137">
        <v>1136</v>
      </c>
      <c r="B137" s="2">
        <v>44332</v>
      </c>
      <c r="C137" t="s">
        <v>52</v>
      </c>
      <c r="D137" t="s">
        <v>54</v>
      </c>
      <c r="E137" t="s">
        <v>25</v>
      </c>
      <c r="F137" t="s">
        <v>26</v>
      </c>
      <c r="G137" t="s">
        <v>36</v>
      </c>
      <c r="H137">
        <v>80.400000000000006</v>
      </c>
      <c r="I137">
        <v>89</v>
      </c>
      <c r="J137" s="1">
        <f>(H137*I137)+O137</f>
        <v>7193.5300000000007</v>
      </c>
      <c r="K137" s="1">
        <f>(H137*I137)+O137-N137</f>
        <v>7178.68</v>
      </c>
      <c r="L137">
        <v>1438.36</v>
      </c>
      <c r="M137" t="s">
        <v>28</v>
      </c>
      <c r="N137">
        <v>14.85</v>
      </c>
      <c r="O137">
        <v>37.93</v>
      </c>
      <c r="P137">
        <v>3</v>
      </c>
      <c r="Q137">
        <v>7</v>
      </c>
      <c r="R137">
        <v>0.35</v>
      </c>
      <c r="U137">
        <f>H137*(1-N137%)</f>
        <v>68.460600000000014</v>
      </c>
      <c r="V137">
        <f>U137*I137</f>
        <v>6092.9934000000012</v>
      </c>
      <c r="W137" t="e">
        <f>#REF!-V137</f>
        <v>#REF!</v>
      </c>
      <c r="X137" t="e">
        <f t="shared" si="2"/>
        <v>#REF!</v>
      </c>
    </row>
    <row r="138" spans="1:24" x14ac:dyDescent="0.3">
      <c r="A138">
        <v>1137</v>
      </c>
      <c r="B138" s="2">
        <v>44333</v>
      </c>
      <c r="C138" t="s">
        <v>51</v>
      </c>
      <c r="D138" t="s">
        <v>30</v>
      </c>
      <c r="E138" t="s">
        <v>31</v>
      </c>
      <c r="F138" t="s">
        <v>39</v>
      </c>
      <c r="G138" t="s">
        <v>50</v>
      </c>
      <c r="H138">
        <v>12.95</v>
      </c>
      <c r="I138">
        <v>35</v>
      </c>
      <c r="J138" s="1">
        <f>(H138*I138)+O138</f>
        <v>521.06999999999994</v>
      </c>
      <c r="K138" s="1">
        <f>(H138*I138)+O138-N138</f>
        <v>510.82999999999993</v>
      </c>
      <c r="L138">
        <v>523.15</v>
      </c>
      <c r="M138" t="s">
        <v>37</v>
      </c>
      <c r="N138">
        <v>10.24</v>
      </c>
      <c r="O138">
        <v>67.819999999999993</v>
      </c>
      <c r="P138">
        <v>1</v>
      </c>
      <c r="Q138">
        <v>10</v>
      </c>
      <c r="R138">
        <v>1.4</v>
      </c>
      <c r="U138">
        <f>H138*(1-N138%)</f>
        <v>11.623919999999998</v>
      </c>
      <c r="V138">
        <f>U138*I138</f>
        <v>406.83719999999994</v>
      </c>
      <c r="W138" t="e">
        <f>#REF!-V138</f>
        <v>#REF!</v>
      </c>
      <c r="X138" t="e">
        <f t="shared" si="2"/>
        <v>#REF!</v>
      </c>
    </row>
    <row r="139" spans="1:24" x14ac:dyDescent="0.3">
      <c r="A139">
        <v>1138</v>
      </c>
      <c r="B139" s="2">
        <v>44334</v>
      </c>
      <c r="C139" t="s">
        <v>51</v>
      </c>
      <c r="D139" t="s">
        <v>34</v>
      </c>
      <c r="E139" t="s">
        <v>25</v>
      </c>
      <c r="F139" t="s">
        <v>32</v>
      </c>
      <c r="G139" t="s">
        <v>53</v>
      </c>
      <c r="H139">
        <v>46.85</v>
      </c>
      <c r="I139">
        <v>21</v>
      </c>
      <c r="J139" s="1">
        <f>(H139*I139)+O139</f>
        <v>1004.0500000000001</v>
      </c>
      <c r="K139" s="1">
        <f>(H139*I139)+O139-N139</f>
        <v>994.1400000000001</v>
      </c>
      <c r="L139">
        <v>363.28</v>
      </c>
      <c r="M139" t="s">
        <v>44</v>
      </c>
      <c r="N139">
        <v>9.91</v>
      </c>
      <c r="O139">
        <v>20.2</v>
      </c>
      <c r="P139">
        <v>4</v>
      </c>
      <c r="Q139">
        <v>8</v>
      </c>
      <c r="R139">
        <v>6.53</v>
      </c>
      <c r="U139">
        <f>H139*(1-N139%)</f>
        <v>42.207165000000003</v>
      </c>
      <c r="V139">
        <f>U139*I139</f>
        <v>886.3504650000001</v>
      </c>
      <c r="W139" t="e">
        <f>#REF!-V139</f>
        <v>#REF!</v>
      </c>
      <c r="X139" t="e">
        <f t="shared" si="2"/>
        <v>#REF!</v>
      </c>
    </row>
    <row r="140" spans="1:24" x14ac:dyDescent="0.3">
      <c r="A140">
        <v>1139</v>
      </c>
      <c r="B140" s="2">
        <v>44335</v>
      </c>
      <c r="C140" t="s">
        <v>51</v>
      </c>
      <c r="D140" t="s">
        <v>30</v>
      </c>
      <c r="E140" t="s">
        <v>35</v>
      </c>
      <c r="F140" t="s">
        <v>32</v>
      </c>
      <c r="G140" t="s">
        <v>27</v>
      </c>
      <c r="H140">
        <v>66.400000000000006</v>
      </c>
      <c r="I140">
        <v>89</v>
      </c>
      <c r="J140" s="1">
        <f>(H140*I140)+O140</f>
        <v>5968.1900000000005</v>
      </c>
      <c r="K140" s="1">
        <f>(H140*I140)+O140-N140</f>
        <v>5965.1600000000008</v>
      </c>
      <c r="L140">
        <v>958.16</v>
      </c>
      <c r="M140" t="s">
        <v>28</v>
      </c>
      <c r="N140">
        <v>3.03</v>
      </c>
      <c r="O140">
        <v>58.59</v>
      </c>
      <c r="P140">
        <v>2</v>
      </c>
      <c r="Q140">
        <v>7</v>
      </c>
      <c r="R140">
        <v>5.35</v>
      </c>
      <c r="U140">
        <f>H140*(1-N140%)</f>
        <v>64.388080000000002</v>
      </c>
      <c r="V140">
        <f>U140*I140</f>
        <v>5730.5391200000004</v>
      </c>
      <c r="W140" t="e">
        <f>#REF!-V140</f>
        <v>#REF!</v>
      </c>
      <c r="X140" t="e">
        <f t="shared" si="2"/>
        <v>#REF!</v>
      </c>
    </row>
    <row r="141" spans="1:24" x14ac:dyDescent="0.3">
      <c r="A141">
        <v>1140</v>
      </c>
      <c r="B141" s="2">
        <v>44336</v>
      </c>
      <c r="C141" t="s">
        <v>52</v>
      </c>
      <c r="D141" t="s">
        <v>24</v>
      </c>
      <c r="E141" t="s">
        <v>25</v>
      </c>
      <c r="F141" t="s">
        <v>39</v>
      </c>
      <c r="G141" t="s">
        <v>40</v>
      </c>
      <c r="H141">
        <v>79.290000000000006</v>
      </c>
      <c r="I141">
        <v>23</v>
      </c>
      <c r="J141" s="1">
        <f>(H141*I141)+O141</f>
        <v>1860.5900000000001</v>
      </c>
      <c r="K141" s="1">
        <f>(H141*I141)+O141-N141</f>
        <v>1851.45</v>
      </c>
      <c r="L141">
        <v>1181.76</v>
      </c>
      <c r="M141" t="s">
        <v>44</v>
      </c>
      <c r="N141">
        <v>9.14</v>
      </c>
      <c r="O141">
        <v>36.92</v>
      </c>
      <c r="P141">
        <v>1</v>
      </c>
      <c r="Q141">
        <v>19</v>
      </c>
      <c r="R141">
        <v>8.58</v>
      </c>
      <c r="U141">
        <f>H141*(1-N141%)</f>
        <v>72.042894000000004</v>
      </c>
      <c r="V141">
        <f>U141*I141</f>
        <v>1656.986562</v>
      </c>
      <c r="W141" t="e">
        <f>#REF!-V141</f>
        <v>#REF!</v>
      </c>
      <c r="X141" t="e">
        <f t="shared" si="2"/>
        <v>#REF!</v>
      </c>
    </row>
    <row r="142" spans="1:24" x14ac:dyDescent="0.3">
      <c r="A142">
        <v>1141</v>
      </c>
      <c r="B142" s="2">
        <v>44337</v>
      </c>
      <c r="C142" t="s">
        <v>38</v>
      </c>
      <c r="D142" t="s">
        <v>49</v>
      </c>
      <c r="E142" t="s">
        <v>25</v>
      </c>
      <c r="F142" t="s">
        <v>39</v>
      </c>
      <c r="G142" t="s">
        <v>53</v>
      </c>
      <c r="H142">
        <v>16.91</v>
      </c>
      <c r="I142">
        <v>31</v>
      </c>
      <c r="J142" s="1">
        <f>(H142*I142)+O142</f>
        <v>602.27</v>
      </c>
      <c r="K142" s="1">
        <f>(H142*I142)+O142-N142</f>
        <v>598.54999999999995</v>
      </c>
      <c r="L142">
        <v>1425.76</v>
      </c>
      <c r="M142" t="s">
        <v>44</v>
      </c>
      <c r="N142">
        <v>3.72</v>
      </c>
      <c r="O142">
        <v>78.06</v>
      </c>
      <c r="P142">
        <v>4</v>
      </c>
      <c r="Q142">
        <v>16</v>
      </c>
      <c r="R142">
        <v>2.63</v>
      </c>
      <c r="U142">
        <f>H142*(1-N142%)</f>
        <v>16.280947999999999</v>
      </c>
      <c r="V142">
        <f>U142*I142</f>
        <v>504.70938799999993</v>
      </c>
      <c r="W142" t="e">
        <f>#REF!-V142</f>
        <v>#REF!</v>
      </c>
      <c r="X142" t="e">
        <f t="shared" si="2"/>
        <v>#REF!</v>
      </c>
    </row>
    <row r="143" spans="1:24" x14ac:dyDescent="0.3">
      <c r="A143">
        <v>1142</v>
      </c>
      <c r="B143" s="2">
        <v>44338</v>
      </c>
      <c r="C143" t="s">
        <v>29</v>
      </c>
      <c r="D143" t="s">
        <v>55</v>
      </c>
      <c r="E143" t="s">
        <v>25</v>
      </c>
      <c r="F143" t="s">
        <v>39</v>
      </c>
      <c r="G143" t="s">
        <v>50</v>
      </c>
      <c r="H143">
        <v>47.62</v>
      </c>
      <c r="I143">
        <v>23</v>
      </c>
      <c r="J143" s="1">
        <f>(H143*I143)+O143</f>
        <v>1183.72</v>
      </c>
      <c r="K143" s="1">
        <f>(H143*I143)+O143-N143</f>
        <v>1169.32</v>
      </c>
      <c r="L143">
        <v>221.41</v>
      </c>
      <c r="M143" t="s">
        <v>44</v>
      </c>
      <c r="N143">
        <v>14.4</v>
      </c>
      <c r="O143">
        <v>88.46</v>
      </c>
      <c r="P143">
        <v>5</v>
      </c>
      <c r="Q143">
        <v>13</v>
      </c>
      <c r="R143">
        <v>6.01</v>
      </c>
      <c r="U143">
        <f>H143*(1-N143%)</f>
        <v>40.762719999999995</v>
      </c>
      <c r="V143">
        <f>U143*I143</f>
        <v>937.54255999999987</v>
      </c>
      <c r="W143" t="e">
        <f>#REF!-V143</f>
        <v>#REF!</v>
      </c>
      <c r="X143" t="e">
        <f t="shared" si="2"/>
        <v>#REF!</v>
      </c>
    </row>
    <row r="144" spans="1:24" x14ac:dyDescent="0.3">
      <c r="A144">
        <v>1143</v>
      </c>
      <c r="B144" s="2">
        <v>44339</v>
      </c>
      <c r="C144" t="s">
        <v>33</v>
      </c>
      <c r="D144" t="s">
        <v>24</v>
      </c>
      <c r="E144" t="s">
        <v>31</v>
      </c>
      <c r="F144" t="s">
        <v>26</v>
      </c>
      <c r="G144" t="s">
        <v>43</v>
      </c>
      <c r="H144">
        <v>4.75</v>
      </c>
      <c r="I144">
        <v>22</v>
      </c>
      <c r="J144" s="1">
        <f>(H144*I144)+O144</f>
        <v>177.31</v>
      </c>
      <c r="K144" s="1">
        <f>(H144*I144)+O144-N144</f>
        <v>171.64000000000001</v>
      </c>
      <c r="L144">
        <v>307.74</v>
      </c>
      <c r="M144" t="s">
        <v>28</v>
      </c>
      <c r="N144">
        <v>5.67</v>
      </c>
      <c r="O144">
        <v>72.81</v>
      </c>
      <c r="P144">
        <v>5</v>
      </c>
      <c r="Q144">
        <v>8</v>
      </c>
      <c r="R144">
        <v>0.64</v>
      </c>
      <c r="U144">
        <f>H144*(1-N144%)</f>
        <v>4.4806749999999997</v>
      </c>
      <c r="V144">
        <f>U144*I144</f>
        <v>98.574849999999998</v>
      </c>
      <c r="W144" t="e">
        <f>#REF!-V144</f>
        <v>#REF!</v>
      </c>
      <c r="X144" t="e">
        <f t="shared" si="2"/>
        <v>#REF!</v>
      </c>
    </row>
    <row r="145" spans="1:24" x14ac:dyDescent="0.3">
      <c r="A145">
        <v>1144</v>
      </c>
      <c r="B145" s="2">
        <v>44340</v>
      </c>
      <c r="C145" t="s">
        <v>38</v>
      </c>
      <c r="D145" t="s">
        <v>34</v>
      </c>
      <c r="E145" t="s">
        <v>42</v>
      </c>
      <c r="F145" t="s">
        <v>39</v>
      </c>
      <c r="G145" t="s">
        <v>53</v>
      </c>
      <c r="H145">
        <v>59.47</v>
      </c>
      <c r="I145">
        <v>81</v>
      </c>
      <c r="J145" s="1">
        <f>(H145*I145)+O145</f>
        <v>4860.9799999999996</v>
      </c>
      <c r="K145" s="1">
        <f>(H145*I145)+O145-N145</f>
        <v>4848.99</v>
      </c>
      <c r="L145">
        <v>1270.01</v>
      </c>
      <c r="M145" t="s">
        <v>44</v>
      </c>
      <c r="N145">
        <v>11.99</v>
      </c>
      <c r="O145">
        <v>43.91</v>
      </c>
      <c r="P145">
        <v>1</v>
      </c>
      <c r="Q145">
        <v>26</v>
      </c>
      <c r="R145">
        <v>9.9499999999999993</v>
      </c>
      <c r="U145">
        <f>H145*(1-N145%)</f>
        <v>52.339546999999996</v>
      </c>
      <c r="V145">
        <f>U145*I145</f>
        <v>4239.5033069999999</v>
      </c>
      <c r="W145" t="e">
        <f>#REF!-V145</f>
        <v>#REF!</v>
      </c>
      <c r="X145" t="e">
        <f t="shared" si="2"/>
        <v>#REF!</v>
      </c>
    </row>
    <row r="146" spans="1:24" x14ac:dyDescent="0.3">
      <c r="A146">
        <v>1145</v>
      </c>
      <c r="B146" s="2">
        <v>44341</v>
      </c>
      <c r="C146" t="s">
        <v>41</v>
      </c>
      <c r="D146" t="s">
        <v>49</v>
      </c>
      <c r="E146" t="s">
        <v>31</v>
      </c>
      <c r="F146" t="s">
        <v>26</v>
      </c>
      <c r="G146" t="s">
        <v>36</v>
      </c>
      <c r="H146">
        <v>35.97</v>
      </c>
      <c r="I146">
        <v>87</v>
      </c>
      <c r="J146" s="1">
        <f>(H146*I146)+O146</f>
        <v>3138.8799999999997</v>
      </c>
      <c r="K146" s="1">
        <f>(H146*I146)+O146-N146</f>
        <v>3127.7499999999995</v>
      </c>
      <c r="L146">
        <v>317.32</v>
      </c>
      <c r="M146" t="s">
        <v>37</v>
      </c>
      <c r="N146">
        <v>11.13</v>
      </c>
      <c r="O146">
        <v>9.49</v>
      </c>
      <c r="P146">
        <v>1</v>
      </c>
      <c r="Q146">
        <v>4</v>
      </c>
      <c r="R146">
        <v>7.07</v>
      </c>
      <c r="U146">
        <f>H146*(1-N146%)</f>
        <v>31.966539000000001</v>
      </c>
      <c r="V146">
        <f>U146*I146</f>
        <v>2781.0888930000001</v>
      </c>
      <c r="W146" t="e">
        <f>#REF!-V146</f>
        <v>#REF!</v>
      </c>
      <c r="X146" t="e">
        <f t="shared" si="2"/>
        <v>#REF!</v>
      </c>
    </row>
    <row r="147" spans="1:24" x14ac:dyDescent="0.3">
      <c r="A147">
        <v>1146</v>
      </c>
      <c r="B147" s="2">
        <v>44342</v>
      </c>
      <c r="C147" t="s">
        <v>38</v>
      </c>
      <c r="D147" t="s">
        <v>55</v>
      </c>
      <c r="E147" t="s">
        <v>25</v>
      </c>
      <c r="F147" t="s">
        <v>32</v>
      </c>
      <c r="G147" t="s">
        <v>43</v>
      </c>
      <c r="H147">
        <v>47.85</v>
      </c>
      <c r="I147">
        <v>12</v>
      </c>
      <c r="J147" s="1">
        <f>(H147*I147)+O147</f>
        <v>583.75</v>
      </c>
      <c r="K147" s="1">
        <f>(H147*I147)+O147-N147</f>
        <v>583.33000000000004</v>
      </c>
      <c r="L147">
        <v>1214.1500000000001</v>
      </c>
      <c r="M147" t="s">
        <v>28</v>
      </c>
      <c r="N147">
        <v>0.42</v>
      </c>
      <c r="O147">
        <v>9.5500000000000007</v>
      </c>
      <c r="P147">
        <v>3</v>
      </c>
      <c r="Q147">
        <v>20</v>
      </c>
      <c r="R147">
        <v>9.99</v>
      </c>
      <c r="U147">
        <f>H147*(1-N147%)</f>
        <v>47.649030000000003</v>
      </c>
      <c r="V147">
        <f>U147*I147</f>
        <v>571.78836000000001</v>
      </c>
      <c r="W147" t="e">
        <f>#REF!-V147</f>
        <v>#REF!</v>
      </c>
      <c r="X147" t="e">
        <f t="shared" si="2"/>
        <v>#REF!</v>
      </c>
    </row>
    <row r="148" spans="1:24" x14ac:dyDescent="0.3">
      <c r="A148">
        <v>1147</v>
      </c>
      <c r="B148" s="2">
        <v>44343</v>
      </c>
      <c r="C148" t="s">
        <v>33</v>
      </c>
      <c r="D148" t="s">
        <v>54</v>
      </c>
      <c r="E148" t="s">
        <v>25</v>
      </c>
      <c r="F148" t="s">
        <v>39</v>
      </c>
      <c r="G148" t="s">
        <v>47</v>
      </c>
      <c r="H148">
        <v>45.62</v>
      </c>
      <c r="I148">
        <v>67</v>
      </c>
      <c r="J148" s="1">
        <f>(H148*I148)+O148</f>
        <v>3115.13</v>
      </c>
      <c r="K148" s="1">
        <f>(H148*I148)+O148-N148</f>
        <v>3107.28</v>
      </c>
      <c r="L148">
        <v>318.72000000000003</v>
      </c>
      <c r="M148" t="s">
        <v>28</v>
      </c>
      <c r="N148">
        <v>7.85</v>
      </c>
      <c r="O148">
        <v>58.59</v>
      </c>
      <c r="P148">
        <v>4</v>
      </c>
      <c r="Q148">
        <v>11</v>
      </c>
      <c r="R148">
        <v>0.55000000000000004</v>
      </c>
      <c r="U148">
        <f>H148*(1-N148%)</f>
        <v>42.038829999999997</v>
      </c>
      <c r="V148">
        <f>U148*I148</f>
        <v>2816.6016099999997</v>
      </c>
      <c r="W148" t="e">
        <f>#REF!-V148</f>
        <v>#REF!</v>
      </c>
      <c r="X148" t="e">
        <f t="shared" si="2"/>
        <v>#REF!</v>
      </c>
    </row>
    <row r="149" spans="1:24" x14ac:dyDescent="0.3">
      <c r="A149">
        <v>1148</v>
      </c>
      <c r="B149" s="2">
        <v>44344</v>
      </c>
      <c r="C149" t="s">
        <v>51</v>
      </c>
      <c r="D149" t="s">
        <v>30</v>
      </c>
      <c r="E149" t="s">
        <v>31</v>
      </c>
      <c r="F149" t="s">
        <v>39</v>
      </c>
      <c r="G149" t="s">
        <v>45</v>
      </c>
      <c r="H149">
        <v>67.69</v>
      </c>
      <c r="I149">
        <v>73</v>
      </c>
      <c r="J149" s="1">
        <f>(H149*I149)+O149</f>
        <v>5024.38</v>
      </c>
      <c r="K149" s="1">
        <f>(H149*I149)+O149-N149</f>
        <v>5017.5200000000004</v>
      </c>
      <c r="L149">
        <v>682.33</v>
      </c>
      <c r="M149" t="s">
        <v>37</v>
      </c>
      <c r="N149">
        <v>6.86</v>
      </c>
      <c r="O149">
        <v>83.01</v>
      </c>
      <c r="P149">
        <v>4</v>
      </c>
      <c r="Q149">
        <v>30</v>
      </c>
      <c r="R149">
        <v>8.41</v>
      </c>
      <c r="U149">
        <f>H149*(1-N149%)</f>
        <v>63.046465999999995</v>
      </c>
      <c r="V149">
        <f>U149*I149</f>
        <v>4602.3920179999996</v>
      </c>
      <c r="W149" t="e">
        <f>#REF!-V149</f>
        <v>#REF!</v>
      </c>
      <c r="X149" t="e">
        <f t="shared" si="2"/>
        <v>#REF!</v>
      </c>
    </row>
    <row r="150" spans="1:24" x14ac:dyDescent="0.3">
      <c r="A150">
        <v>1149</v>
      </c>
      <c r="B150" s="2">
        <v>44345</v>
      </c>
      <c r="C150" t="s">
        <v>41</v>
      </c>
      <c r="D150" t="s">
        <v>58</v>
      </c>
      <c r="E150" t="s">
        <v>31</v>
      </c>
      <c r="F150" t="s">
        <v>32</v>
      </c>
      <c r="G150" t="s">
        <v>53</v>
      </c>
      <c r="H150">
        <v>68.16</v>
      </c>
      <c r="I150">
        <v>25</v>
      </c>
      <c r="J150" s="1">
        <f>(H150*I150)+O150</f>
        <v>1764.45</v>
      </c>
      <c r="K150" s="1">
        <f>(H150*I150)+O150-N150</f>
        <v>1760.94</v>
      </c>
      <c r="L150">
        <v>1233.3599999999999</v>
      </c>
      <c r="M150" t="s">
        <v>28</v>
      </c>
      <c r="N150">
        <v>3.51</v>
      </c>
      <c r="O150">
        <v>60.45</v>
      </c>
      <c r="P150">
        <v>5</v>
      </c>
      <c r="Q150">
        <v>25</v>
      </c>
      <c r="R150">
        <v>2.59</v>
      </c>
      <c r="U150">
        <f>H150*(1-N150%)</f>
        <v>65.767583999999999</v>
      </c>
      <c r="V150">
        <f>U150*I150</f>
        <v>1644.1895999999999</v>
      </c>
      <c r="W150" t="e">
        <f>#REF!-V150</f>
        <v>#REF!</v>
      </c>
      <c r="X150" t="e">
        <f t="shared" si="2"/>
        <v>#REF!</v>
      </c>
    </row>
    <row r="151" spans="1:24" x14ac:dyDescent="0.3">
      <c r="A151">
        <v>1150</v>
      </c>
      <c r="B151" s="2">
        <v>44346</v>
      </c>
      <c r="C151" t="s">
        <v>51</v>
      </c>
      <c r="D151" t="s">
        <v>46</v>
      </c>
      <c r="E151" t="s">
        <v>25</v>
      </c>
      <c r="F151" t="s">
        <v>32</v>
      </c>
      <c r="G151" t="s">
        <v>43</v>
      </c>
      <c r="H151">
        <v>13.63</v>
      </c>
      <c r="I151">
        <v>74</v>
      </c>
      <c r="J151" s="1">
        <f>(H151*I151)+O151</f>
        <v>1080.4000000000001</v>
      </c>
      <c r="K151" s="1">
        <f>(H151*I151)+O151-N151</f>
        <v>1075.0900000000001</v>
      </c>
      <c r="L151">
        <v>1382.81</v>
      </c>
      <c r="M151" t="s">
        <v>44</v>
      </c>
      <c r="N151">
        <v>5.31</v>
      </c>
      <c r="O151">
        <v>71.78</v>
      </c>
      <c r="P151">
        <v>4</v>
      </c>
      <c r="Q151">
        <v>12</v>
      </c>
      <c r="R151">
        <v>2.14</v>
      </c>
      <c r="U151">
        <f>H151*(1-N151%)</f>
        <v>12.906247</v>
      </c>
      <c r="V151">
        <f>U151*I151</f>
        <v>955.06227799999999</v>
      </c>
      <c r="W151" t="e">
        <f>#REF!-V151</f>
        <v>#REF!</v>
      </c>
      <c r="X151" t="e">
        <f t="shared" si="2"/>
        <v>#REF!</v>
      </c>
    </row>
    <row r="152" spans="1:24" x14ac:dyDescent="0.3">
      <c r="A152">
        <v>1151</v>
      </c>
      <c r="B152" s="2">
        <v>44347</v>
      </c>
      <c r="C152" t="s">
        <v>38</v>
      </c>
      <c r="D152" t="s">
        <v>34</v>
      </c>
      <c r="E152" t="s">
        <v>42</v>
      </c>
      <c r="F152" t="s">
        <v>32</v>
      </c>
      <c r="G152" t="s">
        <v>36</v>
      </c>
      <c r="H152">
        <v>48.68</v>
      </c>
      <c r="I152">
        <v>92</v>
      </c>
      <c r="J152" s="1">
        <f>(H152*I152)+O152</f>
        <v>4548.68</v>
      </c>
      <c r="K152" s="1">
        <f>(H152*I152)+O152-N152</f>
        <v>4533.75</v>
      </c>
      <c r="L152">
        <v>723.85</v>
      </c>
      <c r="M152" t="s">
        <v>44</v>
      </c>
      <c r="N152">
        <v>14.93</v>
      </c>
      <c r="O152">
        <v>70.12</v>
      </c>
      <c r="P152">
        <v>3</v>
      </c>
      <c r="Q152">
        <v>28</v>
      </c>
      <c r="R152">
        <v>1.28</v>
      </c>
      <c r="U152">
        <f>H152*(1-N152%)</f>
        <v>41.412075999999999</v>
      </c>
      <c r="V152">
        <f>U152*I152</f>
        <v>3809.9109920000001</v>
      </c>
      <c r="W152" t="e">
        <f>#REF!-V152</f>
        <v>#REF!</v>
      </c>
      <c r="X152" t="e">
        <f t="shared" si="2"/>
        <v>#REF!</v>
      </c>
    </row>
    <row r="153" spans="1:24" x14ac:dyDescent="0.3">
      <c r="A153">
        <v>1152</v>
      </c>
      <c r="B153" s="2">
        <v>44348</v>
      </c>
      <c r="C153" t="s">
        <v>33</v>
      </c>
      <c r="D153" t="s">
        <v>55</v>
      </c>
      <c r="E153" t="s">
        <v>31</v>
      </c>
      <c r="F153" t="s">
        <v>26</v>
      </c>
      <c r="G153" t="s">
        <v>43</v>
      </c>
      <c r="H153">
        <v>23.22</v>
      </c>
      <c r="I153">
        <v>96</v>
      </c>
      <c r="J153" s="1">
        <f>(H153*I153)+O153</f>
        <v>2279.79</v>
      </c>
      <c r="K153" s="1">
        <f>(H153*I153)+O153-N153</f>
        <v>2276.44</v>
      </c>
      <c r="L153">
        <v>900.34</v>
      </c>
      <c r="M153" t="s">
        <v>28</v>
      </c>
      <c r="N153">
        <v>3.35</v>
      </c>
      <c r="O153">
        <v>50.67</v>
      </c>
      <c r="P153">
        <v>3</v>
      </c>
      <c r="Q153">
        <v>27</v>
      </c>
      <c r="R153">
        <v>2.4500000000000002</v>
      </c>
      <c r="U153">
        <f>H153*(1-N153%)</f>
        <v>22.442129999999999</v>
      </c>
      <c r="V153">
        <f>U153*I153</f>
        <v>2154.4444800000001</v>
      </c>
      <c r="W153" t="e">
        <f>#REF!-V153</f>
        <v>#REF!</v>
      </c>
      <c r="X153" t="e">
        <f t="shared" si="2"/>
        <v>#REF!</v>
      </c>
    </row>
    <row r="154" spans="1:24" x14ac:dyDescent="0.3">
      <c r="A154">
        <v>1153</v>
      </c>
      <c r="B154" s="2">
        <v>44349</v>
      </c>
      <c r="C154" t="s">
        <v>57</v>
      </c>
      <c r="D154" t="s">
        <v>55</v>
      </c>
      <c r="E154" t="s">
        <v>25</v>
      </c>
      <c r="F154" t="s">
        <v>26</v>
      </c>
      <c r="G154" t="s">
        <v>36</v>
      </c>
      <c r="H154">
        <v>13.29</v>
      </c>
      <c r="I154">
        <v>80</v>
      </c>
      <c r="J154" s="1">
        <f>(H154*I154)+O154</f>
        <v>1084.0499999999997</v>
      </c>
      <c r="K154" s="1">
        <f>(H154*I154)+O154-N154</f>
        <v>1073.2199999999998</v>
      </c>
      <c r="L154">
        <v>1018.51</v>
      </c>
      <c r="M154" t="s">
        <v>44</v>
      </c>
      <c r="N154">
        <v>10.83</v>
      </c>
      <c r="O154">
        <v>20.85</v>
      </c>
      <c r="P154">
        <v>4</v>
      </c>
      <c r="Q154">
        <v>21</v>
      </c>
      <c r="R154">
        <v>0.26</v>
      </c>
      <c r="U154">
        <f>H154*(1-N154%)</f>
        <v>11.850692999999998</v>
      </c>
      <c r="V154">
        <f>U154*I154</f>
        <v>948.05543999999986</v>
      </c>
      <c r="W154" t="e">
        <f>#REF!-V154</f>
        <v>#REF!</v>
      </c>
      <c r="X154" t="e">
        <f t="shared" si="2"/>
        <v>#REF!</v>
      </c>
    </row>
    <row r="155" spans="1:24" x14ac:dyDescent="0.3">
      <c r="A155">
        <v>1154</v>
      </c>
      <c r="B155" s="2">
        <v>44350</v>
      </c>
      <c r="C155" t="s">
        <v>56</v>
      </c>
      <c r="D155" t="s">
        <v>24</v>
      </c>
      <c r="E155" t="s">
        <v>25</v>
      </c>
      <c r="F155" t="s">
        <v>32</v>
      </c>
      <c r="G155" t="s">
        <v>36</v>
      </c>
      <c r="H155">
        <v>24.34</v>
      </c>
      <c r="I155">
        <v>87</v>
      </c>
      <c r="J155" s="1">
        <f>(H155*I155)+O155</f>
        <v>2162.4499999999998</v>
      </c>
      <c r="K155" s="1">
        <f>(H155*I155)+O155-N155</f>
        <v>2154.4899999999998</v>
      </c>
      <c r="L155">
        <v>871.37</v>
      </c>
      <c r="M155" t="s">
        <v>37</v>
      </c>
      <c r="N155">
        <v>7.96</v>
      </c>
      <c r="O155">
        <v>44.87</v>
      </c>
      <c r="P155">
        <v>5</v>
      </c>
      <c r="Q155">
        <v>12</v>
      </c>
      <c r="R155">
        <v>5.49</v>
      </c>
      <c r="U155">
        <f>H155*(1-N155%)</f>
        <v>22.402536000000001</v>
      </c>
      <c r="V155">
        <f>U155*I155</f>
        <v>1949.0206320000002</v>
      </c>
      <c r="W155" t="e">
        <f>#REF!-V155</f>
        <v>#REF!</v>
      </c>
      <c r="X155" t="e">
        <f t="shared" si="2"/>
        <v>#REF!</v>
      </c>
    </row>
    <row r="156" spans="1:24" x14ac:dyDescent="0.3">
      <c r="A156">
        <v>1155</v>
      </c>
      <c r="B156" s="2">
        <v>44351</v>
      </c>
      <c r="C156" t="s">
        <v>52</v>
      </c>
      <c r="D156" t="s">
        <v>30</v>
      </c>
      <c r="E156" t="s">
        <v>25</v>
      </c>
      <c r="F156" t="s">
        <v>39</v>
      </c>
      <c r="G156" t="s">
        <v>47</v>
      </c>
      <c r="H156">
        <v>33.450000000000003</v>
      </c>
      <c r="I156">
        <v>30</v>
      </c>
      <c r="J156" s="1">
        <f>(H156*I156)+O156</f>
        <v>1039.0700000000002</v>
      </c>
      <c r="K156" s="1">
        <f>(H156*I156)+O156-N156</f>
        <v>1023.6100000000001</v>
      </c>
      <c r="L156">
        <v>672.3</v>
      </c>
      <c r="M156" t="s">
        <v>37</v>
      </c>
      <c r="N156">
        <v>15.46</v>
      </c>
      <c r="O156">
        <v>35.57</v>
      </c>
      <c r="P156">
        <v>3</v>
      </c>
      <c r="Q156">
        <v>29</v>
      </c>
      <c r="R156">
        <v>4.18</v>
      </c>
      <c r="U156">
        <f>H156*(1-N156%)</f>
        <v>28.27863</v>
      </c>
      <c r="V156">
        <f>U156*I156</f>
        <v>848.35889999999995</v>
      </c>
      <c r="W156" t="e">
        <f>#REF!-V156</f>
        <v>#REF!</v>
      </c>
      <c r="X156" t="e">
        <f t="shared" si="2"/>
        <v>#REF!</v>
      </c>
    </row>
    <row r="157" spans="1:24" x14ac:dyDescent="0.3">
      <c r="A157">
        <v>1156</v>
      </c>
      <c r="B157" s="2">
        <v>44352</v>
      </c>
      <c r="C157" t="s">
        <v>57</v>
      </c>
      <c r="D157" t="s">
        <v>54</v>
      </c>
      <c r="E157" t="s">
        <v>31</v>
      </c>
      <c r="F157" t="s">
        <v>32</v>
      </c>
      <c r="G157" t="s">
        <v>43</v>
      </c>
      <c r="H157">
        <v>38.020000000000003</v>
      </c>
      <c r="I157">
        <v>72</v>
      </c>
      <c r="J157" s="1">
        <f>(H157*I157)+O157</f>
        <v>2808.09</v>
      </c>
      <c r="K157" s="1">
        <f>(H157*I157)+O157-N157</f>
        <v>2795.1800000000003</v>
      </c>
      <c r="L157">
        <v>1383.87</v>
      </c>
      <c r="M157" t="s">
        <v>28</v>
      </c>
      <c r="N157">
        <v>12.91</v>
      </c>
      <c r="O157">
        <v>70.650000000000006</v>
      </c>
      <c r="P157">
        <v>3</v>
      </c>
      <c r="Q157">
        <v>3</v>
      </c>
      <c r="R157">
        <v>7.37</v>
      </c>
      <c r="U157">
        <f>H157*(1-N157%)</f>
        <v>33.111618</v>
      </c>
      <c r="V157">
        <f>U157*I157</f>
        <v>2384.0364960000002</v>
      </c>
      <c r="W157" t="e">
        <f>#REF!-V157</f>
        <v>#REF!</v>
      </c>
      <c r="X157" t="e">
        <f t="shared" si="2"/>
        <v>#REF!</v>
      </c>
    </row>
    <row r="158" spans="1:24" x14ac:dyDescent="0.3">
      <c r="A158">
        <v>1157</v>
      </c>
      <c r="B158" s="2">
        <v>44353</v>
      </c>
      <c r="C158" t="s">
        <v>51</v>
      </c>
      <c r="D158" t="s">
        <v>24</v>
      </c>
      <c r="E158" t="s">
        <v>35</v>
      </c>
      <c r="F158" t="s">
        <v>26</v>
      </c>
      <c r="G158" t="s">
        <v>40</v>
      </c>
      <c r="H158">
        <v>69.94</v>
      </c>
      <c r="I158">
        <v>43</v>
      </c>
      <c r="J158" s="1">
        <f>(H158*I158)+O158</f>
        <v>3061.31</v>
      </c>
      <c r="K158" s="1">
        <f>(H158*I158)+O158-N158</f>
        <v>3060.48</v>
      </c>
      <c r="L158">
        <v>492.48</v>
      </c>
      <c r="M158" t="s">
        <v>37</v>
      </c>
      <c r="N158">
        <v>0.83</v>
      </c>
      <c r="O158">
        <v>53.89</v>
      </c>
      <c r="P158">
        <v>1</v>
      </c>
      <c r="Q158">
        <v>3</v>
      </c>
      <c r="R158">
        <v>3.11</v>
      </c>
      <c r="U158">
        <f>H158*(1-N158%)</f>
        <v>69.359498000000002</v>
      </c>
      <c r="V158">
        <f>U158*I158</f>
        <v>2982.4584140000002</v>
      </c>
      <c r="W158" t="e">
        <f>#REF!-V158</f>
        <v>#REF!</v>
      </c>
      <c r="X158" t="e">
        <f t="shared" si="2"/>
        <v>#REF!</v>
      </c>
    </row>
    <row r="159" spans="1:24" x14ac:dyDescent="0.3">
      <c r="A159">
        <v>1158</v>
      </c>
      <c r="B159" s="2">
        <v>44354</v>
      </c>
      <c r="C159" t="s">
        <v>51</v>
      </c>
      <c r="D159" t="s">
        <v>54</v>
      </c>
      <c r="E159" t="s">
        <v>25</v>
      </c>
      <c r="F159" t="s">
        <v>39</v>
      </c>
      <c r="G159" t="s">
        <v>43</v>
      </c>
      <c r="H159">
        <v>27.2</v>
      </c>
      <c r="I159">
        <v>61</v>
      </c>
      <c r="J159" s="1">
        <f>(H159*I159)+O159</f>
        <v>1672.99</v>
      </c>
      <c r="K159" s="1">
        <f>(H159*I159)+O159-N159</f>
        <v>1668.17</v>
      </c>
      <c r="L159">
        <v>312.27999999999997</v>
      </c>
      <c r="M159" t="s">
        <v>37</v>
      </c>
      <c r="N159">
        <v>4.82</v>
      </c>
      <c r="O159">
        <v>13.79</v>
      </c>
      <c r="P159">
        <v>4</v>
      </c>
      <c r="Q159">
        <v>23</v>
      </c>
      <c r="R159">
        <v>6.24</v>
      </c>
      <c r="U159">
        <f>H159*(1-N159%)</f>
        <v>25.888959999999997</v>
      </c>
      <c r="V159">
        <f>U159*I159</f>
        <v>1579.2265599999998</v>
      </c>
      <c r="W159" t="e">
        <f>#REF!-V159</f>
        <v>#REF!</v>
      </c>
      <c r="X159" t="e">
        <f t="shared" si="2"/>
        <v>#REF!</v>
      </c>
    </row>
    <row r="160" spans="1:24" x14ac:dyDescent="0.3">
      <c r="A160">
        <v>1159</v>
      </c>
      <c r="B160" s="2">
        <v>44355</v>
      </c>
      <c r="C160" t="s">
        <v>56</v>
      </c>
      <c r="D160" t="s">
        <v>24</v>
      </c>
      <c r="E160" t="s">
        <v>25</v>
      </c>
      <c r="F160" t="s">
        <v>32</v>
      </c>
      <c r="G160" t="s">
        <v>40</v>
      </c>
      <c r="H160">
        <v>12.7</v>
      </c>
      <c r="I160">
        <v>62</v>
      </c>
      <c r="J160" s="1">
        <f>(H160*I160)+O160</f>
        <v>835.63</v>
      </c>
      <c r="K160" s="1">
        <f>(H160*I160)+O160-N160</f>
        <v>825.64</v>
      </c>
      <c r="L160">
        <v>352.64</v>
      </c>
      <c r="M160" t="s">
        <v>44</v>
      </c>
      <c r="N160">
        <v>9.99</v>
      </c>
      <c r="O160">
        <v>48.23</v>
      </c>
      <c r="P160">
        <v>1</v>
      </c>
      <c r="Q160">
        <v>17</v>
      </c>
      <c r="R160">
        <v>2.99</v>
      </c>
      <c r="U160">
        <f>H160*(1-N160%)</f>
        <v>11.43127</v>
      </c>
      <c r="V160">
        <f>U160*I160</f>
        <v>708.73874000000001</v>
      </c>
      <c r="W160" t="e">
        <f>#REF!-V160</f>
        <v>#REF!</v>
      </c>
      <c r="X160" t="e">
        <f t="shared" si="2"/>
        <v>#REF!</v>
      </c>
    </row>
    <row r="161" spans="1:24" x14ac:dyDescent="0.3">
      <c r="A161">
        <v>1160</v>
      </c>
      <c r="B161" s="2">
        <v>44356</v>
      </c>
      <c r="C161" t="s">
        <v>41</v>
      </c>
      <c r="D161" t="s">
        <v>55</v>
      </c>
      <c r="E161" t="s">
        <v>42</v>
      </c>
      <c r="F161" t="s">
        <v>26</v>
      </c>
      <c r="G161" t="s">
        <v>36</v>
      </c>
      <c r="H161">
        <v>54.63</v>
      </c>
      <c r="I161">
        <v>33</v>
      </c>
      <c r="J161" s="1">
        <f>(H161*I161)+O161</f>
        <v>1830.8100000000002</v>
      </c>
      <c r="K161" s="1">
        <f>(H161*I161)+O161-N161</f>
        <v>1827.91</v>
      </c>
      <c r="L161">
        <v>1238.5899999999999</v>
      </c>
      <c r="M161" t="s">
        <v>44</v>
      </c>
      <c r="N161">
        <v>2.9</v>
      </c>
      <c r="O161">
        <v>28.02</v>
      </c>
      <c r="P161">
        <v>4</v>
      </c>
      <c r="Q161">
        <v>1</v>
      </c>
      <c r="R161">
        <v>4.51</v>
      </c>
      <c r="U161">
        <f>H161*(1-N161%)</f>
        <v>53.045729999999999</v>
      </c>
      <c r="V161">
        <f>U161*I161</f>
        <v>1750.50909</v>
      </c>
      <c r="W161" t="e">
        <f>#REF!-V161</f>
        <v>#REF!</v>
      </c>
      <c r="X161" t="e">
        <f t="shared" si="2"/>
        <v>#REF!</v>
      </c>
    </row>
    <row r="162" spans="1:24" x14ac:dyDescent="0.3">
      <c r="A162">
        <v>1161</v>
      </c>
      <c r="B162" s="2">
        <v>44357</v>
      </c>
      <c r="C162" t="s">
        <v>33</v>
      </c>
      <c r="D162" t="s">
        <v>55</v>
      </c>
      <c r="E162" t="s">
        <v>42</v>
      </c>
      <c r="F162" t="s">
        <v>26</v>
      </c>
      <c r="G162" t="s">
        <v>40</v>
      </c>
      <c r="H162">
        <v>78.75</v>
      </c>
      <c r="I162">
        <v>18</v>
      </c>
      <c r="J162" s="1">
        <f>(H162*I162)+O162</f>
        <v>1429.13</v>
      </c>
      <c r="K162" s="1">
        <f>(H162*I162)+O162-N162</f>
        <v>1410.93</v>
      </c>
      <c r="L162">
        <v>948.75</v>
      </c>
      <c r="M162" t="s">
        <v>37</v>
      </c>
      <c r="N162">
        <v>18.2</v>
      </c>
      <c r="O162">
        <v>11.63</v>
      </c>
      <c r="P162">
        <v>1</v>
      </c>
      <c r="Q162">
        <v>28</v>
      </c>
      <c r="R162">
        <v>0.84</v>
      </c>
      <c r="U162">
        <f>H162*(1-N162%)</f>
        <v>64.417500000000004</v>
      </c>
      <c r="V162">
        <f>U162*I162</f>
        <v>1159.5150000000001</v>
      </c>
      <c r="W162" t="e">
        <f>#REF!-V162</f>
        <v>#REF!</v>
      </c>
      <c r="X162" t="e">
        <f t="shared" si="2"/>
        <v>#REF!</v>
      </c>
    </row>
    <row r="163" spans="1:24" x14ac:dyDescent="0.3">
      <c r="A163">
        <v>1162</v>
      </c>
      <c r="B163" s="2">
        <v>44358</v>
      </c>
      <c r="C163" t="s">
        <v>56</v>
      </c>
      <c r="D163" t="s">
        <v>49</v>
      </c>
      <c r="E163" t="s">
        <v>31</v>
      </c>
      <c r="F163" t="s">
        <v>26</v>
      </c>
      <c r="G163" t="s">
        <v>27</v>
      </c>
      <c r="H163">
        <v>43.78</v>
      </c>
      <c r="I163">
        <v>25</v>
      </c>
      <c r="J163" s="1">
        <f>(H163*I163)+O163</f>
        <v>1126.31</v>
      </c>
      <c r="K163" s="1">
        <f>(H163*I163)+O163-N163</f>
        <v>1119.57</v>
      </c>
      <c r="L163">
        <v>386.46</v>
      </c>
      <c r="M163" t="s">
        <v>37</v>
      </c>
      <c r="N163">
        <v>6.74</v>
      </c>
      <c r="O163">
        <v>31.81</v>
      </c>
      <c r="P163">
        <v>5</v>
      </c>
      <c r="Q163">
        <v>15</v>
      </c>
      <c r="R163">
        <v>8.24</v>
      </c>
      <c r="U163">
        <f>H163*(1-N163%)</f>
        <v>40.829228000000001</v>
      </c>
      <c r="V163">
        <f>U163*I163</f>
        <v>1020.7307000000001</v>
      </c>
      <c r="W163" t="e">
        <f>#REF!-V163</f>
        <v>#REF!</v>
      </c>
      <c r="X163" t="e">
        <f t="shared" si="2"/>
        <v>#REF!</v>
      </c>
    </row>
    <row r="164" spans="1:24" x14ac:dyDescent="0.3">
      <c r="A164">
        <v>1163</v>
      </c>
      <c r="B164" s="2">
        <v>44359</v>
      </c>
      <c r="C164" t="s">
        <v>23</v>
      </c>
      <c r="D164" t="s">
        <v>55</v>
      </c>
      <c r="E164" t="s">
        <v>35</v>
      </c>
      <c r="F164" t="s">
        <v>39</v>
      </c>
      <c r="G164" t="s">
        <v>53</v>
      </c>
      <c r="H164">
        <v>59.26</v>
      </c>
      <c r="I164">
        <v>68</v>
      </c>
      <c r="J164" s="1">
        <f>(H164*I164)+O164</f>
        <v>4113.62</v>
      </c>
      <c r="K164" s="1">
        <f>(H164*I164)+O164-N164</f>
        <v>4096.74</v>
      </c>
      <c r="L164">
        <v>231.97</v>
      </c>
      <c r="M164" t="s">
        <v>37</v>
      </c>
      <c r="N164">
        <v>16.88</v>
      </c>
      <c r="O164">
        <v>83.94</v>
      </c>
      <c r="P164">
        <v>1</v>
      </c>
      <c r="Q164">
        <v>12</v>
      </c>
      <c r="R164">
        <v>5.03</v>
      </c>
      <c r="U164">
        <f>H164*(1-N164%)</f>
        <v>49.256912</v>
      </c>
      <c r="V164">
        <f>U164*I164</f>
        <v>3349.4700160000002</v>
      </c>
      <c r="W164" t="e">
        <f>#REF!-V164</f>
        <v>#REF!</v>
      </c>
      <c r="X164" t="e">
        <f t="shared" si="2"/>
        <v>#REF!</v>
      </c>
    </row>
    <row r="165" spans="1:24" x14ac:dyDescent="0.3">
      <c r="A165">
        <v>1164</v>
      </c>
      <c r="B165" s="2">
        <v>44360</v>
      </c>
      <c r="C165" t="s">
        <v>33</v>
      </c>
      <c r="D165" t="s">
        <v>54</v>
      </c>
      <c r="E165" t="s">
        <v>31</v>
      </c>
      <c r="F165" t="s">
        <v>32</v>
      </c>
      <c r="G165" t="s">
        <v>50</v>
      </c>
      <c r="H165">
        <v>39.270000000000003</v>
      </c>
      <c r="I165">
        <v>89</v>
      </c>
      <c r="J165" s="1">
        <f>(H165*I165)+O165</f>
        <v>3535.55</v>
      </c>
      <c r="K165" s="1">
        <f>(H165*I165)+O165-N165</f>
        <v>3524.69</v>
      </c>
      <c r="L165">
        <v>211.84</v>
      </c>
      <c r="M165" t="s">
        <v>37</v>
      </c>
      <c r="N165">
        <v>10.86</v>
      </c>
      <c r="O165">
        <v>40.520000000000003</v>
      </c>
      <c r="P165">
        <v>5</v>
      </c>
      <c r="Q165">
        <v>14</v>
      </c>
      <c r="R165">
        <v>7.83</v>
      </c>
      <c r="U165">
        <f>H165*(1-N165%)</f>
        <v>35.005278000000004</v>
      </c>
      <c r="V165">
        <f>U165*I165</f>
        <v>3115.4697420000002</v>
      </c>
      <c r="W165" t="e">
        <f>#REF!-V165</f>
        <v>#REF!</v>
      </c>
      <c r="X165" t="e">
        <f t="shared" si="2"/>
        <v>#REF!</v>
      </c>
    </row>
    <row r="166" spans="1:24" x14ac:dyDescent="0.3">
      <c r="A166">
        <v>1165</v>
      </c>
      <c r="B166" s="2">
        <v>44361</v>
      </c>
      <c r="C166" t="s">
        <v>23</v>
      </c>
      <c r="D166" t="s">
        <v>46</v>
      </c>
      <c r="E166" t="s">
        <v>31</v>
      </c>
      <c r="F166" t="s">
        <v>26</v>
      </c>
      <c r="G166" t="s">
        <v>50</v>
      </c>
      <c r="H166">
        <v>51.17</v>
      </c>
      <c r="I166">
        <v>29</v>
      </c>
      <c r="J166" s="1">
        <f>(H166*I166)+O166</f>
        <v>1551.1000000000001</v>
      </c>
      <c r="K166" s="1">
        <f>(H166*I166)+O166-N166</f>
        <v>1543.7</v>
      </c>
      <c r="L166">
        <v>1341.89</v>
      </c>
      <c r="M166" t="s">
        <v>37</v>
      </c>
      <c r="N166">
        <v>7.4</v>
      </c>
      <c r="O166">
        <v>67.17</v>
      </c>
      <c r="P166">
        <v>2</v>
      </c>
      <c r="Q166">
        <v>12</v>
      </c>
      <c r="R166">
        <v>5.54</v>
      </c>
      <c r="U166">
        <f>H166*(1-N166%)</f>
        <v>47.383420000000001</v>
      </c>
      <c r="V166">
        <f>U166*I166</f>
        <v>1374.1191800000001</v>
      </c>
      <c r="W166" t="e">
        <f>#REF!-V166</f>
        <v>#REF!</v>
      </c>
      <c r="X166" t="e">
        <f t="shared" si="2"/>
        <v>#REF!</v>
      </c>
    </row>
    <row r="167" spans="1:24" x14ac:dyDescent="0.3">
      <c r="A167">
        <v>1166</v>
      </c>
      <c r="B167" s="2">
        <v>44362</v>
      </c>
      <c r="C167" t="s">
        <v>29</v>
      </c>
      <c r="D167" t="s">
        <v>34</v>
      </c>
      <c r="E167" t="s">
        <v>31</v>
      </c>
      <c r="F167" t="s">
        <v>39</v>
      </c>
      <c r="G167" t="s">
        <v>50</v>
      </c>
      <c r="H167">
        <v>50.41</v>
      </c>
      <c r="I167">
        <v>55</v>
      </c>
      <c r="J167" s="1">
        <f>(H167*I167)+O167</f>
        <v>2786.2799999999997</v>
      </c>
      <c r="K167" s="1">
        <f>(H167*I167)+O167-N167</f>
        <v>2770.5199999999995</v>
      </c>
      <c r="L167">
        <v>695.8</v>
      </c>
      <c r="M167" t="s">
        <v>28</v>
      </c>
      <c r="N167">
        <v>15.76</v>
      </c>
      <c r="O167">
        <v>13.73</v>
      </c>
      <c r="P167">
        <v>2</v>
      </c>
      <c r="Q167">
        <v>13</v>
      </c>
      <c r="R167">
        <v>1.4</v>
      </c>
      <c r="U167">
        <f>H167*(1-N167%)</f>
        <v>42.465384</v>
      </c>
      <c r="V167">
        <f>U167*I167</f>
        <v>2335.5961200000002</v>
      </c>
      <c r="W167" t="e">
        <f>#REF!-V167</f>
        <v>#REF!</v>
      </c>
      <c r="X167" t="e">
        <f t="shared" si="2"/>
        <v>#REF!</v>
      </c>
    </row>
    <row r="168" spans="1:24" x14ac:dyDescent="0.3">
      <c r="A168">
        <v>1167</v>
      </c>
      <c r="B168" s="2">
        <v>44363</v>
      </c>
      <c r="C168" t="s">
        <v>38</v>
      </c>
      <c r="D168" t="s">
        <v>34</v>
      </c>
      <c r="E168" t="s">
        <v>35</v>
      </c>
      <c r="F168" t="s">
        <v>26</v>
      </c>
      <c r="G168" t="s">
        <v>45</v>
      </c>
      <c r="H168">
        <v>13.15</v>
      </c>
      <c r="I168">
        <v>45</v>
      </c>
      <c r="J168" s="1">
        <f>(H168*I168)+O168</f>
        <v>632.83000000000004</v>
      </c>
      <c r="K168" s="1">
        <f>(H168*I168)+O168-N168</f>
        <v>622.6</v>
      </c>
      <c r="L168">
        <v>1314</v>
      </c>
      <c r="M168" t="s">
        <v>37</v>
      </c>
      <c r="N168">
        <v>10.23</v>
      </c>
      <c r="O168">
        <v>41.08</v>
      </c>
      <c r="P168">
        <v>2</v>
      </c>
      <c r="Q168">
        <v>13</v>
      </c>
      <c r="R168">
        <v>9.11</v>
      </c>
      <c r="U168">
        <f>H168*(1-N168%)</f>
        <v>11.804755</v>
      </c>
      <c r="V168">
        <f>U168*I168</f>
        <v>531.213975</v>
      </c>
      <c r="W168" t="e">
        <f>#REF!-V168</f>
        <v>#REF!</v>
      </c>
      <c r="X168" t="e">
        <f t="shared" si="2"/>
        <v>#REF!</v>
      </c>
    </row>
    <row r="169" spans="1:24" x14ac:dyDescent="0.3">
      <c r="A169">
        <v>1168</v>
      </c>
      <c r="B169" s="2">
        <v>44364</v>
      </c>
      <c r="C169" t="s">
        <v>56</v>
      </c>
      <c r="D169" t="s">
        <v>30</v>
      </c>
      <c r="E169" t="s">
        <v>35</v>
      </c>
      <c r="F169" t="s">
        <v>26</v>
      </c>
      <c r="G169" t="s">
        <v>36</v>
      </c>
      <c r="H169">
        <v>56.43</v>
      </c>
      <c r="I169">
        <v>24</v>
      </c>
      <c r="J169" s="1">
        <f>(H169*I169)+O169</f>
        <v>1377.77</v>
      </c>
      <c r="K169" s="1">
        <f>(H169*I169)+O169-N169</f>
        <v>1368.76</v>
      </c>
      <c r="L169">
        <v>807.18</v>
      </c>
      <c r="M169" t="s">
        <v>44</v>
      </c>
      <c r="N169">
        <v>9.01</v>
      </c>
      <c r="O169">
        <v>23.45</v>
      </c>
      <c r="P169">
        <v>1</v>
      </c>
      <c r="Q169">
        <v>23</v>
      </c>
      <c r="R169">
        <v>4.6500000000000004</v>
      </c>
      <c r="U169">
        <f>H169*(1-N169%)</f>
        <v>51.345657000000003</v>
      </c>
      <c r="V169">
        <f>U169*I169</f>
        <v>1232.295768</v>
      </c>
      <c r="W169" t="e">
        <f>#REF!-V169</f>
        <v>#REF!</v>
      </c>
      <c r="X169" t="e">
        <f t="shared" si="2"/>
        <v>#REF!</v>
      </c>
    </row>
    <row r="170" spans="1:24" x14ac:dyDescent="0.3">
      <c r="A170">
        <v>1169</v>
      </c>
      <c r="B170" s="2">
        <v>44365</v>
      </c>
      <c r="C170" t="s">
        <v>56</v>
      </c>
      <c r="D170" t="s">
        <v>34</v>
      </c>
      <c r="E170" t="s">
        <v>42</v>
      </c>
      <c r="F170" t="s">
        <v>32</v>
      </c>
      <c r="G170" t="s">
        <v>47</v>
      </c>
      <c r="H170">
        <v>53.3</v>
      </c>
      <c r="I170">
        <v>96</v>
      </c>
      <c r="J170" s="1">
        <f>(H170*I170)+O170</f>
        <v>5198.4299999999994</v>
      </c>
      <c r="K170" s="1">
        <f>(H170*I170)+O170-N170</f>
        <v>5186.2999999999993</v>
      </c>
      <c r="L170">
        <v>1057.5</v>
      </c>
      <c r="M170" t="s">
        <v>44</v>
      </c>
      <c r="N170">
        <v>12.13</v>
      </c>
      <c r="O170">
        <v>81.63</v>
      </c>
      <c r="P170">
        <v>4</v>
      </c>
      <c r="Q170">
        <v>22</v>
      </c>
      <c r="R170">
        <v>9.1199999999999992</v>
      </c>
      <c r="U170">
        <f>H170*(1-N170%)</f>
        <v>46.834710000000001</v>
      </c>
      <c r="V170">
        <f>U170*I170</f>
        <v>4496.1321600000001</v>
      </c>
      <c r="W170" t="e">
        <f>#REF!-V170</f>
        <v>#REF!</v>
      </c>
      <c r="X170" t="e">
        <f t="shared" si="2"/>
        <v>#REF!</v>
      </c>
    </row>
    <row r="171" spans="1:24" x14ac:dyDescent="0.3">
      <c r="A171">
        <v>1170</v>
      </c>
      <c r="B171" s="2">
        <v>44366</v>
      </c>
      <c r="C171" t="s">
        <v>23</v>
      </c>
      <c r="D171" t="s">
        <v>24</v>
      </c>
      <c r="E171" t="s">
        <v>31</v>
      </c>
      <c r="F171" t="s">
        <v>39</v>
      </c>
      <c r="G171" t="s">
        <v>27</v>
      </c>
      <c r="H171">
        <v>55.26</v>
      </c>
      <c r="I171">
        <v>54</v>
      </c>
      <c r="J171" s="1">
        <f>(H171*I171)+O171</f>
        <v>2991.0299999999997</v>
      </c>
      <c r="K171" s="1">
        <f>(H171*I171)+O171-N171</f>
        <v>2978.6699999999996</v>
      </c>
      <c r="L171">
        <v>58.36</v>
      </c>
      <c r="M171" t="s">
        <v>28</v>
      </c>
      <c r="N171">
        <v>12.36</v>
      </c>
      <c r="O171">
        <v>6.99</v>
      </c>
      <c r="P171">
        <v>1</v>
      </c>
      <c r="Q171">
        <v>25</v>
      </c>
      <c r="R171">
        <v>4.8499999999999996</v>
      </c>
      <c r="U171">
        <f>H171*(1-N171%)</f>
        <v>48.429864000000002</v>
      </c>
      <c r="V171">
        <f>U171*I171</f>
        <v>2615.2126560000002</v>
      </c>
      <c r="W171" t="e">
        <f>#REF!-V171</f>
        <v>#REF!</v>
      </c>
      <c r="X171" t="e">
        <f t="shared" si="2"/>
        <v>#REF!</v>
      </c>
    </row>
    <row r="172" spans="1:24" x14ac:dyDescent="0.3">
      <c r="A172">
        <v>1171</v>
      </c>
      <c r="B172" s="2">
        <v>44367</v>
      </c>
      <c r="C172" t="s">
        <v>57</v>
      </c>
      <c r="D172" t="s">
        <v>24</v>
      </c>
      <c r="E172" t="s">
        <v>31</v>
      </c>
      <c r="F172" t="s">
        <v>39</v>
      </c>
      <c r="G172" t="s">
        <v>40</v>
      </c>
      <c r="H172">
        <v>69.44</v>
      </c>
      <c r="I172">
        <v>10</v>
      </c>
      <c r="J172" s="1">
        <f>(H172*I172)+O172</f>
        <v>771.75</v>
      </c>
      <c r="K172" s="1">
        <f>(H172*I172)+O172-N172</f>
        <v>758.78</v>
      </c>
      <c r="L172">
        <v>674.49</v>
      </c>
      <c r="M172" t="s">
        <v>37</v>
      </c>
      <c r="N172">
        <v>12.97</v>
      </c>
      <c r="O172">
        <v>77.349999999999994</v>
      </c>
      <c r="P172">
        <v>1</v>
      </c>
      <c r="Q172">
        <v>4</v>
      </c>
      <c r="R172">
        <v>9.48</v>
      </c>
      <c r="U172">
        <f>H172*(1-N172%)</f>
        <v>60.433631999999996</v>
      </c>
      <c r="V172">
        <f>U172*I172</f>
        <v>604.33632</v>
      </c>
      <c r="W172" t="e">
        <f>#REF!-V172</f>
        <v>#REF!</v>
      </c>
      <c r="X172" t="e">
        <f t="shared" si="2"/>
        <v>#REF!</v>
      </c>
    </row>
    <row r="173" spans="1:24" x14ac:dyDescent="0.3">
      <c r="A173">
        <v>1172</v>
      </c>
      <c r="B173" s="2">
        <v>44368</v>
      </c>
      <c r="C173" t="s">
        <v>33</v>
      </c>
      <c r="D173" t="s">
        <v>49</v>
      </c>
      <c r="E173" t="s">
        <v>31</v>
      </c>
      <c r="F173" t="s">
        <v>32</v>
      </c>
      <c r="G173" t="s">
        <v>50</v>
      </c>
      <c r="H173">
        <v>17.93</v>
      </c>
      <c r="I173">
        <v>68</v>
      </c>
      <c r="J173" s="1">
        <f>(H173*I173)+O173</f>
        <v>1286.95</v>
      </c>
      <c r="K173" s="1">
        <f>(H173*I173)+O173-N173</f>
        <v>1284.19</v>
      </c>
      <c r="L173">
        <v>378.36</v>
      </c>
      <c r="M173" t="s">
        <v>28</v>
      </c>
      <c r="N173">
        <v>2.76</v>
      </c>
      <c r="O173">
        <v>67.709999999999994</v>
      </c>
      <c r="P173">
        <v>1</v>
      </c>
      <c r="Q173">
        <v>25</v>
      </c>
      <c r="R173">
        <v>7.03</v>
      </c>
      <c r="U173">
        <f>H173*(1-N173%)</f>
        <v>17.435131999999999</v>
      </c>
      <c r="V173">
        <f>U173*I173</f>
        <v>1185.588976</v>
      </c>
      <c r="W173" t="e">
        <f>#REF!-V173</f>
        <v>#REF!</v>
      </c>
      <c r="X173" t="e">
        <f t="shared" si="2"/>
        <v>#REF!</v>
      </c>
    </row>
    <row r="174" spans="1:24" x14ac:dyDescent="0.3">
      <c r="A174">
        <v>1173</v>
      </c>
      <c r="B174" s="2">
        <v>44369</v>
      </c>
      <c r="C174" t="s">
        <v>52</v>
      </c>
      <c r="D174" t="s">
        <v>46</v>
      </c>
      <c r="E174" t="s">
        <v>35</v>
      </c>
      <c r="F174" t="s">
        <v>39</v>
      </c>
      <c r="G174" t="s">
        <v>50</v>
      </c>
      <c r="H174">
        <v>4.8899999999999997</v>
      </c>
      <c r="I174">
        <v>94</v>
      </c>
      <c r="J174" s="1">
        <f>(H174*I174)+O174</f>
        <v>507.52</v>
      </c>
      <c r="K174" s="1">
        <f>(H174*I174)+O174-N174</f>
        <v>507.01</v>
      </c>
      <c r="L174">
        <v>1216.3499999999999</v>
      </c>
      <c r="M174" t="s">
        <v>37</v>
      </c>
      <c r="N174">
        <v>0.51</v>
      </c>
      <c r="O174">
        <v>47.86</v>
      </c>
      <c r="P174">
        <v>2</v>
      </c>
      <c r="Q174">
        <v>22</v>
      </c>
      <c r="R174">
        <v>3.33</v>
      </c>
      <c r="U174">
        <f>H174*(1-N174%)</f>
        <v>4.8650609999999999</v>
      </c>
      <c r="V174">
        <f>U174*I174</f>
        <v>457.31573399999996</v>
      </c>
      <c r="W174" t="e">
        <f>#REF!-V174</f>
        <v>#REF!</v>
      </c>
      <c r="X174" t="e">
        <f t="shared" si="2"/>
        <v>#REF!</v>
      </c>
    </row>
    <row r="175" spans="1:24" x14ac:dyDescent="0.3">
      <c r="A175">
        <v>1174</v>
      </c>
      <c r="B175" s="2">
        <v>44370</v>
      </c>
      <c r="C175" t="s">
        <v>56</v>
      </c>
      <c r="D175" t="s">
        <v>34</v>
      </c>
      <c r="E175" t="s">
        <v>31</v>
      </c>
      <c r="F175" t="s">
        <v>32</v>
      </c>
      <c r="G175" t="s">
        <v>45</v>
      </c>
      <c r="H175">
        <v>23.05</v>
      </c>
      <c r="I175">
        <v>18</v>
      </c>
      <c r="J175" s="1">
        <f>(H175*I175)+O175</f>
        <v>475.44000000000005</v>
      </c>
      <c r="K175" s="1">
        <f>(H175*I175)+O175-N175</f>
        <v>459.25000000000006</v>
      </c>
      <c r="L175">
        <v>144.41</v>
      </c>
      <c r="M175" t="s">
        <v>37</v>
      </c>
      <c r="N175">
        <v>16.190000000000001</v>
      </c>
      <c r="O175">
        <v>60.54</v>
      </c>
      <c r="P175">
        <v>3</v>
      </c>
      <c r="Q175">
        <v>27</v>
      </c>
      <c r="R175">
        <v>3.81</v>
      </c>
      <c r="U175">
        <f>H175*(1-N175%)</f>
        <v>19.318204999999999</v>
      </c>
      <c r="V175">
        <f>U175*I175</f>
        <v>347.72769</v>
      </c>
      <c r="W175" t="e">
        <f>#REF!-V175</f>
        <v>#REF!</v>
      </c>
      <c r="X175" t="e">
        <f t="shared" si="2"/>
        <v>#REF!</v>
      </c>
    </row>
    <row r="176" spans="1:24" x14ac:dyDescent="0.3">
      <c r="A176">
        <v>1175</v>
      </c>
      <c r="B176" s="2">
        <v>44371</v>
      </c>
      <c r="C176" t="s">
        <v>29</v>
      </c>
      <c r="D176" t="s">
        <v>24</v>
      </c>
      <c r="E176" t="s">
        <v>42</v>
      </c>
      <c r="F176" t="s">
        <v>26</v>
      </c>
      <c r="G176" t="s">
        <v>53</v>
      </c>
      <c r="H176">
        <v>79.900000000000006</v>
      </c>
      <c r="I176">
        <v>29</v>
      </c>
      <c r="J176" s="1">
        <f>(H176*I176)+O176</f>
        <v>2347.3600000000006</v>
      </c>
      <c r="K176" s="1">
        <f>(H176*I176)+O176-N176</f>
        <v>2339.5300000000007</v>
      </c>
      <c r="L176">
        <v>135.66</v>
      </c>
      <c r="M176" t="s">
        <v>28</v>
      </c>
      <c r="N176">
        <v>7.83</v>
      </c>
      <c r="O176">
        <v>30.26</v>
      </c>
      <c r="P176">
        <v>5</v>
      </c>
      <c r="Q176">
        <v>12</v>
      </c>
      <c r="R176">
        <v>7.11</v>
      </c>
      <c r="U176">
        <f>H176*(1-N176%)</f>
        <v>73.643830000000008</v>
      </c>
      <c r="V176">
        <f>U176*I176</f>
        <v>2135.6710700000003</v>
      </c>
      <c r="W176" t="e">
        <f>#REF!-V176</f>
        <v>#REF!</v>
      </c>
      <c r="X176" t="e">
        <f t="shared" si="2"/>
        <v>#REF!</v>
      </c>
    </row>
    <row r="177" spans="1:24" x14ac:dyDescent="0.3">
      <c r="A177">
        <v>1176</v>
      </c>
      <c r="B177" s="2">
        <v>44372</v>
      </c>
      <c r="C177" t="s">
        <v>48</v>
      </c>
      <c r="D177" t="s">
        <v>24</v>
      </c>
      <c r="E177" t="s">
        <v>25</v>
      </c>
      <c r="F177" t="s">
        <v>32</v>
      </c>
      <c r="G177" t="s">
        <v>53</v>
      </c>
      <c r="H177">
        <v>38.17</v>
      </c>
      <c r="I177">
        <v>36</v>
      </c>
      <c r="J177" s="1">
        <f>(H177*I177)+O177</f>
        <v>1419.95</v>
      </c>
      <c r="K177" s="1">
        <f>(H177*I177)+O177-N177</f>
        <v>1408.7</v>
      </c>
      <c r="L177">
        <v>225.34</v>
      </c>
      <c r="M177" t="s">
        <v>44</v>
      </c>
      <c r="N177">
        <v>11.25</v>
      </c>
      <c r="O177">
        <v>45.83</v>
      </c>
      <c r="P177">
        <v>2</v>
      </c>
      <c r="Q177">
        <v>29</v>
      </c>
      <c r="R177">
        <v>8.6</v>
      </c>
      <c r="U177">
        <f>H177*(1-N177%)</f>
        <v>33.875875000000001</v>
      </c>
      <c r="V177">
        <f>U177*I177</f>
        <v>1219.5315000000001</v>
      </c>
      <c r="W177" t="e">
        <f>#REF!-V177</f>
        <v>#REF!</v>
      </c>
      <c r="X177" t="e">
        <f t="shared" si="2"/>
        <v>#REF!</v>
      </c>
    </row>
    <row r="178" spans="1:24" x14ac:dyDescent="0.3">
      <c r="A178">
        <v>1177</v>
      </c>
      <c r="B178" s="2">
        <v>44373</v>
      </c>
      <c r="C178" t="s">
        <v>52</v>
      </c>
      <c r="D178" t="s">
        <v>58</v>
      </c>
      <c r="E178" t="s">
        <v>35</v>
      </c>
      <c r="F178" t="s">
        <v>26</v>
      </c>
      <c r="G178" t="s">
        <v>47</v>
      </c>
      <c r="H178">
        <v>60.93</v>
      </c>
      <c r="I178">
        <v>32</v>
      </c>
      <c r="J178" s="1">
        <f>(H178*I178)+O178</f>
        <v>2044.92</v>
      </c>
      <c r="K178" s="1">
        <f>(H178*I178)+O178-N178</f>
        <v>2027.41</v>
      </c>
      <c r="L178">
        <v>1139.33</v>
      </c>
      <c r="M178" t="s">
        <v>28</v>
      </c>
      <c r="N178">
        <v>17.510000000000002</v>
      </c>
      <c r="O178">
        <v>95.16</v>
      </c>
      <c r="P178">
        <v>3</v>
      </c>
      <c r="Q178">
        <v>23</v>
      </c>
      <c r="R178">
        <v>2.3199999999999998</v>
      </c>
      <c r="U178">
        <f>H178*(1-N178%)</f>
        <v>50.261156999999997</v>
      </c>
      <c r="V178">
        <f>U178*I178</f>
        <v>1608.3570239999999</v>
      </c>
      <c r="W178" t="e">
        <f>#REF!-V178</f>
        <v>#REF!</v>
      </c>
      <c r="X178" t="e">
        <f t="shared" si="2"/>
        <v>#REF!</v>
      </c>
    </row>
    <row r="179" spans="1:24" x14ac:dyDescent="0.3">
      <c r="A179">
        <v>1178</v>
      </c>
      <c r="B179" s="2">
        <v>44374</v>
      </c>
      <c r="C179" t="s">
        <v>38</v>
      </c>
      <c r="D179" t="s">
        <v>24</v>
      </c>
      <c r="E179" t="s">
        <v>31</v>
      </c>
      <c r="F179" t="s">
        <v>26</v>
      </c>
      <c r="G179" t="s">
        <v>53</v>
      </c>
      <c r="H179">
        <v>15.59</v>
      </c>
      <c r="I179">
        <v>20</v>
      </c>
      <c r="J179" s="1">
        <f>(H179*I179)+O179</f>
        <v>363.06</v>
      </c>
      <c r="K179" s="1">
        <f>(H179*I179)+O179-N179</f>
        <v>354.75</v>
      </c>
      <c r="L179">
        <v>333.11</v>
      </c>
      <c r="M179" t="s">
        <v>28</v>
      </c>
      <c r="N179">
        <v>8.31</v>
      </c>
      <c r="O179">
        <v>51.26</v>
      </c>
      <c r="P179">
        <v>3</v>
      </c>
      <c r="Q179">
        <v>7</v>
      </c>
      <c r="R179">
        <v>2.87</v>
      </c>
      <c r="U179">
        <f>H179*(1-N179%)</f>
        <v>14.294471000000001</v>
      </c>
      <c r="V179">
        <f>U179*I179</f>
        <v>285.88942000000003</v>
      </c>
      <c r="W179" t="e">
        <f>#REF!-V179</f>
        <v>#REF!</v>
      </c>
      <c r="X179" t="e">
        <f t="shared" si="2"/>
        <v>#REF!</v>
      </c>
    </row>
    <row r="180" spans="1:24" x14ac:dyDescent="0.3">
      <c r="A180">
        <v>1179</v>
      </c>
      <c r="B180" s="2">
        <v>44375</v>
      </c>
      <c r="C180" t="s">
        <v>52</v>
      </c>
      <c r="D180" t="s">
        <v>49</v>
      </c>
      <c r="E180" t="s">
        <v>35</v>
      </c>
      <c r="F180" t="s">
        <v>26</v>
      </c>
      <c r="G180" t="s">
        <v>40</v>
      </c>
      <c r="H180">
        <v>44.49</v>
      </c>
      <c r="I180">
        <v>12</v>
      </c>
      <c r="J180" s="1">
        <f>(H180*I180)+O180</f>
        <v>572.67999999999995</v>
      </c>
      <c r="K180" s="1">
        <f>(H180*I180)+O180-N180</f>
        <v>564.93999999999994</v>
      </c>
      <c r="L180">
        <v>835.33</v>
      </c>
      <c r="M180" t="s">
        <v>28</v>
      </c>
      <c r="N180">
        <v>7.74</v>
      </c>
      <c r="O180">
        <v>38.799999999999997</v>
      </c>
      <c r="P180">
        <v>1</v>
      </c>
      <c r="Q180">
        <v>20</v>
      </c>
      <c r="R180">
        <v>0.74</v>
      </c>
      <c r="U180">
        <f>H180*(1-N180%)</f>
        <v>41.046474000000003</v>
      </c>
      <c r="V180">
        <f>U180*I180</f>
        <v>492.55768800000004</v>
      </c>
      <c r="W180" t="e">
        <f>#REF!-V180</f>
        <v>#REF!</v>
      </c>
      <c r="X180" t="e">
        <f t="shared" si="2"/>
        <v>#REF!</v>
      </c>
    </row>
    <row r="181" spans="1:24" x14ac:dyDescent="0.3">
      <c r="A181">
        <v>1180</v>
      </c>
      <c r="B181" s="2">
        <v>44376</v>
      </c>
      <c r="C181" t="s">
        <v>51</v>
      </c>
      <c r="D181" t="s">
        <v>30</v>
      </c>
      <c r="E181" t="s">
        <v>25</v>
      </c>
      <c r="F181" t="s">
        <v>32</v>
      </c>
      <c r="G181" t="s">
        <v>27</v>
      </c>
      <c r="H181">
        <v>65.05</v>
      </c>
      <c r="I181">
        <v>88</v>
      </c>
      <c r="J181" s="1">
        <f>(H181*I181)+O181</f>
        <v>5796.7599999999993</v>
      </c>
      <c r="K181" s="1">
        <f>(H181*I181)+O181-N181</f>
        <v>5795.0499999999993</v>
      </c>
      <c r="L181">
        <v>704.43</v>
      </c>
      <c r="M181" t="s">
        <v>37</v>
      </c>
      <c r="N181">
        <v>1.71</v>
      </c>
      <c r="O181">
        <v>72.36</v>
      </c>
      <c r="P181">
        <v>4</v>
      </c>
      <c r="Q181">
        <v>15</v>
      </c>
      <c r="R181">
        <v>9.39</v>
      </c>
      <c r="U181">
        <f>H181*(1-N181%)</f>
        <v>63.937644999999996</v>
      </c>
      <c r="V181">
        <f>U181*I181</f>
        <v>5626.5127599999996</v>
      </c>
      <c r="W181" t="e">
        <f>#REF!-V181</f>
        <v>#REF!</v>
      </c>
      <c r="X181" t="e">
        <f t="shared" si="2"/>
        <v>#REF!</v>
      </c>
    </row>
    <row r="182" spans="1:24" x14ac:dyDescent="0.3">
      <c r="A182">
        <v>1181</v>
      </c>
      <c r="B182" s="2">
        <v>44377</v>
      </c>
      <c r="C182" t="s">
        <v>51</v>
      </c>
      <c r="D182" t="s">
        <v>54</v>
      </c>
      <c r="E182" t="s">
        <v>35</v>
      </c>
      <c r="F182" t="s">
        <v>39</v>
      </c>
      <c r="G182" t="s">
        <v>50</v>
      </c>
      <c r="H182">
        <v>62.6</v>
      </c>
      <c r="I182">
        <v>14</v>
      </c>
      <c r="J182" s="1">
        <f>(H182*I182)+O182</f>
        <v>909.83999999999992</v>
      </c>
      <c r="K182" s="1">
        <f>(H182*I182)+O182-N182</f>
        <v>903.4899999999999</v>
      </c>
      <c r="L182">
        <v>156.28</v>
      </c>
      <c r="M182" t="s">
        <v>44</v>
      </c>
      <c r="N182">
        <v>6.35</v>
      </c>
      <c r="O182">
        <v>33.44</v>
      </c>
      <c r="P182">
        <v>2</v>
      </c>
      <c r="Q182">
        <v>14</v>
      </c>
      <c r="R182">
        <v>2.93</v>
      </c>
      <c r="U182">
        <f>H182*(1-N182%)</f>
        <v>58.624900000000004</v>
      </c>
      <c r="V182">
        <f>U182*I182</f>
        <v>820.74860000000001</v>
      </c>
      <c r="W182" t="e">
        <f>#REF!-V182</f>
        <v>#REF!</v>
      </c>
      <c r="X182" t="e">
        <f t="shared" si="2"/>
        <v>#REF!</v>
      </c>
    </row>
    <row r="183" spans="1:24" x14ac:dyDescent="0.3">
      <c r="A183">
        <v>1182</v>
      </c>
      <c r="B183" s="2">
        <v>44378</v>
      </c>
      <c r="C183" t="s">
        <v>23</v>
      </c>
      <c r="D183" t="s">
        <v>30</v>
      </c>
      <c r="E183" t="s">
        <v>25</v>
      </c>
      <c r="F183" t="s">
        <v>39</v>
      </c>
      <c r="G183" t="s">
        <v>40</v>
      </c>
      <c r="H183">
        <v>68.069999999999993</v>
      </c>
      <c r="I183">
        <v>22</v>
      </c>
      <c r="J183" s="1">
        <f>(H183*I183)+O183</f>
        <v>1535.69</v>
      </c>
      <c r="K183" s="1">
        <f>(H183*I183)+O183-N183</f>
        <v>1523.3200000000002</v>
      </c>
      <c r="L183">
        <v>1052.03</v>
      </c>
      <c r="M183" t="s">
        <v>37</v>
      </c>
      <c r="N183">
        <v>12.37</v>
      </c>
      <c r="O183">
        <v>38.15</v>
      </c>
      <c r="P183">
        <v>2</v>
      </c>
      <c r="Q183">
        <v>23</v>
      </c>
      <c r="R183">
        <v>1.6</v>
      </c>
      <c r="U183">
        <f>H183*(1-N183%)</f>
        <v>59.649740999999992</v>
      </c>
      <c r="V183">
        <f>U183*I183</f>
        <v>1312.2943019999998</v>
      </c>
      <c r="W183" t="e">
        <f>#REF!-V183</f>
        <v>#REF!</v>
      </c>
      <c r="X183" t="e">
        <f t="shared" si="2"/>
        <v>#REF!</v>
      </c>
    </row>
    <row r="184" spans="1:24" x14ac:dyDescent="0.3">
      <c r="A184">
        <v>1183</v>
      </c>
      <c r="B184" s="2">
        <v>44379</v>
      </c>
      <c r="C184" t="s">
        <v>48</v>
      </c>
      <c r="D184" t="s">
        <v>54</v>
      </c>
      <c r="E184" t="s">
        <v>25</v>
      </c>
      <c r="F184" t="s">
        <v>26</v>
      </c>
      <c r="G184" t="s">
        <v>53</v>
      </c>
      <c r="H184">
        <v>73.56</v>
      </c>
      <c r="I184">
        <v>10</v>
      </c>
      <c r="J184" s="1">
        <f>(H184*I184)+O184</f>
        <v>819.18000000000006</v>
      </c>
      <c r="K184" s="1">
        <f>(H184*I184)+O184-N184</f>
        <v>799.7</v>
      </c>
      <c r="L184">
        <v>1283.18</v>
      </c>
      <c r="M184" t="s">
        <v>37</v>
      </c>
      <c r="N184">
        <v>19.48</v>
      </c>
      <c r="O184">
        <v>83.58</v>
      </c>
      <c r="P184">
        <v>1</v>
      </c>
      <c r="Q184">
        <v>25</v>
      </c>
      <c r="R184">
        <v>6.57</v>
      </c>
      <c r="U184">
        <f>H184*(1-N184%)</f>
        <v>59.230512000000004</v>
      </c>
      <c r="V184">
        <f>U184*I184</f>
        <v>592.30511999999999</v>
      </c>
      <c r="W184" t="e">
        <f>#REF!-V184</f>
        <v>#REF!</v>
      </c>
      <c r="X184" t="e">
        <f t="shared" si="2"/>
        <v>#REF!</v>
      </c>
    </row>
    <row r="185" spans="1:24" x14ac:dyDescent="0.3">
      <c r="A185">
        <v>1184</v>
      </c>
      <c r="B185" s="2">
        <v>44380</v>
      </c>
      <c r="C185" t="s">
        <v>23</v>
      </c>
      <c r="D185" t="s">
        <v>46</v>
      </c>
      <c r="E185" t="s">
        <v>25</v>
      </c>
      <c r="F185" t="s">
        <v>39</v>
      </c>
      <c r="G185" t="s">
        <v>43</v>
      </c>
      <c r="H185">
        <v>59.66</v>
      </c>
      <c r="I185">
        <v>78</v>
      </c>
      <c r="J185" s="1">
        <f>(H185*I185)+O185</f>
        <v>4707.0199999999995</v>
      </c>
      <c r="K185" s="1">
        <f>(H185*I185)+O185-N185</f>
        <v>4695.28</v>
      </c>
      <c r="L185">
        <v>1433.64</v>
      </c>
      <c r="M185" t="s">
        <v>37</v>
      </c>
      <c r="N185">
        <v>11.74</v>
      </c>
      <c r="O185">
        <v>53.54</v>
      </c>
      <c r="P185">
        <v>2</v>
      </c>
      <c r="Q185">
        <v>6</v>
      </c>
      <c r="R185">
        <v>5.92</v>
      </c>
      <c r="U185">
        <f>H185*(1-N185%)</f>
        <v>52.655915999999998</v>
      </c>
      <c r="V185">
        <f>U185*I185</f>
        <v>4107.1614479999998</v>
      </c>
      <c r="W185" t="e">
        <f>#REF!-V185</f>
        <v>#REF!</v>
      </c>
      <c r="X185" t="e">
        <f t="shared" si="2"/>
        <v>#REF!</v>
      </c>
    </row>
    <row r="186" spans="1:24" x14ac:dyDescent="0.3">
      <c r="A186">
        <v>1185</v>
      </c>
      <c r="B186" s="2">
        <v>44381</v>
      </c>
      <c r="C186" t="s">
        <v>57</v>
      </c>
      <c r="D186" t="s">
        <v>30</v>
      </c>
      <c r="E186" t="s">
        <v>31</v>
      </c>
      <c r="F186" t="s">
        <v>32</v>
      </c>
      <c r="G186" t="s">
        <v>50</v>
      </c>
      <c r="H186">
        <v>24.82</v>
      </c>
      <c r="I186">
        <v>35</v>
      </c>
      <c r="J186" s="1">
        <f>(H186*I186)+O186</f>
        <v>913.43000000000006</v>
      </c>
      <c r="K186" s="1">
        <f>(H186*I186)+O186-N186</f>
        <v>903.53000000000009</v>
      </c>
      <c r="L186">
        <v>1201.1400000000001</v>
      </c>
      <c r="M186" t="s">
        <v>44</v>
      </c>
      <c r="N186">
        <v>9.9</v>
      </c>
      <c r="O186">
        <v>44.73</v>
      </c>
      <c r="P186">
        <v>4</v>
      </c>
      <c r="Q186">
        <v>19</v>
      </c>
      <c r="R186">
        <v>9.39</v>
      </c>
      <c r="U186">
        <f>H186*(1-N186%)</f>
        <v>22.362819999999999</v>
      </c>
      <c r="V186">
        <f>U186*I186</f>
        <v>782.69869999999992</v>
      </c>
      <c r="W186" t="e">
        <f>#REF!-V186</f>
        <v>#REF!</v>
      </c>
      <c r="X186" t="e">
        <f t="shared" si="2"/>
        <v>#REF!</v>
      </c>
    </row>
    <row r="187" spans="1:24" x14ac:dyDescent="0.3">
      <c r="A187">
        <v>1186</v>
      </c>
      <c r="B187" s="2">
        <v>44382</v>
      </c>
      <c r="C187" t="s">
        <v>41</v>
      </c>
      <c r="D187" t="s">
        <v>30</v>
      </c>
      <c r="E187" t="s">
        <v>35</v>
      </c>
      <c r="F187" t="s">
        <v>32</v>
      </c>
      <c r="G187" t="s">
        <v>50</v>
      </c>
      <c r="H187">
        <v>61.73</v>
      </c>
      <c r="I187">
        <v>56</v>
      </c>
      <c r="J187" s="1">
        <f>(H187*I187)+O187</f>
        <v>3549.18</v>
      </c>
      <c r="K187" s="1">
        <f>(H187*I187)+O187-N187</f>
        <v>3544.12</v>
      </c>
      <c r="L187">
        <v>1318.64</v>
      </c>
      <c r="M187" t="s">
        <v>28</v>
      </c>
      <c r="N187">
        <v>5.0599999999999996</v>
      </c>
      <c r="O187">
        <v>92.3</v>
      </c>
      <c r="P187">
        <v>3</v>
      </c>
      <c r="Q187">
        <v>21</v>
      </c>
      <c r="R187">
        <v>4.4000000000000004</v>
      </c>
      <c r="U187">
        <f>H187*(1-N187%)</f>
        <v>58.606462000000001</v>
      </c>
      <c r="V187">
        <f>U187*I187</f>
        <v>3281.9618719999999</v>
      </c>
      <c r="W187" t="e">
        <f>#REF!-V187</f>
        <v>#REF!</v>
      </c>
      <c r="X187" t="e">
        <f t="shared" si="2"/>
        <v>#REF!</v>
      </c>
    </row>
    <row r="188" spans="1:24" x14ac:dyDescent="0.3">
      <c r="A188">
        <v>1187</v>
      </c>
      <c r="B188" s="2">
        <v>44383</v>
      </c>
      <c r="C188" t="s">
        <v>52</v>
      </c>
      <c r="D188" t="s">
        <v>30</v>
      </c>
      <c r="E188" t="s">
        <v>35</v>
      </c>
      <c r="F188" t="s">
        <v>32</v>
      </c>
      <c r="G188" t="s">
        <v>53</v>
      </c>
      <c r="H188">
        <v>67.23</v>
      </c>
      <c r="I188">
        <v>20</v>
      </c>
      <c r="J188" s="1">
        <f>(H188*I188)+O188</f>
        <v>1403.5000000000002</v>
      </c>
      <c r="K188" s="1">
        <f>(H188*I188)+O188-N188</f>
        <v>1399.7800000000002</v>
      </c>
      <c r="L188">
        <v>1221.79</v>
      </c>
      <c r="M188" t="s">
        <v>28</v>
      </c>
      <c r="N188">
        <v>3.72</v>
      </c>
      <c r="O188">
        <v>58.9</v>
      </c>
      <c r="P188">
        <v>3</v>
      </c>
      <c r="Q188">
        <v>13</v>
      </c>
      <c r="R188">
        <v>1</v>
      </c>
      <c r="U188">
        <f>H188*(1-N188%)</f>
        <v>64.729044000000002</v>
      </c>
      <c r="V188">
        <f>U188*I188</f>
        <v>1294.58088</v>
      </c>
      <c r="W188" t="e">
        <f>#REF!-V188</f>
        <v>#REF!</v>
      </c>
      <c r="X188" t="e">
        <f t="shared" si="2"/>
        <v>#REF!</v>
      </c>
    </row>
    <row r="189" spans="1:24" x14ac:dyDescent="0.3">
      <c r="A189">
        <v>1188</v>
      </c>
      <c r="B189" s="2">
        <v>44384</v>
      </c>
      <c r="C189" t="s">
        <v>38</v>
      </c>
      <c r="D189" t="s">
        <v>34</v>
      </c>
      <c r="E189" t="s">
        <v>42</v>
      </c>
      <c r="F189" t="s">
        <v>26</v>
      </c>
      <c r="G189" t="s">
        <v>40</v>
      </c>
      <c r="H189">
        <v>22.09</v>
      </c>
      <c r="I189">
        <v>10</v>
      </c>
      <c r="J189" s="1">
        <f>(H189*I189)+O189</f>
        <v>243.52</v>
      </c>
      <c r="K189" s="1">
        <f>(H189*I189)+O189-N189</f>
        <v>230.98000000000002</v>
      </c>
      <c r="L189">
        <v>510.19</v>
      </c>
      <c r="M189" t="s">
        <v>28</v>
      </c>
      <c r="N189">
        <v>12.54</v>
      </c>
      <c r="O189">
        <v>22.62</v>
      </c>
      <c r="P189">
        <v>4</v>
      </c>
      <c r="Q189">
        <v>1</v>
      </c>
      <c r="R189">
        <v>5.01</v>
      </c>
      <c r="U189">
        <f>H189*(1-N189%)</f>
        <v>19.319914000000001</v>
      </c>
      <c r="V189">
        <f>U189*I189</f>
        <v>193.19914</v>
      </c>
      <c r="W189" t="e">
        <f>#REF!-V189</f>
        <v>#REF!</v>
      </c>
      <c r="X189" t="e">
        <f t="shared" si="2"/>
        <v>#REF!</v>
      </c>
    </row>
    <row r="190" spans="1:24" x14ac:dyDescent="0.3">
      <c r="A190">
        <v>1189</v>
      </c>
      <c r="B190" s="2">
        <v>44385</v>
      </c>
      <c r="C190" t="s">
        <v>51</v>
      </c>
      <c r="D190" t="s">
        <v>55</v>
      </c>
      <c r="E190" t="s">
        <v>31</v>
      </c>
      <c r="F190" t="s">
        <v>26</v>
      </c>
      <c r="G190" t="s">
        <v>36</v>
      </c>
      <c r="H190">
        <v>80.930000000000007</v>
      </c>
      <c r="I190">
        <v>50</v>
      </c>
      <c r="J190" s="1">
        <f>(H190*I190)+O190</f>
        <v>4112.72</v>
      </c>
      <c r="K190" s="1">
        <f>(H190*I190)+O190-N190</f>
        <v>4097.8900000000003</v>
      </c>
      <c r="L190">
        <v>468.23</v>
      </c>
      <c r="M190" t="s">
        <v>28</v>
      </c>
      <c r="N190">
        <v>14.83</v>
      </c>
      <c r="O190">
        <v>66.22</v>
      </c>
      <c r="P190">
        <v>5</v>
      </c>
      <c r="Q190">
        <v>6</v>
      </c>
      <c r="R190">
        <v>3.56</v>
      </c>
      <c r="U190">
        <f>H190*(1-N190%)</f>
        <v>68.928081000000006</v>
      </c>
      <c r="V190">
        <f>U190*I190</f>
        <v>3446.4040500000001</v>
      </c>
      <c r="W190" t="e">
        <f>#REF!-V190</f>
        <v>#REF!</v>
      </c>
      <c r="X190" t="e">
        <f t="shared" si="2"/>
        <v>#REF!</v>
      </c>
    </row>
    <row r="191" spans="1:24" x14ac:dyDescent="0.3">
      <c r="A191">
        <v>1190</v>
      </c>
      <c r="B191" s="2">
        <v>44386</v>
      </c>
      <c r="C191" t="s">
        <v>29</v>
      </c>
      <c r="D191" t="s">
        <v>49</v>
      </c>
      <c r="E191" t="s">
        <v>35</v>
      </c>
      <c r="F191" t="s">
        <v>32</v>
      </c>
      <c r="G191" t="s">
        <v>40</v>
      </c>
      <c r="H191">
        <v>17.62</v>
      </c>
      <c r="I191">
        <v>52</v>
      </c>
      <c r="J191" s="1">
        <f>(H191*I191)+O191</f>
        <v>965.96</v>
      </c>
      <c r="K191" s="1">
        <f>(H191*I191)+O191-N191</f>
        <v>964.87</v>
      </c>
      <c r="L191">
        <v>1466.08</v>
      </c>
      <c r="M191" t="s">
        <v>44</v>
      </c>
      <c r="N191">
        <v>1.0900000000000001</v>
      </c>
      <c r="O191">
        <v>49.72</v>
      </c>
      <c r="P191">
        <v>4</v>
      </c>
      <c r="Q191">
        <v>15</v>
      </c>
      <c r="R191">
        <v>8.7799999999999994</v>
      </c>
      <c r="U191">
        <f>H191*(1-N191%)</f>
        <v>17.427942000000002</v>
      </c>
      <c r="V191">
        <f>U191*I191</f>
        <v>906.25298400000008</v>
      </c>
      <c r="W191" t="e">
        <f>#REF!-V191</f>
        <v>#REF!</v>
      </c>
      <c r="X191" t="e">
        <f t="shared" si="2"/>
        <v>#REF!</v>
      </c>
    </row>
    <row r="192" spans="1:24" x14ac:dyDescent="0.3">
      <c r="A192">
        <v>1191</v>
      </c>
      <c r="B192" s="2">
        <v>44387</v>
      </c>
      <c r="C192" t="s">
        <v>29</v>
      </c>
      <c r="D192" t="s">
        <v>58</v>
      </c>
      <c r="E192" t="s">
        <v>31</v>
      </c>
      <c r="F192" t="s">
        <v>26</v>
      </c>
      <c r="G192" t="s">
        <v>45</v>
      </c>
      <c r="H192">
        <v>24.48</v>
      </c>
      <c r="I192">
        <v>89</v>
      </c>
      <c r="J192" s="1">
        <f>(H192*I192)+O192</f>
        <v>2252.0800000000004</v>
      </c>
      <c r="K192" s="1">
        <f>(H192*I192)+O192-N192</f>
        <v>2245.2700000000004</v>
      </c>
      <c r="L192">
        <v>1227.82</v>
      </c>
      <c r="M192" t="s">
        <v>37</v>
      </c>
      <c r="N192">
        <v>6.81</v>
      </c>
      <c r="O192">
        <v>73.36</v>
      </c>
      <c r="P192">
        <v>2</v>
      </c>
      <c r="Q192">
        <v>24</v>
      </c>
      <c r="R192">
        <v>9.11</v>
      </c>
      <c r="U192">
        <f>H192*(1-N192%)</f>
        <v>22.812912000000001</v>
      </c>
      <c r="V192">
        <f>U192*I192</f>
        <v>2030.349168</v>
      </c>
      <c r="W192" t="e">
        <f>#REF!-V192</f>
        <v>#REF!</v>
      </c>
      <c r="X192" t="e">
        <f t="shared" si="2"/>
        <v>#REF!</v>
      </c>
    </row>
    <row r="193" spans="1:24" x14ac:dyDescent="0.3">
      <c r="A193">
        <v>1192</v>
      </c>
      <c r="B193" s="2">
        <v>44388</v>
      </c>
      <c r="C193" t="s">
        <v>51</v>
      </c>
      <c r="D193" t="s">
        <v>54</v>
      </c>
      <c r="E193" t="s">
        <v>25</v>
      </c>
      <c r="F193" t="s">
        <v>32</v>
      </c>
      <c r="G193" t="s">
        <v>53</v>
      </c>
      <c r="H193">
        <v>52.52</v>
      </c>
      <c r="I193">
        <v>52</v>
      </c>
      <c r="J193" s="1">
        <f>(H193*I193)+O193</f>
        <v>2790.73</v>
      </c>
      <c r="K193" s="1">
        <f>(H193*I193)+O193-N193</f>
        <v>2774.43</v>
      </c>
      <c r="L193">
        <v>815.45</v>
      </c>
      <c r="M193" t="s">
        <v>37</v>
      </c>
      <c r="N193">
        <v>16.3</v>
      </c>
      <c r="O193">
        <v>59.69</v>
      </c>
      <c r="P193">
        <v>3</v>
      </c>
      <c r="Q193">
        <v>24</v>
      </c>
      <c r="R193">
        <v>1.98</v>
      </c>
      <c r="U193">
        <f>H193*(1-N193%)</f>
        <v>43.959240000000001</v>
      </c>
      <c r="V193">
        <f>U193*I193</f>
        <v>2285.8804800000003</v>
      </c>
      <c r="W193" t="e">
        <f>#REF!-V193</f>
        <v>#REF!</v>
      </c>
      <c r="X193" t="e">
        <f t="shared" si="2"/>
        <v>#REF!</v>
      </c>
    </row>
    <row r="194" spans="1:24" x14ac:dyDescent="0.3">
      <c r="A194">
        <v>1193</v>
      </c>
      <c r="B194" s="2">
        <v>44389</v>
      </c>
      <c r="C194" t="s">
        <v>41</v>
      </c>
      <c r="D194" t="s">
        <v>24</v>
      </c>
      <c r="E194" t="s">
        <v>35</v>
      </c>
      <c r="F194" t="s">
        <v>26</v>
      </c>
      <c r="G194" t="s">
        <v>53</v>
      </c>
      <c r="H194">
        <v>60.76</v>
      </c>
      <c r="I194">
        <v>15</v>
      </c>
      <c r="J194" s="1">
        <f>(H194*I194)+O194</f>
        <v>1008.13</v>
      </c>
      <c r="K194" s="1">
        <f>(H194*I194)+O194-N194</f>
        <v>997.42</v>
      </c>
      <c r="L194">
        <v>1176.6600000000001</v>
      </c>
      <c r="M194" t="s">
        <v>28</v>
      </c>
      <c r="N194">
        <v>10.71</v>
      </c>
      <c r="O194">
        <v>96.73</v>
      </c>
      <c r="P194">
        <v>3</v>
      </c>
      <c r="Q194">
        <v>21</v>
      </c>
      <c r="R194">
        <v>5.52</v>
      </c>
      <c r="U194">
        <f>H194*(1-N194%)</f>
        <v>54.252603999999998</v>
      </c>
      <c r="V194">
        <f>U194*I194</f>
        <v>813.78905999999995</v>
      </c>
      <c r="W194" t="e">
        <f>#REF!-V194</f>
        <v>#REF!</v>
      </c>
      <c r="X194" t="e">
        <f t="shared" si="2"/>
        <v>#REF!</v>
      </c>
    </row>
    <row r="195" spans="1:24" x14ac:dyDescent="0.3">
      <c r="A195">
        <v>1194</v>
      </c>
      <c r="B195" s="2">
        <v>44390</v>
      </c>
      <c r="C195" t="s">
        <v>57</v>
      </c>
      <c r="D195" t="s">
        <v>58</v>
      </c>
      <c r="E195" t="s">
        <v>31</v>
      </c>
      <c r="F195" t="s">
        <v>32</v>
      </c>
      <c r="G195" t="s">
        <v>53</v>
      </c>
      <c r="H195">
        <v>29.73</v>
      </c>
      <c r="I195">
        <v>94</v>
      </c>
      <c r="J195" s="1">
        <f>(H195*I195)+O195</f>
        <v>2877.5299999999997</v>
      </c>
      <c r="K195" s="1">
        <f>(H195*I195)+O195-N195</f>
        <v>2861.29</v>
      </c>
      <c r="L195">
        <v>1208.9100000000001</v>
      </c>
      <c r="M195" t="s">
        <v>37</v>
      </c>
      <c r="N195">
        <v>16.239999999999998</v>
      </c>
      <c r="O195">
        <v>82.91</v>
      </c>
      <c r="P195">
        <v>1</v>
      </c>
      <c r="Q195">
        <v>3</v>
      </c>
      <c r="R195">
        <v>1.21</v>
      </c>
      <c r="U195">
        <f>H195*(1-N195%)</f>
        <v>24.901848000000001</v>
      </c>
      <c r="V195">
        <f>U195*I195</f>
        <v>2340.7737120000002</v>
      </c>
      <c r="W195" t="e">
        <f>#REF!-V195</f>
        <v>#REF!</v>
      </c>
      <c r="X195" t="e">
        <f t="shared" ref="X195:X258" si="3">(L195/W195)*100</f>
        <v>#REF!</v>
      </c>
    </row>
    <row r="196" spans="1:24" x14ac:dyDescent="0.3">
      <c r="A196">
        <v>1195</v>
      </c>
      <c r="B196" s="2">
        <v>44391</v>
      </c>
      <c r="C196" t="s">
        <v>38</v>
      </c>
      <c r="D196" t="s">
        <v>55</v>
      </c>
      <c r="E196" t="s">
        <v>42</v>
      </c>
      <c r="F196" t="s">
        <v>26</v>
      </c>
      <c r="G196" t="s">
        <v>36</v>
      </c>
      <c r="H196">
        <v>69.17</v>
      </c>
      <c r="I196">
        <v>29</v>
      </c>
      <c r="J196" s="1">
        <f>(H196*I196)+O196</f>
        <v>2099.48</v>
      </c>
      <c r="K196" s="1">
        <f>(H196*I196)+O196-N196</f>
        <v>2093.14</v>
      </c>
      <c r="L196">
        <v>792.28</v>
      </c>
      <c r="M196" t="s">
        <v>28</v>
      </c>
      <c r="N196">
        <v>6.34</v>
      </c>
      <c r="O196">
        <v>93.55</v>
      </c>
      <c r="P196">
        <v>3</v>
      </c>
      <c r="Q196">
        <v>11</v>
      </c>
      <c r="R196">
        <v>5.87</v>
      </c>
      <c r="U196">
        <f>H196*(1-N196%)</f>
        <v>64.784621999999999</v>
      </c>
      <c r="V196">
        <f>U196*I196</f>
        <v>1878.754038</v>
      </c>
      <c r="W196" t="e">
        <f>#REF!-V196</f>
        <v>#REF!</v>
      </c>
      <c r="X196" t="e">
        <f t="shared" si="3"/>
        <v>#REF!</v>
      </c>
    </row>
    <row r="197" spans="1:24" x14ac:dyDescent="0.3">
      <c r="A197">
        <v>1196</v>
      </c>
      <c r="B197" s="2">
        <v>44392</v>
      </c>
      <c r="C197" t="s">
        <v>56</v>
      </c>
      <c r="D197" t="s">
        <v>34</v>
      </c>
      <c r="E197" t="s">
        <v>42</v>
      </c>
      <c r="F197" t="s">
        <v>39</v>
      </c>
      <c r="G197" t="s">
        <v>47</v>
      </c>
      <c r="H197">
        <v>61.02</v>
      </c>
      <c r="I197">
        <v>73</v>
      </c>
      <c r="J197" s="1">
        <f>(H197*I197)+O197</f>
        <v>4465.3999999999996</v>
      </c>
      <c r="K197" s="1">
        <f>(H197*I197)+O197-N197</f>
        <v>4448.6099999999997</v>
      </c>
      <c r="L197">
        <v>957.65</v>
      </c>
      <c r="M197" t="s">
        <v>44</v>
      </c>
      <c r="N197">
        <v>16.79</v>
      </c>
      <c r="O197">
        <v>10.94</v>
      </c>
      <c r="P197">
        <v>2</v>
      </c>
      <c r="Q197">
        <v>17</v>
      </c>
      <c r="R197">
        <v>8.67</v>
      </c>
      <c r="U197">
        <f>H197*(1-N197%)</f>
        <v>50.774742000000003</v>
      </c>
      <c r="V197">
        <f>U197*I197</f>
        <v>3706.5561660000003</v>
      </c>
      <c r="W197" t="e">
        <f>#REF!-V197</f>
        <v>#REF!</v>
      </c>
      <c r="X197" t="e">
        <f t="shared" si="3"/>
        <v>#REF!</v>
      </c>
    </row>
    <row r="198" spans="1:24" x14ac:dyDescent="0.3">
      <c r="A198">
        <v>1197</v>
      </c>
      <c r="B198" s="2">
        <v>44393</v>
      </c>
      <c r="C198" t="s">
        <v>38</v>
      </c>
      <c r="D198" t="s">
        <v>55</v>
      </c>
      <c r="E198" t="s">
        <v>42</v>
      </c>
      <c r="F198" t="s">
        <v>39</v>
      </c>
      <c r="G198" t="s">
        <v>43</v>
      </c>
      <c r="H198">
        <v>58.68</v>
      </c>
      <c r="I198">
        <v>50</v>
      </c>
      <c r="J198" s="1">
        <f>(H198*I198)+O198</f>
        <v>2948.77</v>
      </c>
      <c r="K198" s="1">
        <f>(H198*I198)+O198-N198</f>
        <v>2947.94</v>
      </c>
      <c r="L198">
        <v>484.16</v>
      </c>
      <c r="M198" t="s">
        <v>28</v>
      </c>
      <c r="N198">
        <v>0.83</v>
      </c>
      <c r="O198">
        <v>14.77</v>
      </c>
      <c r="P198">
        <v>4</v>
      </c>
      <c r="Q198">
        <v>17</v>
      </c>
      <c r="R198">
        <v>7.62</v>
      </c>
      <c r="U198">
        <f>H198*(1-N198%)</f>
        <v>58.192956000000002</v>
      </c>
      <c r="V198">
        <f>U198*I198</f>
        <v>2909.6478000000002</v>
      </c>
      <c r="W198" t="e">
        <f>#REF!-V198</f>
        <v>#REF!</v>
      </c>
      <c r="X198" t="e">
        <f t="shared" si="3"/>
        <v>#REF!</v>
      </c>
    </row>
    <row r="199" spans="1:24" x14ac:dyDescent="0.3">
      <c r="A199">
        <v>1198</v>
      </c>
      <c r="B199" s="2">
        <v>44394</v>
      </c>
      <c r="C199" t="s">
        <v>52</v>
      </c>
      <c r="D199" t="s">
        <v>58</v>
      </c>
      <c r="E199" t="s">
        <v>31</v>
      </c>
      <c r="F199" t="s">
        <v>26</v>
      </c>
      <c r="G199" t="s">
        <v>36</v>
      </c>
      <c r="H199">
        <v>17.809999999999999</v>
      </c>
      <c r="I199">
        <v>25</v>
      </c>
      <c r="J199" s="1">
        <f>(H199*I199)+O199</f>
        <v>453.54999999999995</v>
      </c>
      <c r="K199" s="1">
        <f>(H199*I199)+O199-N199</f>
        <v>453.50999999999993</v>
      </c>
      <c r="L199">
        <v>527.88</v>
      </c>
      <c r="M199" t="s">
        <v>37</v>
      </c>
      <c r="N199">
        <v>0.04</v>
      </c>
      <c r="O199">
        <v>8.3000000000000007</v>
      </c>
      <c r="P199">
        <v>5</v>
      </c>
      <c r="Q199">
        <v>4</v>
      </c>
      <c r="R199">
        <v>8.24</v>
      </c>
      <c r="U199">
        <f>H199*(1-N199%)</f>
        <v>17.802876000000001</v>
      </c>
      <c r="V199">
        <f>U199*I199</f>
        <v>445.07190000000003</v>
      </c>
      <c r="W199" t="e">
        <f>#REF!-V199</f>
        <v>#REF!</v>
      </c>
      <c r="X199" t="e">
        <f t="shared" si="3"/>
        <v>#REF!</v>
      </c>
    </row>
    <row r="200" spans="1:24" x14ac:dyDescent="0.3">
      <c r="A200">
        <v>1199</v>
      </c>
      <c r="B200" s="2">
        <v>44395</v>
      </c>
      <c r="C200" t="s">
        <v>57</v>
      </c>
      <c r="D200" t="s">
        <v>54</v>
      </c>
      <c r="E200" t="s">
        <v>25</v>
      </c>
      <c r="F200" t="s">
        <v>39</v>
      </c>
      <c r="G200" t="s">
        <v>43</v>
      </c>
      <c r="H200">
        <v>49.68</v>
      </c>
      <c r="I200">
        <v>78</v>
      </c>
      <c r="J200" s="1">
        <f>(H200*I200)+O200</f>
        <v>3966.15</v>
      </c>
      <c r="K200" s="1">
        <f>(H200*I200)+O200-N200</f>
        <v>3948.31</v>
      </c>
      <c r="L200">
        <v>818.69</v>
      </c>
      <c r="M200" t="s">
        <v>28</v>
      </c>
      <c r="N200">
        <v>17.84</v>
      </c>
      <c r="O200">
        <v>91.11</v>
      </c>
      <c r="P200">
        <v>2</v>
      </c>
      <c r="Q200">
        <v>21</v>
      </c>
      <c r="R200">
        <v>4.4800000000000004</v>
      </c>
      <c r="U200">
        <f>H200*(1-N200%)</f>
        <v>40.817087999999998</v>
      </c>
      <c r="V200">
        <f>U200*I200</f>
        <v>3183.7328640000001</v>
      </c>
      <c r="W200" t="e">
        <f>#REF!-V200</f>
        <v>#REF!</v>
      </c>
      <c r="X200" t="e">
        <f t="shared" si="3"/>
        <v>#REF!</v>
      </c>
    </row>
    <row r="201" spans="1:24" x14ac:dyDescent="0.3">
      <c r="A201">
        <v>1200</v>
      </c>
      <c r="B201" s="2">
        <v>44396</v>
      </c>
      <c r="C201" t="s">
        <v>48</v>
      </c>
      <c r="D201" t="s">
        <v>58</v>
      </c>
      <c r="E201" t="s">
        <v>42</v>
      </c>
      <c r="F201" t="s">
        <v>32</v>
      </c>
      <c r="G201" t="s">
        <v>36</v>
      </c>
      <c r="H201">
        <v>28.54</v>
      </c>
      <c r="I201">
        <v>68</v>
      </c>
      <c r="J201" s="1">
        <f>(H201*I201)+O201</f>
        <v>2008.66</v>
      </c>
      <c r="K201" s="1">
        <f>(H201*I201)+O201-N201</f>
        <v>1995.74</v>
      </c>
      <c r="L201">
        <v>620.82000000000005</v>
      </c>
      <c r="M201" t="s">
        <v>37</v>
      </c>
      <c r="N201">
        <v>12.92</v>
      </c>
      <c r="O201">
        <v>67.94</v>
      </c>
      <c r="P201">
        <v>1</v>
      </c>
      <c r="Q201">
        <v>9</v>
      </c>
      <c r="R201">
        <v>6.56</v>
      </c>
      <c r="U201">
        <f>H201*(1-N201%)</f>
        <v>24.852632</v>
      </c>
      <c r="V201">
        <f>U201*I201</f>
        <v>1689.9789759999999</v>
      </c>
      <c r="W201" t="e">
        <f>#REF!-V201</f>
        <v>#REF!</v>
      </c>
      <c r="X201" t="e">
        <f t="shared" si="3"/>
        <v>#REF!</v>
      </c>
    </row>
    <row r="202" spans="1:24" x14ac:dyDescent="0.3">
      <c r="A202">
        <v>1201</v>
      </c>
      <c r="B202" s="2">
        <v>44397</v>
      </c>
      <c r="C202" t="s">
        <v>33</v>
      </c>
      <c r="D202" t="s">
        <v>54</v>
      </c>
      <c r="E202" t="s">
        <v>35</v>
      </c>
      <c r="F202" t="s">
        <v>39</v>
      </c>
      <c r="G202" t="s">
        <v>45</v>
      </c>
      <c r="H202">
        <v>23.53</v>
      </c>
      <c r="I202">
        <v>88</v>
      </c>
      <c r="J202" s="1">
        <f>(H202*I202)+O202</f>
        <v>2165.5400000000004</v>
      </c>
      <c r="K202" s="1">
        <f>(H202*I202)+O202-N202</f>
        <v>2154.8000000000006</v>
      </c>
      <c r="L202">
        <v>1055.4100000000001</v>
      </c>
      <c r="M202" t="s">
        <v>37</v>
      </c>
      <c r="N202">
        <v>10.74</v>
      </c>
      <c r="O202">
        <v>94.9</v>
      </c>
      <c r="P202">
        <v>5</v>
      </c>
      <c r="Q202">
        <v>19</v>
      </c>
      <c r="R202">
        <v>2.4500000000000002</v>
      </c>
      <c r="U202">
        <f>H202*(1-N202%)</f>
        <v>21.002878000000003</v>
      </c>
      <c r="V202">
        <f>U202*I202</f>
        <v>1848.2532640000002</v>
      </c>
      <c r="W202" t="e">
        <f>#REF!-V202</f>
        <v>#REF!</v>
      </c>
      <c r="X202" t="e">
        <f t="shared" si="3"/>
        <v>#REF!</v>
      </c>
    </row>
    <row r="203" spans="1:24" x14ac:dyDescent="0.3">
      <c r="A203">
        <v>1202</v>
      </c>
      <c r="B203" s="2">
        <v>44398</v>
      </c>
      <c r="C203" t="s">
        <v>38</v>
      </c>
      <c r="D203" t="s">
        <v>34</v>
      </c>
      <c r="E203" t="s">
        <v>31</v>
      </c>
      <c r="F203" t="s">
        <v>39</v>
      </c>
      <c r="G203" t="s">
        <v>50</v>
      </c>
      <c r="H203">
        <v>79.52</v>
      </c>
      <c r="I203">
        <v>14</v>
      </c>
      <c r="J203" s="1">
        <f>(H203*I203)+O203</f>
        <v>1164.19</v>
      </c>
      <c r="K203" s="1">
        <f>(H203*I203)+O203-N203</f>
        <v>1158.98</v>
      </c>
      <c r="L203">
        <v>300.33999999999997</v>
      </c>
      <c r="M203" t="s">
        <v>28</v>
      </c>
      <c r="N203">
        <v>5.21</v>
      </c>
      <c r="O203">
        <v>50.91</v>
      </c>
      <c r="P203">
        <v>2</v>
      </c>
      <c r="Q203">
        <v>20</v>
      </c>
      <c r="R203">
        <v>0.77</v>
      </c>
      <c r="U203">
        <f>H203*(1-N203%)</f>
        <v>75.377007999999989</v>
      </c>
      <c r="V203">
        <f>U203*I203</f>
        <v>1055.278112</v>
      </c>
      <c r="W203" t="e">
        <f>#REF!-V203</f>
        <v>#REF!</v>
      </c>
      <c r="X203" t="e">
        <f t="shared" si="3"/>
        <v>#REF!</v>
      </c>
    </row>
    <row r="204" spans="1:24" x14ac:dyDescent="0.3">
      <c r="A204">
        <v>1203</v>
      </c>
      <c r="B204" s="2">
        <v>44399</v>
      </c>
      <c r="C204" t="s">
        <v>33</v>
      </c>
      <c r="D204" t="s">
        <v>46</v>
      </c>
      <c r="E204" t="s">
        <v>31</v>
      </c>
      <c r="F204" t="s">
        <v>39</v>
      </c>
      <c r="G204" t="s">
        <v>36</v>
      </c>
      <c r="H204">
        <v>14.69</v>
      </c>
      <c r="I204">
        <v>95</v>
      </c>
      <c r="J204" s="1">
        <f>(H204*I204)+O204</f>
        <v>1432.53</v>
      </c>
      <c r="K204" s="1">
        <f>(H204*I204)+O204-N204</f>
        <v>1421.55</v>
      </c>
      <c r="L204">
        <v>164.77</v>
      </c>
      <c r="M204" t="s">
        <v>28</v>
      </c>
      <c r="N204">
        <v>10.98</v>
      </c>
      <c r="O204">
        <v>36.979999999999997</v>
      </c>
      <c r="P204">
        <v>2</v>
      </c>
      <c r="Q204">
        <v>18</v>
      </c>
      <c r="R204">
        <v>5.4</v>
      </c>
      <c r="U204">
        <f>H204*(1-N204%)</f>
        <v>13.077038</v>
      </c>
      <c r="V204">
        <f>U204*I204</f>
        <v>1242.31861</v>
      </c>
      <c r="W204" t="e">
        <f>#REF!-V204</f>
        <v>#REF!</v>
      </c>
      <c r="X204" t="e">
        <f t="shared" si="3"/>
        <v>#REF!</v>
      </c>
    </row>
    <row r="205" spans="1:24" x14ac:dyDescent="0.3">
      <c r="A205">
        <v>1204</v>
      </c>
      <c r="B205" s="2">
        <v>44400</v>
      </c>
      <c r="C205" t="s">
        <v>38</v>
      </c>
      <c r="D205" t="s">
        <v>54</v>
      </c>
      <c r="E205" t="s">
        <v>35</v>
      </c>
      <c r="F205" t="s">
        <v>32</v>
      </c>
      <c r="G205" t="s">
        <v>45</v>
      </c>
      <c r="H205">
        <v>39.85</v>
      </c>
      <c r="I205">
        <v>86</v>
      </c>
      <c r="J205" s="1">
        <f>(H205*I205)+O205</f>
        <v>3468.94</v>
      </c>
      <c r="K205" s="1">
        <f>(H205*I205)+O205-N205</f>
        <v>3456.19</v>
      </c>
      <c r="L205">
        <v>927.78</v>
      </c>
      <c r="M205" t="s">
        <v>44</v>
      </c>
      <c r="N205">
        <v>12.75</v>
      </c>
      <c r="O205">
        <v>41.84</v>
      </c>
      <c r="P205">
        <v>2</v>
      </c>
      <c r="Q205">
        <v>23</v>
      </c>
      <c r="R205">
        <v>3.19</v>
      </c>
      <c r="U205">
        <f>H205*(1-N205%)</f>
        <v>34.769125000000003</v>
      </c>
      <c r="V205">
        <f>U205*I205</f>
        <v>2990.1447500000004</v>
      </c>
      <c r="W205" t="e">
        <f>#REF!-V205</f>
        <v>#REF!</v>
      </c>
      <c r="X205" t="e">
        <f t="shared" si="3"/>
        <v>#REF!</v>
      </c>
    </row>
    <row r="206" spans="1:24" x14ac:dyDescent="0.3">
      <c r="A206">
        <v>1205</v>
      </c>
      <c r="B206" s="2">
        <v>44401</v>
      </c>
      <c r="C206" t="s">
        <v>48</v>
      </c>
      <c r="D206" t="s">
        <v>49</v>
      </c>
      <c r="E206" t="s">
        <v>42</v>
      </c>
      <c r="F206" t="s">
        <v>26</v>
      </c>
      <c r="G206" t="s">
        <v>45</v>
      </c>
      <c r="H206">
        <v>55.01</v>
      </c>
      <c r="I206">
        <v>77</v>
      </c>
      <c r="J206" s="1">
        <f>(H206*I206)+O206</f>
        <v>4240.9299999999994</v>
      </c>
      <c r="K206" s="1">
        <f>(H206*I206)+O206-N206</f>
        <v>4233.74</v>
      </c>
      <c r="L206">
        <v>496.54</v>
      </c>
      <c r="M206" t="s">
        <v>44</v>
      </c>
      <c r="N206">
        <v>7.19</v>
      </c>
      <c r="O206">
        <v>5.16</v>
      </c>
      <c r="P206">
        <v>1</v>
      </c>
      <c r="Q206">
        <v>13</v>
      </c>
      <c r="R206">
        <v>2.36</v>
      </c>
      <c r="U206">
        <f>H206*(1-N206%)</f>
        <v>51.054780999999998</v>
      </c>
      <c r="V206">
        <f>U206*I206</f>
        <v>3931.2181369999998</v>
      </c>
      <c r="W206" t="e">
        <f>#REF!-V206</f>
        <v>#REF!</v>
      </c>
      <c r="X206" t="e">
        <f t="shared" si="3"/>
        <v>#REF!</v>
      </c>
    </row>
    <row r="207" spans="1:24" x14ac:dyDescent="0.3">
      <c r="A207">
        <v>1206</v>
      </c>
      <c r="B207" s="2">
        <v>44402</v>
      </c>
      <c r="C207" t="s">
        <v>41</v>
      </c>
      <c r="D207" t="s">
        <v>30</v>
      </c>
      <c r="E207" t="s">
        <v>25</v>
      </c>
      <c r="F207" t="s">
        <v>32</v>
      </c>
      <c r="G207" t="s">
        <v>47</v>
      </c>
      <c r="H207">
        <v>75.95</v>
      </c>
      <c r="I207">
        <v>69</v>
      </c>
      <c r="J207" s="1">
        <f>(H207*I207)+O207</f>
        <v>5254.6500000000005</v>
      </c>
      <c r="K207" s="1">
        <f>(H207*I207)+O207-N207</f>
        <v>5243.0400000000009</v>
      </c>
      <c r="L207">
        <v>862.57</v>
      </c>
      <c r="M207" t="s">
        <v>44</v>
      </c>
      <c r="N207">
        <v>11.61</v>
      </c>
      <c r="O207">
        <v>14.1</v>
      </c>
      <c r="P207">
        <v>3</v>
      </c>
      <c r="Q207">
        <v>6</v>
      </c>
      <c r="R207">
        <v>2.15</v>
      </c>
      <c r="U207">
        <f>H207*(1-N207%)</f>
        <v>67.132204999999999</v>
      </c>
      <c r="V207">
        <f>U207*I207</f>
        <v>4632.1221450000003</v>
      </c>
      <c r="W207" t="e">
        <f>#REF!-V207</f>
        <v>#REF!</v>
      </c>
      <c r="X207" t="e">
        <f t="shared" si="3"/>
        <v>#REF!</v>
      </c>
    </row>
    <row r="208" spans="1:24" x14ac:dyDescent="0.3">
      <c r="A208">
        <v>1207</v>
      </c>
      <c r="B208" s="2">
        <v>44403</v>
      </c>
      <c r="C208" t="s">
        <v>41</v>
      </c>
      <c r="D208" t="s">
        <v>58</v>
      </c>
      <c r="E208" t="s">
        <v>25</v>
      </c>
      <c r="F208" t="s">
        <v>26</v>
      </c>
      <c r="G208" t="s">
        <v>40</v>
      </c>
      <c r="H208">
        <v>56.6</v>
      </c>
      <c r="I208">
        <v>21</v>
      </c>
      <c r="J208" s="1">
        <f>(H208*I208)+O208</f>
        <v>1239.5300000000002</v>
      </c>
      <c r="K208" s="1">
        <f>(H208*I208)+O208-N208</f>
        <v>1220.4100000000003</v>
      </c>
      <c r="L208">
        <v>575.12</v>
      </c>
      <c r="M208" t="s">
        <v>37</v>
      </c>
      <c r="N208">
        <v>19.12</v>
      </c>
      <c r="O208">
        <v>50.93</v>
      </c>
      <c r="P208">
        <v>1</v>
      </c>
      <c r="Q208">
        <v>2</v>
      </c>
      <c r="R208">
        <v>4.46</v>
      </c>
      <c r="U208">
        <f>H208*(1-N208%)</f>
        <v>45.778079999999996</v>
      </c>
      <c r="V208">
        <f>U208*I208</f>
        <v>961.33967999999993</v>
      </c>
      <c r="W208" t="e">
        <f>#REF!-V208</f>
        <v>#REF!</v>
      </c>
      <c r="X208" t="e">
        <f t="shared" si="3"/>
        <v>#REF!</v>
      </c>
    </row>
    <row r="209" spans="1:24" x14ac:dyDescent="0.3">
      <c r="A209">
        <v>1208</v>
      </c>
      <c r="B209" s="2">
        <v>44404</v>
      </c>
      <c r="C209" t="s">
        <v>23</v>
      </c>
      <c r="D209" t="s">
        <v>58</v>
      </c>
      <c r="E209" t="s">
        <v>42</v>
      </c>
      <c r="F209" t="s">
        <v>26</v>
      </c>
      <c r="G209" t="s">
        <v>36</v>
      </c>
      <c r="H209">
        <v>21.54</v>
      </c>
      <c r="I209">
        <v>76</v>
      </c>
      <c r="J209" s="1">
        <f>(H209*I209)+O209</f>
        <v>1711.1499999999999</v>
      </c>
      <c r="K209" s="1">
        <f>(H209*I209)+O209-N209</f>
        <v>1696.04</v>
      </c>
      <c r="L209">
        <v>240.11</v>
      </c>
      <c r="M209" t="s">
        <v>44</v>
      </c>
      <c r="N209">
        <v>15.11</v>
      </c>
      <c r="O209">
        <v>74.11</v>
      </c>
      <c r="P209">
        <v>5</v>
      </c>
      <c r="Q209">
        <v>1</v>
      </c>
      <c r="R209">
        <v>1.93</v>
      </c>
      <c r="U209">
        <f>H209*(1-N209%)</f>
        <v>18.285305999999999</v>
      </c>
      <c r="V209">
        <f>U209*I209</f>
        <v>1389.6832559999998</v>
      </c>
      <c r="W209" t="e">
        <f>#REF!-V209</f>
        <v>#REF!</v>
      </c>
      <c r="X209" t="e">
        <f t="shared" si="3"/>
        <v>#REF!</v>
      </c>
    </row>
    <row r="210" spans="1:24" x14ac:dyDescent="0.3">
      <c r="A210">
        <v>1209</v>
      </c>
      <c r="B210" s="2">
        <v>44405</v>
      </c>
      <c r="C210" t="s">
        <v>56</v>
      </c>
      <c r="D210" t="s">
        <v>58</v>
      </c>
      <c r="E210" t="s">
        <v>35</v>
      </c>
      <c r="F210" t="s">
        <v>39</v>
      </c>
      <c r="G210" t="s">
        <v>47</v>
      </c>
      <c r="H210">
        <v>77.23</v>
      </c>
      <c r="I210">
        <v>41</v>
      </c>
      <c r="J210" s="1">
        <f>(H210*I210)+O210</f>
        <v>3178.1000000000004</v>
      </c>
      <c r="K210" s="1">
        <f>(H210*I210)+O210-N210</f>
        <v>3172.03</v>
      </c>
      <c r="L210">
        <v>1200.8</v>
      </c>
      <c r="M210" t="s">
        <v>37</v>
      </c>
      <c r="N210">
        <v>6.07</v>
      </c>
      <c r="O210">
        <v>11.67</v>
      </c>
      <c r="P210">
        <v>5</v>
      </c>
      <c r="Q210">
        <v>24</v>
      </c>
      <c r="R210">
        <v>8.81</v>
      </c>
      <c r="U210">
        <f>H210*(1-N210%)</f>
        <v>72.542139000000006</v>
      </c>
      <c r="V210">
        <f>U210*I210</f>
        <v>2974.227699</v>
      </c>
      <c r="W210" t="e">
        <f>#REF!-V210</f>
        <v>#REF!</v>
      </c>
      <c r="X210" t="e">
        <f t="shared" si="3"/>
        <v>#REF!</v>
      </c>
    </row>
    <row r="211" spans="1:24" x14ac:dyDescent="0.3">
      <c r="A211">
        <v>1210</v>
      </c>
      <c r="B211" s="2">
        <v>44406</v>
      </c>
      <c r="C211" t="s">
        <v>23</v>
      </c>
      <c r="D211" t="s">
        <v>55</v>
      </c>
      <c r="E211" t="s">
        <v>25</v>
      </c>
      <c r="F211" t="s">
        <v>26</v>
      </c>
      <c r="G211" t="s">
        <v>53</v>
      </c>
      <c r="H211">
        <v>42.76</v>
      </c>
      <c r="I211">
        <v>11</v>
      </c>
      <c r="J211" s="1">
        <f>(H211*I211)+O211</f>
        <v>490.02</v>
      </c>
      <c r="K211" s="1">
        <f>(H211*I211)+O211-N211</f>
        <v>472.27</v>
      </c>
      <c r="L211">
        <v>987.27</v>
      </c>
      <c r="M211" t="s">
        <v>28</v>
      </c>
      <c r="N211">
        <v>17.75</v>
      </c>
      <c r="O211">
        <v>19.66</v>
      </c>
      <c r="P211">
        <v>2</v>
      </c>
      <c r="Q211">
        <v>30</v>
      </c>
      <c r="R211">
        <v>8.83</v>
      </c>
      <c r="U211">
        <f>H211*(1-N211%)</f>
        <v>35.170099999999998</v>
      </c>
      <c r="V211">
        <f>U211*I211</f>
        <v>386.87109999999996</v>
      </c>
      <c r="W211" t="e">
        <f>#REF!-V211</f>
        <v>#REF!</v>
      </c>
      <c r="X211" t="e">
        <f t="shared" si="3"/>
        <v>#REF!</v>
      </c>
    </row>
    <row r="212" spans="1:24" x14ac:dyDescent="0.3">
      <c r="A212">
        <v>1211</v>
      </c>
      <c r="B212" s="2">
        <v>44407</v>
      </c>
      <c r="C212" t="s">
        <v>52</v>
      </c>
      <c r="D212" t="s">
        <v>24</v>
      </c>
      <c r="E212" t="s">
        <v>25</v>
      </c>
      <c r="F212" t="s">
        <v>39</v>
      </c>
      <c r="G212" t="s">
        <v>43</v>
      </c>
      <c r="H212">
        <v>62.64</v>
      </c>
      <c r="I212">
        <v>98</v>
      </c>
      <c r="J212" s="1">
        <f>(H212*I212)+O212</f>
        <v>6236.54</v>
      </c>
      <c r="K212" s="1">
        <f>(H212*I212)+O212-N212</f>
        <v>6220.42</v>
      </c>
      <c r="L212">
        <v>848.36</v>
      </c>
      <c r="M212" t="s">
        <v>37</v>
      </c>
      <c r="N212">
        <v>16.12</v>
      </c>
      <c r="O212">
        <v>97.82</v>
      </c>
      <c r="P212">
        <v>4</v>
      </c>
      <c r="Q212">
        <v>20</v>
      </c>
      <c r="R212">
        <v>3.58</v>
      </c>
      <c r="U212">
        <f>H212*(1-N212%)</f>
        <v>52.542431999999998</v>
      </c>
      <c r="V212">
        <f>U212*I212</f>
        <v>5149.1583359999995</v>
      </c>
      <c r="W212" t="e">
        <f>#REF!-V212</f>
        <v>#REF!</v>
      </c>
      <c r="X212" t="e">
        <f t="shared" si="3"/>
        <v>#REF!</v>
      </c>
    </row>
    <row r="213" spans="1:24" x14ac:dyDescent="0.3">
      <c r="A213">
        <v>1212</v>
      </c>
      <c r="B213" s="2">
        <v>44408</v>
      </c>
      <c r="C213" t="s">
        <v>48</v>
      </c>
      <c r="D213" t="s">
        <v>54</v>
      </c>
      <c r="E213" t="s">
        <v>25</v>
      </c>
      <c r="F213" t="s">
        <v>32</v>
      </c>
      <c r="G213" t="s">
        <v>43</v>
      </c>
      <c r="H213">
        <v>3.6</v>
      </c>
      <c r="I213">
        <v>96</v>
      </c>
      <c r="J213" s="1">
        <f>(H213*I213)+O213</f>
        <v>402.38</v>
      </c>
      <c r="K213" s="1">
        <f>(H213*I213)+O213-N213</f>
        <v>397.9</v>
      </c>
      <c r="L213">
        <v>313.27999999999997</v>
      </c>
      <c r="M213" t="s">
        <v>44</v>
      </c>
      <c r="N213">
        <v>4.4800000000000004</v>
      </c>
      <c r="O213">
        <v>56.78</v>
      </c>
      <c r="P213">
        <v>3</v>
      </c>
      <c r="Q213">
        <v>26</v>
      </c>
      <c r="R213">
        <v>6.64</v>
      </c>
      <c r="U213">
        <f>H213*(1-N213%)</f>
        <v>3.4387200000000004</v>
      </c>
      <c r="V213">
        <f>U213*I213</f>
        <v>330.11712000000006</v>
      </c>
      <c r="W213" t="e">
        <f>#REF!-V213</f>
        <v>#REF!</v>
      </c>
      <c r="X213" t="e">
        <f t="shared" si="3"/>
        <v>#REF!</v>
      </c>
    </row>
    <row r="214" spans="1:24" x14ac:dyDescent="0.3">
      <c r="A214">
        <v>1213</v>
      </c>
      <c r="B214" s="2">
        <v>44409</v>
      </c>
      <c r="C214" t="s">
        <v>41</v>
      </c>
      <c r="D214" t="s">
        <v>34</v>
      </c>
      <c r="E214" t="s">
        <v>42</v>
      </c>
      <c r="F214" t="s">
        <v>26</v>
      </c>
      <c r="G214" t="s">
        <v>27</v>
      </c>
      <c r="H214">
        <v>32.979999999999997</v>
      </c>
      <c r="I214">
        <v>48</v>
      </c>
      <c r="J214" s="1">
        <f>(H214*I214)+O214</f>
        <v>1637.77</v>
      </c>
      <c r="K214" s="1">
        <f>(H214*I214)+O214-N214</f>
        <v>1630.73</v>
      </c>
      <c r="L214">
        <v>439.23</v>
      </c>
      <c r="M214" t="s">
        <v>44</v>
      </c>
      <c r="N214">
        <v>7.04</v>
      </c>
      <c r="O214">
        <v>54.73</v>
      </c>
      <c r="P214">
        <v>5</v>
      </c>
      <c r="Q214">
        <v>28</v>
      </c>
      <c r="R214">
        <v>8.68</v>
      </c>
      <c r="U214">
        <f>H214*(1-N214%)</f>
        <v>30.658207999999995</v>
      </c>
      <c r="V214">
        <f>U214*I214</f>
        <v>1471.5939839999996</v>
      </c>
      <c r="W214" t="e">
        <f>#REF!-V214</f>
        <v>#REF!</v>
      </c>
      <c r="X214" t="e">
        <f t="shared" si="3"/>
        <v>#REF!</v>
      </c>
    </row>
    <row r="215" spans="1:24" x14ac:dyDescent="0.3">
      <c r="A215">
        <v>1214</v>
      </c>
      <c r="B215" s="2">
        <v>44410</v>
      </c>
      <c r="C215" t="s">
        <v>41</v>
      </c>
      <c r="D215" t="s">
        <v>58</v>
      </c>
      <c r="E215" t="s">
        <v>35</v>
      </c>
      <c r="F215" t="s">
        <v>26</v>
      </c>
      <c r="G215" t="s">
        <v>36</v>
      </c>
      <c r="H215">
        <v>17.260000000000002</v>
      </c>
      <c r="I215">
        <v>25</v>
      </c>
      <c r="J215" s="1">
        <f>(H215*I215)+O215</f>
        <v>456.82000000000005</v>
      </c>
      <c r="K215" s="1">
        <f>(H215*I215)+O215-N215</f>
        <v>452.24000000000007</v>
      </c>
      <c r="L215">
        <v>468.84</v>
      </c>
      <c r="M215" t="s">
        <v>28</v>
      </c>
      <c r="N215">
        <v>4.58</v>
      </c>
      <c r="O215">
        <v>25.32</v>
      </c>
      <c r="P215">
        <v>3</v>
      </c>
      <c r="Q215">
        <v>13</v>
      </c>
      <c r="R215">
        <v>8.4499999999999993</v>
      </c>
      <c r="U215">
        <f>H215*(1-N215%)</f>
        <v>16.469492000000002</v>
      </c>
      <c r="V215">
        <f>U215*I215</f>
        <v>411.73730000000006</v>
      </c>
      <c r="W215" t="e">
        <f>#REF!-V215</f>
        <v>#REF!</v>
      </c>
      <c r="X215" t="e">
        <f t="shared" si="3"/>
        <v>#REF!</v>
      </c>
    </row>
    <row r="216" spans="1:24" x14ac:dyDescent="0.3">
      <c r="A216">
        <v>1215</v>
      </c>
      <c r="B216" s="2">
        <v>44411</v>
      </c>
      <c r="C216" t="s">
        <v>38</v>
      </c>
      <c r="D216" t="s">
        <v>46</v>
      </c>
      <c r="E216" t="s">
        <v>35</v>
      </c>
      <c r="F216" t="s">
        <v>26</v>
      </c>
      <c r="G216" t="s">
        <v>40</v>
      </c>
      <c r="H216">
        <v>52.63</v>
      </c>
      <c r="I216">
        <v>12</v>
      </c>
      <c r="J216" s="1">
        <f>(H216*I216)+O216</f>
        <v>644.33000000000004</v>
      </c>
      <c r="K216" s="1">
        <f>(H216*I216)+O216-N216</f>
        <v>636.28000000000009</v>
      </c>
      <c r="L216">
        <v>725.42</v>
      </c>
      <c r="M216" t="s">
        <v>28</v>
      </c>
      <c r="N216">
        <v>8.0500000000000007</v>
      </c>
      <c r="O216">
        <v>12.77</v>
      </c>
      <c r="P216">
        <v>3</v>
      </c>
      <c r="Q216">
        <v>16</v>
      </c>
      <c r="R216">
        <v>9.06</v>
      </c>
      <c r="U216">
        <f>H216*(1-N216%)</f>
        <v>48.393284999999999</v>
      </c>
      <c r="V216">
        <f>U216*I216</f>
        <v>580.71942000000001</v>
      </c>
      <c r="W216" t="e">
        <f>#REF!-V216</f>
        <v>#REF!</v>
      </c>
      <c r="X216" t="e">
        <f t="shared" si="3"/>
        <v>#REF!</v>
      </c>
    </row>
    <row r="217" spans="1:24" x14ac:dyDescent="0.3">
      <c r="A217">
        <v>1216</v>
      </c>
      <c r="B217" s="2">
        <v>44412</v>
      </c>
      <c r="C217" t="s">
        <v>48</v>
      </c>
      <c r="D217" t="s">
        <v>54</v>
      </c>
      <c r="E217" t="s">
        <v>42</v>
      </c>
      <c r="F217" t="s">
        <v>26</v>
      </c>
      <c r="G217" t="s">
        <v>50</v>
      </c>
      <c r="H217">
        <v>41.69</v>
      </c>
      <c r="I217">
        <v>80</v>
      </c>
      <c r="J217" s="1">
        <f>(H217*I217)+O217</f>
        <v>3360.71</v>
      </c>
      <c r="K217" s="1">
        <f>(H217*I217)+O217-N217</f>
        <v>3343.4900000000002</v>
      </c>
      <c r="L217">
        <v>312.44</v>
      </c>
      <c r="M217" t="s">
        <v>44</v>
      </c>
      <c r="N217">
        <v>17.22</v>
      </c>
      <c r="O217">
        <v>25.51</v>
      </c>
      <c r="P217">
        <v>1</v>
      </c>
      <c r="Q217">
        <v>1</v>
      </c>
      <c r="R217">
        <v>3.8</v>
      </c>
      <c r="U217">
        <f>H217*(1-N217%)</f>
        <v>34.510981999999998</v>
      </c>
      <c r="V217">
        <f>U217*I217</f>
        <v>2760.8785600000001</v>
      </c>
      <c r="W217" t="e">
        <f>#REF!-V217</f>
        <v>#REF!</v>
      </c>
      <c r="X217" t="e">
        <f t="shared" si="3"/>
        <v>#REF!</v>
      </c>
    </row>
    <row r="218" spans="1:24" x14ac:dyDescent="0.3">
      <c r="A218">
        <v>1217</v>
      </c>
      <c r="B218" s="2">
        <v>44413</v>
      </c>
      <c r="C218" t="s">
        <v>41</v>
      </c>
      <c r="D218" t="s">
        <v>30</v>
      </c>
      <c r="E218" t="s">
        <v>25</v>
      </c>
      <c r="F218" t="s">
        <v>32</v>
      </c>
      <c r="G218" t="s">
        <v>47</v>
      </c>
      <c r="H218">
        <v>68.67</v>
      </c>
      <c r="I218">
        <v>69</v>
      </c>
      <c r="J218" s="1">
        <f>(H218*I218)+O218</f>
        <v>4787.1400000000003</v>
      </c>
      <c r="K218" s="1">
        <f>(H218*I218)+O218-N218</f>
        <v>4780.5200000000004</v>
      </c>
      <c r="L218">
        <v>1479.22</v>
      </c>
      <c r="M218" t="s">
        <v>44</v>
      </c>
      <c r="N218">
        <v>6.62</v>
      </c>
      <c r="O218">
        <v>48.91</v>
      </c>
      <c r="P218">
        <v>3</v>
      </c>
      <c r="Q218">
        <v>11</v>
      </c>
      <c r="R218">
        <v>6.83</v>
      </c>
      <c r="U218">
        <f>H218*(1-N218%)</f>
        <v>64.124045999999993</v>
      </c>
      <c r="V218">
        <f>U218*I218</f>
        <v>4424.5591739999991</v>
      </c>
      <c r="W218" t="e">
        <f>#REF!-V218</f>
        <v>#REF!</v>
      </c>
      <c r="X218" t="e">
        <f t="shared" si="3"/>
        <v>#REF!</v>
      </c>
    </row>
    <row r="219" spans="1:24" x14ac:dyDescent="0.3">
      <c r="A219">
        <v>1218</v>
      </c>
      <c r="B219" s="2">
        <v>44414</v>
      </c>
      <c r="C219" t="s">
        <v>29</v>
      </c>
      <c r="D219" t="s">
        <v>49</v>
      </c>
      <c r="E219" t="s">
        <v>42</v>
      </c>
      <c r="F219" t="s">
        <v>26</v>
      </c>
      <c r="G219" t="s">
        <v>47</v>
      </c>
      <c r="H219">
        <v>67.44</v>
      </c>
      <c r="I219">
        <v>24</v>
      </c>
      <c r="J219" s="1">
        <f>(H219*I219)+O219</f>
        <v>1714.6499999999999</v>
      </c>
      <c r="K219" s="1">
        <f>(H219*I219)+O219-N219</f>
        <v>1696.4199999999998</v>
      </c>
      <c r="L219">
        <v>97.84</v>
      </c>
      <c r="M219" t="s">
        <v>28</v>
      </c>
      <c r="N219">
        <v>18.23</v>
      </c>
      <c r="O219">
        <v>96.09</v>
      </c>
      <c r="P219">
        <v>3</v>
      </c>
      <c r="Q219">
        <v>28</v>
      </c>
      <c r="R219">
        <v>7.76</v>
      </c>
      <c r="U219">
        <f>H219*(1-N219%)</f>
        <v>55.145688</v>
      </c>
      <c r="V219">
        <f>U219*I219</f>
        <v>1323.4965119999999</v>
      </c>
      <c r="W219" t="e">
        <f>#REF!-V219</f>
        <v>#REF!</v>
      </c>
      <c r="X219" t="e">
        <f t="shared" si="3"/>
        <v>#REF!</v>
      </c>
    </row>
    <row r="220" spans="1:24" x14ac:dyDescent="0.3">
      <c r="A220">
        <v>1219</v>
      </c>
      <c r="B220" s="2">
        <v>44415</v>
      </c>
      <c r="C220" t="s">
        <v>48</v>
      </c>
      <c r="D220" t="s">
        <v>55</v>
      </c>
      <c r="E220" t="s">
        <v>25</v>
      </c>
      <c r="F220" t="s">
        <v>32</v>
      </c>
      <c r="G220" t="s">
        <v>27</v>
      </c>
      <c r="H220">
        <v>73.7</v>
      </c>
      <c r="I220">
        <v>40</v>
      </c>
      <c r="J220" s="1">
        <f>(H220*I220)+O220</f>
        <v>2964.93</v>
      </c>
      <c r="K220" s="1">
        <f>(H220*I220)+O220-N220</f>
        <v>2955.37</v>
      </c>
      <c r="L220">
        <v>418.36</v>
      </c>
      <c r="M220" t="s">
        <v>28</v>
      </c>
      <c r="N220">
        <v>9.56</v>
      </c>
      <c r="O220">
        <v>16.93</v>
      </c>
      <c r="P220">
        <v>2</v>
      </c>
      <c r="Q220">
        <v>15</v>
      </c>
      <c r="R220">
        <v>4.97</v>
      </c>
      <c r="U220">
        <f>H220*(1-N220%)</f>
        <v>66.65428</v>
      </c>
      <c r="V220">
        <f>U220*I220</f>
        <v>2666.1711999999998</v>
      </c>
      <c r="W220" t="e">
        <f>#REF!-V220</f>
        <v>#REF!</v>
      </c>
      <c r="X220" t="e">
        <f t="shared" si="3"/>
        <v>#REF!</v>
      </c>
    </row>
    <row r="221" spans="1:24" x14ac:dyDescent="0.3">
      <c r="A221">
        <v>1220</v>
      </c>
      <c r="B221" s="2">
        <v>44416</v>
      </c>
      <c r="C221" t="s">
        <v>56</v>
      </c>
      <c r="D221" t="s">
        <v>30</v>
      </c>
      <c r="E221" t="s">
        <v>35</v>
      </c>
      <c r="F221" t="s">
        <v>26</v>
      </c>
      <c r="G221" t="s">
        <v>45</v>
      </c>
      <c r="H221">
        <v>42.84</v>
      </c>
      <c r="I221">
        <v>58</v>
      </c>
      <c r="J221" s="1">
        <f>(H221*I221)+O221</f>
        <v>2546.6200000000003</v>
      </c>
      <c r="K221" s="1">
        <f>(H221*I221)+O221-N221</f>
        <v>2536.0300000000002</v>
      </c>
      <c r="L221">
        <v>669.56</v>
      </c>
      <c r="M221" t="s">
        <v>44</v>
      </c>
      <c r="N221">
        <v>10.59</v>
      </c>
      <c r="O221">
        <v>61.9</v>
      </c>
      <c r="P221">
        <v>2</v>
      </c>
      <c r="Q221">
        <v>9</v>
      </c>
      <c r="R221">
        <v>7.59</v>
      </c>
      <c r="U221">
        <f>H221*(1-N221%)</f>
        <v>38.303244000000007</v>
      </c>
      <c r="V221">
        <f>U221*I221</f>
        <v>2221.5881520000003</v>
      </c>
      <c r="W221" t="e">
        <f>#REF!-V221</f>
        <v>#REF!</v>
      </c>
      <c r="X221" t="e">
        <f t="shared" si="3"/>
        <v>#REF!</v>
      </c>
    </row>
    <row r="222" spans="1:24" x14ac:dyDescent="0.3">
      <c r="A222">
        <v>1221</v>
      </c>
      <c r="B222" s="2">
        <v>44417</v>
      </c>
      <c r="C222" t="s">
        <v>57</v>
      </c>
      <c r="D222" t="s">
        <v>49</v>
      </c>
      <c r="E222" t="s">
        <v>31</v>
      </c>
      <c r="F222" t="s">
        <v>39</v>
      </c>
      <c r="G222" t="s">
        <v>40</v>
      </c>
      <c r="H222">
        <v>48.15</v>
      </c>
      <c r="I222">
        <v>92</v>
      </c>
      <c r="J222" s="1">
        <f>(H222*I222)+O222</f>
        <v>4470.99</v>
      </c>
      <c r="K222" s="1">
        <f>(H222*I222)+O222-N222</f>
        <v>4458.91</v>
      </c>
      <c r="L222">
        <v>167.36</v>
      </c>
      <c r="M222" t="s">
        <v>37</v>
      </c>
      <c r="N222">
        <v>12.08</v>
      </c>
      <c r="O222">
        <v>41.19</v>
      </c>
      <c r="P222">
        <v>1</v>
      </c>
      <c r="Q222">
        <v>15</v>
      </c>
      <c r="R222">
        <v>8.8000000000000007</v>
      </c>
      <c r="U222">
        <f>H222*(1-N222%)</f>
        <v>42.333479999999994</v>
      </c>
      <c r="V222">
        <f>U222*I222</f>
        <v>3894.6801599999994</v>
      </c>
      <c r="W222" t="e">
        <f>#REF!-V222</f>
        <v>#REF!</v>
      </c>
      <c r="X222" t="e">
        <f t="shared" si="3"/>
        <v>#REF!</v>
      </c>
    </row>
    <row r="223" spans="1:24" x14ac:dyDescent="0.3">
      <c r="A223">
        <v>1222</v>
      </c>
      <c r="B223" s="2">
        <v>44418</v>
      </c>
      <c r="C223" t="s">
        <v>51</v>
      </c>
      <c r="D223" t="s">
        <v>30</v>
      </c>
      <c r="E223" t="s">
        <v>42</v>
      </c>
      <c r="F223" t="s">
        <v>26</v>
      </c>
      <c r="G223" t="s">
        <v>27</v>
      </c>
      <c r="H223">
        <v>45.85</v>
      </c>
      <c r="I223">
        <v>41</v>
      </c>
      <c r="J223" s="1">
        <f>(H223*I223)+O223</f>
        <v>1964.0700000000002</v>
      </c>
      <c r="K223" s="1">
        <f>(H223*I223)+O223-N223</f>
        <v>1961.0400000000002</v>
      </c>
      <c r="L223">
        <v>899.35</v>
      </c>
      <c r="M223" t="s">
        <v>44</v>
      </c>
      <c r="N223">
        <v>3.03</v>
      </c>
      <c r="O223">
        <v>84.22</v>
      </c>
      <c r="P223">
        <v>5</v>
      </c>
      <c r="Q223">
        <v>17</v>
      </c>
      <c r="R223">
        <v>7.6</v>
      </c>
      <c r="U223">
        <f>H223*(1-N223%)</f>
        <v>44.460745000000003</v>
      </c>
      <c r="V223">
        <f>U223*I223</f>
        <v>1822.8905450000002</v>
      </c>
      <c r="W223" t="e">
        <f>#REF!-V223</f>
        <v>#REF!</v>
      </c>
      <c r="X223" t="e">
        <f t="shared" si="3"/>
        <v>#REF!</v>
      </c>
    </row>
    <row r="224" spans="1:24" x14ac:dyDescent="0.3">
      <c r="A224">
        <v>1223</v>
      </c>
      <c r="B224" s="2">
        <v>44419</v>
      </c>
      <c r="C224" t="s">
        <v>52</v>
      </c>
      <c r="D224" t="s">
        <v>49</v>
      </c>
      <c r="E224" t="s">
        <v>25</v>
      </c>
      <c r="F224" t="s">
        <v>32</v>
      </c>
      <c r="G224" t="s">
        <v>50</v>
      </c>
      <c r="H224">
        <v>22.88</v>
      </c>
      <c r="I224">
        <v>53</v>
      </c>
      <c r="J224" s="1">
        <f>(H224*I224)+O224</f>
        <v>1271.7099999999998</v>
      </c>
      <c r="K224" s="1">
        <f>(H224*I224)+O224-N224</f>
        <v>1256.8899999999999</v>
      </c>
      <c r="L224">
        <v>881.73</v>
      </c>
      <c r="M224" t="s">
        <v>37</v>
      </c>
      <c r="N224">
        <v>14.82</v>
      </c>
      <c r="O224">
        <v>59.07</v>
      </c>
      <c r="P224">
        <v>3</v>
      </c>
      <c r="Q224">
        <v>16</v>
      </c>
      <c r="R224">
        <v>0.28999999999999998</v>
      </c>
      <c r="U224">
        <f>H224*(1-N224%)</f>
        <v>19.489183999999998</v>
      </c>
      <c r="V224">
        <f>U224*I224</f>
        <v>1032.9267519999999</v>
      </c>
      <c r="W224" t="e">
        <f>#REF!-V224</f>
        <v>#REF!</v>
      </c>
      <c r="X224" t="e">
        <f t="shared" si="3"/>
        <v>#REF!</v>
      </c>
    </row>
    <row r="225" spans="1:24" x14ac:dyDescent="0.3">
      <c r="A225">
        <v>1224</v>
      </c>
      <c r="B225" s="2">
        <v>44420</v>
      </c>
      <c r="C225" t="s">
        <v>38</v>
      </c>
      <c r="D225" t="s">
        <v>24</v>
      </c>
      <c r="E225" t="s">
        <v>42</v>
      </c>
      <c r="F225" t="s">
        <v>26</v>
      </c>
      <c r="G225" t="s">
        <v>36</v>
      </c>
      <c r="H225">
        <v>3.14</v>
      </c>
      <c r="I225">
        <v>50</v>
      </c>
      <c r="J225" s="1">
        <f>(H225*I225)+O225</f>
        <v>195.94</v>
      </c>
      <c r="K225" s="1">
        <f>(H225*I225)+O225-N225</f>
        <v>191.03</v>
      </c>
      <c r="L225">
        <v>702.98</v>
      </c>
      <c r="M225" t="s">
        <v>44</v>
      </c>
      <c r="N225">
        <v>4.91</v>
      </c>
      <c r="O225">
        <v>38.94</v>
      </c>
      <c r="P225">
        <v>5</v>
      </c>
      <c r="Q225">
        <v>22</v>
      </c>
      <c r="R225">
        <v>1.08</v>
      </c>
      <c r="U225">
        <f>H225*(1-N225%)</f>
        <v>2.9858259999999999</v>
      </c>
      <c r="V225">
        <f>U225*I225</f>
        <v>149.29130000000001</v>
      </c>
      <c r="W225" t="e">
        <f>#REF!-V225</f>
        <v>#REF!</v>
      </c>
      <c r="X225" t="e">
        <f t="shared" si="3"/>
        <v>#REF!</v>
      </c>
    </row>
    <row r="226" spans="1:24" x14ac:dyDescent="0.3">
      <c r="A226">
        <v>1225</v>
      </c>
      <c r="B226" s="2">
        <v>44421</v>
      </c>
      <c r="C226" t="s">
        <v>56</v>
      </c>
      <c r="D226" t="s">
        <v>34</v>
      </c>
      <c r="E226" t="s">
        <v>31</v>
      </c>
      <c r="F226" t="s">
        <v>39</v>
      </c>
      <c r="G226" t="s">
        <v>53</v>
      </c>
      <c r="H226">
        <v>46.92</v>
      </c>
      <c r="I226">
        <v>50</v>
      </c>
      <c r="J226" s="1">
        <f>(H226*I226)+O226</f>
        <v>2390.08</v>
      </c>
      <c r="K226" s="1">
        <f>(H226*I226)+O226-N226</f>
        <v>2373.64</v>
      </c>
      <c r="L226">
        <v>393.46</v>
      </c>
      <c r="M226" t="s">
        <v>37</v>
      </c>
      <c r="N226">
        <v>16.440000000000001</v>
      </c>
      <c r="O226">
        <v>44.08</v>
      </c>
      <c r="P226">
        <v>2</v>
      </c>
      <c r="Q226">
        <v>19</v>
      </c>
      <c r="R226">
        <v>9.6199999999999992</v>
      </c>
      <c r="U226">
        <f>H226*(1-N226%)</f>
        <v>39.206352000000003</v>
      </c>
      <c r="V226">
        <f>U226*I226</f>
        <v>1960.3176000000001</v>
      </c>
      <c r="W226" t="e">
        <f>#REF!-V226</f>
        <v>#REF!</v>
      </c>
      <c r="X226" t="e">
        <f t="shared" si="3"/>
        <v>#REF!</v>
      </c>
    </row>
    <row r="227" spans="1:24" x14ac:dyDescent="0.3">
      <c r="A227">
        <v>1226</v>
      </c>
      <c r="B227" s="2">
        <v>44422</v>
      </c>
      <c r="C227" t="s">
        <v>48</v>
      </c>
      <c r="D227" t="s">
        <v>58</v>
      </c>
      <c r="E227" t="s">
        <v>25</v>
      </c>
      <c r="F227" t="s">
        <v>32</v>
      </c>
      <c r="G227" t="s">
        <v>27</v>
      </c>
      <c r="H227">
        <v>23.65</v>
      </c>
      <c r="I227">
        <v>54</v>
      </c>
      <c r="J227" s="1">
        <f>(H227*I227)+O227</f>
        <v>1326.4299999999998</v>
      </c>
      <c r="K227" s="1">
        <f>(H227*I227)+O227-N227</f>
        <v>1308.5999999999999</v>
      </c>
      <c r="L227">
        <v>1286.6300000000001</v>
      </c>
      <c r="M227" t="s">
        <v>44</v>
      </c>
      <c r="N227">
        <v>17.829999999999998</v>
      </c>
      <c r="O227">
        <v>49.33</v>
      </c>
      <c r="P227">
        <v>1</v>
      </c>
      <c r="Q227">
        <v>8</v>
      </c>
      <c r="R227">
        <v>7.45</v>
      </c>
      <c r="U227">
        <f>H227*(1-N227%)</f>
        <v>19.433204999999997</v>
      </c>
      <c r="V227">
        <f>U227*I227</f>
        <v>1049.3930699999999</v>
      </c>
      <c r="W227" t="e">
        <f>#REF!-V227</f>
        <v>#REF!</v>
      </c>
      <c r="X227" t="e">
        <f t="shared" si="3"/>
        <v>#REF!</v>
      </c>
    </row>
    <row r="228" spans="1:24" x14ac:dyDescent="0.3">
      <c r="A228">
        <v>1227</v>
      </c>
      <c r="B228" s="2">
        <v>44423</v>
      </c>
      <c r="C228" t="s">
        <v>52</v>
      </c>
      <c r="D228" t="s">
        <v>54</v>
      </c>
      <c r="E228" t="s">
        <v>35</v>
      </c>
      <c r="F228" t="s">
        <v>26</v>
      </c>
      <c r="G228" t="s">
        <v>45</v>
      </c>
      <c r="H228">
        <v>77.14</v>
      </c>
      <c r="I228">
        <v>11</v>
      </c>
      <c r="J228" s="1">
        <f>(H228*I228)+O228</f>
        <v>896.55</v>
      </c>
      <c r="K228" s="1">
        <f>(H228*I228)+O228-N228</f>
        <v>882.27</v>
      </c>
      <c r="L228">
        <v>709.82</v>
      </c>
      <c r="M228" t="s">
        <v>44</v>
      </c>
      <c r="N228">
        <v>14.28</v>
      </c>
      <c r="O228">
        <v>48.01</v>
      </c>
      <c r="P228">
        <v>5</v>
      </c>
      <c r="Q228">
        <v>26</v>
      </c>
      <c r="R228">
        <v>4.88</v>
      </c>
      <c r="U228">
        <f>H228*(1-N228%)</f>
        <v>66.124408000000003</v>
      </c>
      <c r="V228">
        <f>U228*I228</f>
        <v>727.36848800000007</v>
      </c>
      <c r="W228" t="e">
        <f>#REF!-V228</f>
        <v>#REF!</v>
      </c>
      <c r="X228" t="e">
        <f t="shared" si="3"/>
        <v>#REF!</v>
      </c>
    </row>
    <row r="229" spans="1:24" x14ac:dyDescent="0.3">
      <c r="A229">
        <v>1228</v>
      </c>
      <c r="B229" s="2">
        <v>44424</v>
      </c>
      <c r="C229" t="s">
        <v>57</v>
      </c>
      <c r="D229" t="s">
        <v>24</v>
      </c>
      <c r="E229" t="s">
        <v>25</v>
      </c>
      <c r="F229" t="s">
        <v>39</v>
      </c>
      <c r="G229" t="s">
        <v>27</v>
      </c>
      <c r="H229">
        <v>64.55</v>
      </c>
      <c r="I229">
        <v>54</v>
      </c>
      <c r="J229" s="1">
        <f>(H229*I229)+O229</f>
        <v>3513.52</v>
      </c>
      <c r="K229" s="1">
        <f>(H229*I229)+O229-N229</f>
        <v>3504.91</v>
      </c>
      <c r="L229">
        <v>978.22</v>
      </c>
      <c r="M229" t="s">
        <v>37</v>
      </c>
      <c r="N229">
        <v>8.61</v>
      </c>
      <c r="O229">
        <v>27.82</v>
      </c>
      <c r="P229">
        <v>3</v>
      </c>
      <c r="Q229">
        <v>4</v>
      </c>
      <c r="R229">
        <v>3.69</v>
      </c>
      <c r="U229">
        <f>H229*(1-N229%)</f>
        <v>58.992244999999997</v>
      </c>
      <c r="V229">
        <f>U229*I229</f>
        <v>3185.5812299999998</v>
      </c>
      <c r="W229" t="e">
        <f>#REF!-V229</f>
        <v>#REF!</v>
      </c>
      <c r="X229" t="e">
        <f t="shared" si="3"/>
        <v>#REF!</v>
      </c>
    </row>
    <row r="230" spans="1:24" x14ac:dyDescent="0.3">
      <c r="A230">
        <v>1229</v>
      </c>
      <c r="B230" s="2">
        <v>44425</v>
      </c>
      <c r="C230" t="s">
        <v>57</v>
      </c>
      <c r="D230" t="s">
        <v>55</v>
      </c>
      <c r="E230" t="s">
        <v>31</v>
      </c>
      <c r="F230" t="s">
        <v>32</v>
      </c>
      <c r="G230" t="s">
        <v>50</v>
      </c>
      <c r="H230">
        <v>61.4</v>
      </c>
      <c r="I230">
        <v>33</v>
      </c>
      <c r="J230" s="1">
        <f>(H230*I230)+O230</f>
        <v>2074.42</v>
      </c>
      <c r="K230" s="1">
        <f>(H230*I230)+O230-N230</f>
        <v>2054.4900000000002</v>
      </c>
      <c r="L230">
        <v>935.48</v>
      </c>
      <c r="M230" t="s">
        <v>44</v>
      </c>
      <c r="N230">
        <v>19.93</v>
      </c>
      <c r="O230">
        <v>48.22</v>
      </c>
      <c r="P230">
        <v>3</v>
      </c>
      <c r="Q230">
        <v>5</v>
      </c>
      <c r="R230">
        <v>2.38</v>
      </c>
      <c r="U230">
        <f>H230*(1-N230%)</f>
        <v>49.162979999999997</v>
      </c>
      <c r="V230">
        <f>U230*I230</f>
        <v>1622.37834</v>
      </c>
      <c r="W230" t="e">
        <f>#REF!-V230</f>
        <v>#REF!</v>
      </c>
      <c r="X230" t="e">
        <f t="shared" si="3"/>
        <v>#REF!</v>
      </c>
    </row>
    <row r="231" spans="1:24" x14ac:dyDescent="0.3">
      <c r="A231">
        <v>1230</v>
      </c>
      <c r="B231" s="2">
        <v>44426</v>
      </c>
      <c r="C231" t="s">
        <v>33</v>
      </c>
      <c r="D231" t="s">
        <v>24</v>
      </c>
      <c r="E231" t="s">
        <v>25</v>
      </c>
      <c r="F231" t="s">
        <v>26</v>
      </c>
      <c r="G231" t="s">
        <v>53</v>
      </c>
      <c r="H231">
        <v>23.63</v>
      </c>
      <c r="I231">
        <v>10</v>
      </c>
      <c r="J231" s="1">
        <f>(H231*I231)+O231</f>
        <v>258.16999999999996</v>
      </c>
      <c r="K231" s="1">
        <f>(H231*I231)+O231-N231</f>
        <v>257.28999999999996</v>
      </c>
      <c r="L231">
        <v>515.54</v>
      </c>
      <c r="M231" t="s">
        <v>44</v>
      </c>
      <c r="N231">
        <v>0.88</v>
      </c>
      <c r="O231">
        <v>21.87</v>
      </c>
      <c r="P231">
        <v>2</v>
      </c>
      <c r="Q231">
        <v>25</v>
      </c>
      <c r="R231">
        <v>0.01</v>
      </c>
      <c r="U231">
        <f>H231*(1-N231%)</f>
        <v>23.422055999999998</v>
      </c>
      <c r="V231">
        <f>U231*I231</f>
        <v>234.22055999999998</v>
      </c>
      <c r="W231" t="e">
        <f>#REF!-V231</f>
        <v>#REF!</v>
      </c>
      <c r="X231" t="e">
        <f t="shared" si="3"/>
        <v>#REF!</v>
      </c>
    </row>
    <row r="232" spans="1:24" x14ac:dyDescent="0.3">
      <c r="A232">
        <v>1231</v>
      </c>
      <c r="B232" s="2">
        <v>44427</v>
      </c>
      <c r="C232" t="s">
        <v>23</v>
      </c>
      <c r="D232" t="s">
        <v>34</v>
      </c>
      <c r="E232" t="s">
        <v>35</v>
      </c>
      <c r="F232" t="s">
        <v>26</v>
      </c>
      <c r="G232" t="s">
        <v>40</v>
      </c>
      <c r="H232">
        <v>70.739999999999995</v>
      </c>
      <c r="I232">
        <v>18</v>
      </c>
      <c r="J232" s="1">
        <f>(H232*I232)+O232</f>
        <v>1301.73</v>
      </c>
      <c r="K232" s="1">
        <f>(H232*I232)+O232-N232</f>
        <v>1281.81</v>
      </c>
      <c r="L232">
        <v>909.53</v>
      </c>
      <c r="M232" t="s">
        <v>28</v>
      </c>
      <c r="N232">
        <v>19.920000000000002</v>
      </c>
      <c r="O232">
        <v>28.41</v>
      </c>
      <c r="P232">
        <v>4</v>
      </c>
      <c r="Q232">
        <v>21</v>
      </c>
      <c r="R232">
        <v>6.55</v>
      </c>
      <c r="U232">
        <f>H232*(1-N232%)</f>
        <v>56.648591999999994</v>
      </c>
      <c r="V232">
        <f>U232*I232</f>
        <v>1019.6746559999999</v>
      </c>
      <c r="W232" t="e">
        <f>#REF!-V232</f>
        <v>#REF!</v>
      </c>
      <c r="X232" t="e">
        <f t="shared" si="3"/>
        <v>#REF!</v>
      </c>
    </row>
    <row r="233" spans="1:24" x14ac:dyDescent="0.3">
      <c r="A233">
        <v>1232</v>
      </c>
      <c r="B233" s="2">
        <v>44428</v>
      </c>
      <c r="C233" t="s">
        <v>52</v>
      </c>
      <c r="D233" t="s">
        <v>49</v>
      </c>
      <c r="E233" t="s">
        <v>25</v>
      </c>
      <c r="F233" t="s">
        <v>39</v>
      </c>
      <c r="G233" t="s">
        <v>27</v>
      </c>
      <c r="H233">
        <v>41.48</v>
      </c>
      <c r="I233">
        <v>59</v>
      </c>
      <c r="J233" s="1">
        <f>(H233*I233)+O233</f>
        <v>2474.4499999999998</v>
      </c>
      <c r="K233" s="1">
        <f>(H233*I233)+O233-N233</f>
        <v>2473.6799999999998</v>
      </c>
      <c r="L233">
        <v>991.72</v>
      </c>
      <c r="M233" t="s">
        <v>37</v>
      </c>
      <c r="N233">
        <v>0.77</v>
      </c>
      <c r="O233">
        <v>27.13</v>
      </c>
      <c r="P233">
        <v>4</v>
      </c>
      <c r="Q233">
        <v>24</v>
      </c>
      <c r="R233">
        <v>2.42</v>
      </c>
      <c r="U233">
        <f>H233*(1-N233%)</f>
        <v>41.160603999999992</v>
      </c>
      <c r="V233">
        <f>U233*I233</f>
        <v>2428.4756359999997</v>
      </c>
      <c r="W233" t="e">
        <f>#REF!-V233</f>
        <v>#REF!</v>
      </c>
      <c r="X233" t="e">
        <f t="shared" si="3"/>
        <v>#REF!</v>
      </c>
    </row>
    <row r="234" spans="1:24" x14ac:dyDescent="0.3">
      <c r="A234">
        <v>1233</v>
      </c>
      <c r="B234" s="2">
        <v>44429</v>
      </c>
      <c r="C234" t="s">
        <v>52</v>
      </c>
      <c r="D234" t="s">
        <v>24</v>
      </c>
      <c r="E234" t="s">
        <v>31</v>
      </c>
      <c r="F234" t="s">
        <v>39</v>
      </c>
      <c r="G234" t="s">
        <v>43</v>
      </c>
      <c r="H234">
        <v>42.19</v>
      </c>
      <c r="I234">
        <v>97</v>
      </c>
      <c r="J234" s="1">
        <f>(H234*I234)+O234</f>
        <v>4132.58</v>
      </c>
      <c r="K234" s="1">
        <f>(H234*I234)+O234-N234</f>
        <v>4118.96</v>
      </c>
      <c r="L234">
        <v>184.08</v>
      </c>
      <c r="M234" t="s">
        <v>44</v>
      </c>
      <c r="N234">
        <v>13.62</v>
      </c>
      <c r="O234">
        <v>40.15</v>
      </c>
      <c r="P234">
        <v>1</v>
      </c>
      <c r="Q234">
        <v>11</v>
      </c>
      <c r="R234">
        <v>0.04</v>
      </c>
      <c r="U234">
        <f>H234*(1-N234%)</f>
        <v>36.443722000000001</v>
      </c>
      <c r="V234">
        <f>U234*I234</f>
        <v>3535.0410340000003</v>
      </c>
      <c r="W234" t="e">
        <f>#REF!-V234</f>
        <v>#REF!</v>
      </c>
      <c r="X234" t="e">
        <f t="shared" si="3"/>
        <v>#REF!</v>
      </c>
    </row>
    <row r="235" spans="1:24" x14ac:dyDescent="0.3">
      <c r="A235">
        <v>1234</v>
      </c>
      <c r="B235" s="2">
        <v>44430</v>
      </c>
      <c r="C235" t="s">
        <v>38</v>
      </c>
      <c r="D235" t="s">
        <v>46</v>
      </c>
      <c r="E235" t="s">
        <v>42</v>
      </c>
      <c r="F235" t="s">
        <v>39</v>
      </c>
      <c r="G235" t="s">
        <v>53</v>
      </c>
      <c r="H235">
        <v>15.94</v>
      </c>
      <c r="I235">
        <v>71</v>
      </c>
      <c r="J235" s="1">
        <f>(H235*I235)+O235</f>
        <v>1227.19</v>
      </c>
      <c r="K235" s="1">
        <f>(H235*I235)+O235-N235</f>
        <v>1224.96</v>
      </c>
      <c r="L235">
        <v>1079.8800000000001</v>
      </c>
      <c r="M235" t="s">
        <v>44</v>
      </c>
      <c r="N235">
        <v>2.23</v>
      </c>
      <c r="O235">
        <v>95.45</v>
      </c>
      <c r="P235">
        <v>1</v>
      </c>
      <c r="Q235">
        <v>16</v>
      </c>
      <c r="R235">
        <v>6.42</v>
      </c>
      <c r="U235">
        <f>H235*(1-N235%)</f>
        <v>15.584538</v>
      </c>
      <c r="V235">
        <f>U235*I235</f>
        <v>1106.5021979999999</v>
      </c>
      <c r="W235" t="e">
        <f>#REF!-V235</f>
        <v>#REF!</v>
      </c>
      <c r="X235" t="e">
        <f t="shared" si="3"/>
        <v>#REF!</v>
      </c>
    </row>
    <row r="236" spans="1:24" x14ac:dyDescent="0.3">
      <c r="A236">
        <v>1235</v>
      </c>
      <c r="B236" s="2">
        <v>44431</v>
      </c>
      <c r="C236" t="s">
        <v>33</v>
      </c>
      <c r="D236" t="s">
        <v>55</v>
      </c>
      <c r="E236" t="s">
        <v>35</v>
      </c>
      <c r="F236" t="s">
        <v>39</v>
      </c>
      <c r="G236" t="s">
        <v>43</v>
      </c>
      <c r="H236">
        <v>37.92</v>
      </c>
      <c r="I236">
        <v>81</v>
      </c>
      <c r="J236" s="1">
        <f>(H236*I236)+O236</f>
        <v>3087.5099999999998</v>
      </c>
      <c r="K236" s="1">
        <f>(H236*I236)+O236-N236</f>
        <v>3079.5299999999997</v>
      </c>
      <c r="L236">
        <v>448.03</v>
      </c>
      <c r="M236" t="s">
        <v>44</v>
      </c>
      <c r="N236">
        <v>7.98</v>
      </c>
      <c r="O236">
        <v>15.99</v>
      </c>
      <c r="P236">
        <v>3</v>
      </c>
      <c r="Q236">
        <v>21</v>
      </c>
      <c r="R236">
        <v>7.01</v>
      </c>
      <c r="U236">
        <f>H236*(1-N236%)</f>
        <v>34.893984000000003</v>
      </c>
      <c r="V236">
        <f>U236*I236</f>
        <v>2826.4127040000003</v>
      </c>
      <c r="W236" t="e">
        <f>#REF!-V236</f>
        <v>#REF!</v>
      </c>
      <c r="X236" t="e">
        <f t="shared" si="3"/>
        <v>#REF!</v>
      </c>
    </row>
    <row r="237" spans="1:24" x14ac:dyDescent="0.3">
      <c r="A237">
        <v>1236</v>
      </c>
      <c r="B237" s="2">
        <v>44432</v>
      </c>
      <c r="C237" t="s">
        <v>56</v>
      </c>
      <c r="D237" t="s">
        <v>46</v>
      </c>
      <c r="E237" t="s">
        <v>31</v>
      </c>
      <c r="F237" t="s">
        <v>26</v>
      </c>
      <c r="G237" t="s">
        <v>40</v>
      </c>
      <c r="H237">
        <v>75.88</v>
      </c>
      <c r="I237">
        <v>68</v>
      </c>
      <c r="J237" s="1">
        <f>(H237*I237)+O237</f>
        <v>5200.68</v>
      </c>
      <c r="K237" s="1">
        <f>(H237*I237)+O237-N237</f>
        <v>5196</v>
      </c>
      <c r="L237">
        <v>1053.9000000000001</v>
      </c>
      <c r="M237" t="s">
        <v>37</v>
      </c>
      <c r="N237">
        <v>4.68</v>
      </c>
      <c r="O237">
        <v>40.840000000000003</v>
      </c>
      <c r="P237">
        <v>5</v>
      </c>
      <c r="Q237">
        <v>14</v>
      </c>
      <c r="R237">
        <v>6.47</v>
      </c>
      <c r="U237">
        <f>H237*(1-N237%)</f>
        <v>72.328816000000003</v>
      </c>
      <c r="V237">
        <f>U237*I237</f>
        <v>4918.3594880000001</v>
      </c>
      <c r="W237" t="e">
        <f>#REF!-V237</f>
        <v>#REF!</v>
      </c>
      <c r="X237" t="e">
        <f t="shared" si="3"/>
        <v>#REF!</v>
      </c>
    </row>
    <row r="238" spans="1:24" x14ac:dyDescent="0.3">
      <c r="A238">
        <v>1237</v>
      </c>
      <c r="B238" s="2">
        <v>44433</v>
      </c>
      <c r="C238" t="s">
        <v>56</v>
      </c>
      <c r="D238" t="s">
        <v>30</v>
      </c>
      <c r="E238" t="s">
        <v>42</v>
      </c>
      <c r="F238" t="s">
        <v>26</v>
      </c>
      <c r="G238" t="s">
        <v>40</v>
      </c>
      <c r="H238">
        <v>59.4</v>
      </c>
      <c r="I238">
        <v>97</v>
      </c>
      <c r="J238" s="1">
        <f>(H238*I238)+O238</f>
        <v>5853.04</v>
      </c>
      <c r="K238" s="1">
        <f>(H238*I238)+O238-N238</f>
        <v>5839.42</v>
      </c>
      <c r="L238">
        <v>117.95</v>
      </c>
      <c r="M238" t="s">
        <v>28</v>
      </c>
      <c r="N238">
        <v>13.62</v>
      </c>
      <c r="O238">
        <v>91.24</v>
      </c>
      <c r="P238">
        <v>4</v>
      </c>
      <c r="Q238">
        <v>11</v>
      </c>
      <c r="R238">
        <v>7.03</v>
      </c>
      <c r="U238">
        <f>H238*(1-N238%)</f>
        <v>51.309719999999999</v>
      </c>
      <c r="V238">
        <f>U238*I238</f>
        <v>4977.0428400000001</v>
      </c>
      <c r="W238" t="e">
        <f>#REF!-V238</f>
        <v>#REF!</v>
      </c>
      <c r="X238" t="e">
        <f t="shared" si="3"/>
        <v>#REF!</v>
      </c>
    </row>
    <row r="239" spans="1:24" x14ac:dyDescent="0.3">
      <c r="A239">
        <v>1238</v>
      </c>
      <c r="B239" s="2">
        <v>44434</v>
      </c>
      <c r="C239" t="s">
        <v>56</v>
      </c>
      <c r="D239" t="s">
        <v>34</v>
      </c>
      <c r="E239" t="s">
        <v>31</v>
      </c>
      <c r="F239" t="s">
        <v>32</v>
      </c>
      <c r="G239" t="s">
        <v>36</v>
      </c>
      <c r="H239">
        <v>68.989999999999995</v>
      </c>
      <c r="I239">
        <v>91</v>
      </c>
      <c r="J239" s="1">
        <f>(H239*I239)+O239</f>
        <v>6340.1399999999994</v>
      </c>
      <c r="K239" s="1">
        <f>(H239*I239)+O239-N239</f>
        <v>6332.32</v>
      </c>
      <c r="L239">
        <v>769.95</v>
      </c>
      <c r="M239" t="s">
        <v>28</v>
      </c>
      <c r="N239">
        <v>7.82</v>
      </c>
      <c r="O239">
        <v>62.05</v>
      </c>
      <c r="P239">
        <v>4</v>
      </c>
      <c r="Q239">
        <v>29</v>
      </c>
      <c r="R239">
        <v>6.01</v>
      </c>
      <c r="U239">
        <f>H239*(1-N239%)</f>
        <v>63.594981999999995</v>
      </c>
      <c r="V239">
        <f>U239*I239</f>
        <v>5787.1433619999998</v>
      </c>
      <c r="W239" t="e">
        <f>#REF!-V239</f>
        <v>#REF!</v>
      </c>
      <c r="X239" t="e">
        <f t="shared" si="3"/>
        <v>#REF!</v>
      </c>
    </row>
    <row r="240" spans="1:24" x14ac:dyDescent="0.3">
      <c r="A240">
        <v>1239</v>
      </c>
      <c r="B240" s="2">
        <v>44435</v>
      </c>
      <c r="C240" t="s">
        <v>38</v>
      </c>
      <c r="D240" t="s">
        <v>49</v>
      </c>
      <c r="E240" t="s">
        <v>25</v>
      </c>
      <c r="F240" t="s">
        <v>32</v>
      </c>
      <c r="G240" t="s">
        <v>45</v>
      </c>
      <c r="H240">
        <v>23.81</v>
      </c>
      <c r="I240">
        <v>58</v>
      </c>
      <c r="J240" s="1">
        <f>(H240*I240)+O240</f>
        <v>1420.84</v>
      </c>
      <c r="K240" s="1">
        <f>(H240*I240)+O240-N240</f>
        <v>1415.8</v>
      </c>
      <c r="L240">
        <v>607.85</v>
      </c>
      <c r="M240" t="s">
        <v>37</v>
      </c>
      <c r="N240">
        <v>5.04</v>
      </c>
      <c r="O240">
        <v>39.86</v>
      </c>
      <c r="P240">
        <v>5</v>
      </c>
      <c r="Q240">
        <v>22</v>
      </c>
      <c r="R240">
        <v>1.96</v>
      </c>
      <c r="U240">
        <f>H240*(1-N240%)</f>
        <v>22.609976</v>
      </c>
      <c r="V240">
        <f>U240*I240</f>
        <v>1311.378608</v>
      </c>
      <c r="W240" t="e">
        <f>#REF!-V240</f>
        <v>#REF!</v>
      </c>
      <c r="X240" t="e">
        <f t="shared" si="3"/>
        <v>#REF!</v>
      </c>
    </row>
    <row r="241" spans="1:24" x14ac:dyDescent="0.3">
      <c r="A241">
        <v>1240</v>
      </c>
      <c r="B241" s="2">
        <v>44436</v>
      </c>
      <c r="C241" t="s">
        <v>51</v>
      </c>
      <c r="D241" t="s">
        <v>34</v>
      </c>
      <c r="E241" t="s">
        <v>35</v>
      </c>
      <c r="F241" t="s">
        <v>39</v>
      </c>
      <c r="G241" t="s">
        <v>43</v>
      </c>
      <c r="H241">
        <v>35.19</v>
      </c>
      <c r="I241">
        <v>68</v>
      </c>
      <c r="J241" s="1">
        <f>(H241*I241)+O241</f>
        <v>2471.4700000000003</v>
      </c>
      <c r="K241" s="1">
        <f>(H241*I241)+O241-N241</f>
        <v>2467.7300000000005</v>
      </c>
      <c r="L241">
        <v>282.81</v>
      </c>
      <c r="M241" t="s">
        <v>44</v>
      </c>
      <c r="N241">
        <v>3.74</v>
      </c>
      <c r="O241">
        <v>78.55</v>
      </c>
      <c r="P241">
        <v>1</v>
      </c>
      <c r="Q241">
        <v>9</v>
      </c>
      <c r="R241">
        <v>6.5</v>
      </c>
      <c r="U241">
        <f>H241*(1-N241%)</f>
        <v>33.873894</v>
      </c>
      <c r="V241">
        <f>U241*I241</f>
        <v>2303.4247919999998</v>
      </c>
      <c r="W241" t="e">
        <f>#REF!-V241</f>
        <v>#REF!</v>
      </c>
      <c r="X241" t="e">
        <f t="shared" si="3"/>
        <v>#REF!</v>
      </c>
    </row>
    <row r="242" spans="1:24" x14ac:dyDescent="0.3">
      <c r="A242">
        <v>1241</v>
      </c>
      <c r="B242" s="2">
        <v>44437</v>
      </c>
      <c r="C242" t="s">
        <v>56</v>
      </c>
      <c r="D242" t="s">
        <v>54</v>
      </c>
      <c r="E242" t="s">
        <v>31</v>
      </c>
      <c r="F242" t="s">
        <v>32</v>
      </c>
      <c r="G242" t="s">
        <v>43</v>
      </c>
      <c r="H242">
        <v>20.81</v>
      </c>
      <c r="I242">
        <v>45</v>
      </c>
      <c r="J242" s="1">
        <f>(H242*I242)+O242</f>
        <v>944.62999999999988</v>
      </c>
      <c r="K242" s="1">
        <f>(H242*I242)+O242-N242</f>
        <v>931.15999999999985</v>
      </c>
      <c r="L242">
        <v>370.21</v>
      </c>
      <c r="M242" t="s">
        <v>37</v>
      </c>
      <c r="N242">
        <v>13.47</v>
      </c>
      <c r="O242">
        <v>8.18</v>
      </c>
      <c r="P242">
        <v>2</v>
      </c>
      <c r="Q242">
        <v>10</v>
      </c>
      <c r="R242">
        <v>9.98</v>
      </c>
      <c r="U242">
        <f>H242*(1-N242%)</f>
        <v>18.006892999999998</v>
      </c>
      <c r="V242">
        <f>U242*I242</f>
        <v>810.31018499999993</v>
      </c>
      <c r="W242" t="e">
        <f>#REF!-V242</f>
        <v>#REF!</v>
      </c>
      <c r="X242" t="e">
        <f t="shared" si="3"/>
        <v>#REF!</v>
      </c>
    </row>
    <row r="243" spans="1:24" x14ac:dyDescent="0.3">
      <c r="A243">
        <v>1242</v>
      </c>
      <c r="B243" s="2">
        <v>44438</v>
      </c>
      <c r="C243" t="s">
        <v>48</v>
      </c>
      <c r="D243" t="s">
        <v>34</v>
      </c>
      <c r="E243" t="s">
        <v>35</v>
      </c>
      <c r="F243" t="s">
        <v>26</v>
      </c>
      <c r="G243" t="s">
        <v>45</v>
      </c>
      <c r="H243">
        <v>8.18</v>
      </c>
      <c r="I243">
        <v>63</v>
      </c>
      <c r="J243" s="1">
        <f>(H243*I243)+O243</f>
        <v>527.18000000000006</v>
      </c>
      <c r="K243" s="1">
        <f>(H243*I243)+O243-N243</f>
        <v>514.31000000000006</v>
      </c>
      <c r="L243">
        <v>1330.77</v>
      </c>
      <c r="M243" t="s">
        <v>28</v>
      </c>
      <c r="N243">
        <v>12.87</v>
      </c>
      <c r="O243">
        <v>11.84</v>
      </c>
      <c r="P243">
        <v>2</v>
      </c>
      <c r="Q243">
        <v>8</v>
      </c>
      <c r="R243">
        <v>6.46</v>
      </c>
      <c r="U243">
        <f>H243*(1-N243%)</f>
        <v>7.1272339999999996</v>
      </c>
      <c r="V243">
        <f>U243*I243</f>
        <v>449.01574199999999</v>
      </c>
      <c r="W243" t="e">
        <f>#REF!-V243</f>
        <v>#REF!</v>
      </c>
      <c r="X243" t="e">
        <f t="shared" si="3"/>
        <v>#REF!</v>
      </c>
    </row>
    <row r="244" spans="1:24" x14ac:dyDescent="0.3">
      <c r="A244">
        <v>1243</v>
      </c>
      <c r="B244" s="2">
        <v>44439</v>
      </c>
      <c r="C244" t="s">
        <v>52</v>
      </c>
      <c r="D244" t="s">
        <v>49</v>
      </c>
      <c r="E244" t="s">
        <v>42</v>
      </c>
      <c r="F244" t="s">
        <v>26</v>
      </c>
      <c r="G244" t="s">
        <v>53</v>
      </c>
      <c r="H244">
        <v>25.1</v>
      </c>
      <c r="I244">
        <v>51</v>
      </c>
      <c r="J244" s="1">
        <f>(H244*I244)+O244</f>
        <v>1327.8300000000002</v>
      </c>
      <c r="K244" s="1">
        <f>(H244*I244)+O244-N244</f>
        <v>1326.0100000000002</v>
      </c>
      <c r="L244">
        <v>796.86</v>
      </c>
      <c r="M244" t="s">
        <v>28</v>
      </c>
      <c r="N244">
        <v>1.82</v>
      </c>
      <c r="O244">
        <v>47.73</v>
      </c>
      <c r="P244">
        <v>2</v>
      </c>
      <c r="Q244">
        <v>15</v>
      </c>
      <c r="R244">
        <v>7.15</v>
      </c>
      <c r="U244">
        <f>H244*(1-N244%)</f>
        <v>24.643180000000001</v>
      </c>
      <c r="V244">
        <f>U244*I244</f>
        <v>1256.8021800000001</v>
      </c>
      <c r="W244" t="e">
        <f>#REF!-V244</f>
        <v>#REF!</v>
      </c>
      <c r="X244" t="e">
        <f t="shared" si="3"/>
        <v>#REF!</v>
      </c>
    </row>
    <row r="245" spans="1:24" x14ac:dyDescent="0.3">
      <c r="A245">
        <v>1244</v>
      </c>
      <c r="B245" s="2">
        <v>44440</v>
      </c>
      <c r="C245" t="s">
        <v>38</v>
      </c>
      <c r="D245" t="s">
        <v>54</v>
      </c>
      <c r="E245" t="s">
        <v>35</v>
      </c>
      <c r="F245" t="s">
        <v>32</v>
      </c>
      <c r="G245" t="s">
        <v>45</v>
      </c>
      <c r="H245">
        <v>20.73</v>
      </c>
      <c r="I245">
        <v>75</v>
      </c>
      <c r="J245" s="1">
        <f>(H245*I245)+O245</f>
        <v>1565.48</v>
      </c>
      <c r="K245" s="1">
        <f>(H245*I245)+O245-N245</f>
        <v>1563.2</v>
      </c>
      <c r="L245">
        <v>1162.6500000000001</v>
      </c>
      <c r="M245" t="s">
        <v>37</v>
      </c>
      <c r="N245">
        <v>2.2799999999999998</v>
      </c>
      <c r="O245">
        <v>10.73</v>
      </c>
      <c r="P245">
        <v>4</v>
      </c>
      <c r="Q245">
        <v>19</v>
      </c>
      <c r="R245">
        <v>6.4</v>
      </c>
      <c r="U245">
        <f>H245*(1-N245%)</f>
        <v>20.257355999999998</v>
      </c>
      <c r="V245">
        <f>U245*I245</f>
        <v>1519.3016999999998</v>
      </c>
      <c r="W245" t="e">
        <f>#REF!-V245</f>
        <v>#REF!</v>
      </c>
      <c r="X245" t="e">
        <f t="shared" si="3"/>
        <v>#REF!</v>
      </c>
    </row>
    <row r="246" spans="1:24" x14ac:dyDescent="0.3">
      <c r="A246">
        <v>1245</v>
      </c>
      <c r="B246" s="2">
        <v>44441</v>
      </c>
      <c r="C246" t="s">
        <v>33</v>
      </c>
      <c r="D246" t="s">
        <v>58</v>
      </c>
      <c r="E246" t="s">
        <v>31</v>
      </c>
      <c r="F246" t="s">
        <v>26</v>
      </c>
      <c r="G246" t="s">
        <v>40</v>
      </c>
      <c r="H246">
        <v>29.58</v>
      </c>
      <c r="I246">
        <v>86</v>
      </c>
      <c r="J246" s="1">
        <f>(H246*I246)+O246</f>
        <v>2611.9599999999996</v>
      </c>
      <c r="K246" s="1">
        <f>(H246*I246)+O246-N246</f>
        <v>2607.4699999999998</v>
      </c>
      <c r="L246">
        <v>903.21</v>
      </c>
      <c r="M246" t="s">
        <v>28</v>
      </c>
      <c r="N246">
        <v>4.49</v>
      </c>
      <c r="O246">
        <v>68.08</v>
      </c>
      <c r="P246">
        <v>4</v>
      </c>
      <c r="Q246">
        <v>10</v>
      </c>
      <c r="R246">
        <v>7.48</v>
      </c>
      <c r="U246">
        <f>H246*(1-N246%)</f>
        <v>28.251857999999999</v>
      </c>
      <c r="V246">
        <f>U246*I246</f>
        <v>2429.6597879999999</v>
      </c>
      <c r="W246" t="e">
        <f>#REF!-V246</f>
        <v>#REF!</v>
      </c>
      <c r="X246" t="e">
        <f t="shared" si="3"/>
        <v>#REF!</v>
      </c>
    </row>
    <row r="247" spans="1:24" x14ac:dyDescent="0.3">
      <c r="A247">
        <v>1246</v>
      </c>
      <c r="B247" s="2">
        <v>44442</v>
      </c>
      <c r="C247" t="s">
        <v>48</v>
      </c>
      <c r="D247" t="s">
        <v>49</v>
      </c>
      <c r="E247" t="s">
        <v>42</v>
      </c>
      <c r="F247" t="s">
        <v>26</v>
      </c>
      <c r="G247" t="s">
        <v>27</v>
      </c>
      <c r="H247">
        <v>60.72</v>
      </c>
      <c r="I247">
        <v>71</v>
      </c>
      <c r="J247" s="1">
        <f>(H247*I247)+O247</f>
        <v>4369.7699999999995</v>
      </c>
      <c r="K247" s="1">
        <f>(H247*I247)+O247-N247</f>
        <v>4355.3499999999995</v>
      </c>
      <c r="L247">
        <v>962.37</v>
      </c>
      <c r="M247" t="s">
        <v>44</v>
      </c>
      <c r="N247">
        <v>14.42</v>
      </c>
      <c r="O247">
        <v>58.65</v>
      </c>
      <c r="P247">
        <v>5</v>
      </c>
      <c r="Q247">
        <v>5</v>
      </c>
      <c r="R247">
        <v>7.67</v>
      </c>
      <c r="U247">
        <f>H247*(1-N247%)</f>
        <v>51.964176000000002</v>
      </c>
      <c r="V247">
        <f>U247*I247</f>
        <v>3689.4564960000002</v>
      </c>
      <c r="W247" t="e">
        <f>#REF!-V247</f>
        <v>#REF!</v>
      </c>
      <c r="X247" t="e">
        <f t="shared" si="3"/>
        <v>#REF!</v>
      </c>
    </row>
    <row r="248" spans="1:24" x14ac:dyDescent="0.3">
      <c r="A248">
        <v>1247</v>
      </c>
      <c r="B248" s="2">
        <v>44443</v>
      </c>
      <c r="C248" t="s">
        <v>38</v>
      </c>
      <c r="D248" t="s">
        <v>54</v>
      </c>
      <c r="E248" t="s">
        <v>35</v>
      </c>
      <c r="F248" t="s">
        <v>26</v>
      </c>
      <c r="G248" t="s">
        <v>53</v>
      </c>
      <c r="H248">
        <v>8.41</v>
      </c>
      <c r="I248">
        <v>53</v>
      </c>
      <c r="J248" s="1">
        <f>(H248*I248)+O248</f>
        <v>544.66000000000008</v>
      </c>
      <c r="K248" s="1">
        <f>(H248*I248)+O248-N248</f>
        <v>535.95000000000005</v>
      </c>
      <c r="L248">
        <v>343.84</v>
      </c>
      <c r="M248" t="s">
        <v>28</v>
      </c>
      <c r="N248">
        <v>8.7100000000000009</v>
      </c>
      <c r="O248">
        <v>98.93</v>
      </c>
      <c r="P248">
        <v>2</v>
      </c>
      <c r="Q248">
        <v>18</v>
      </c>
      <c r="R248">
        <v>8.74</v>
      </c>
      <c r="U248">
        <f>H248*(1-N248%)</f>
        <v>7.6774890000000005</v>
      </c>
      <c r="V248">
        <f>U248*I248</f>
        <v>406.90691700000002</v>
      </c>
      <c r="W248" t="e">
        <f>#REF!-V248</f>
        <v>#REF!</v>
      </c>
      <c r="X248" t="e">
        <f t="shared" si="3"/>
        <v>#REF!</v>
      </c>
    </row>
    <row r="249" spans="1:24" x14ac:dyDescent="0.3">
      <c r="A249">
        <v>1248</v>
      </c>
      <c r="B249" s="2">
        <v>44444</v>
      </c>
      <c r="C249" t="s">
        <v>48</v>
      </c>
      <c r="D249" t="s">
        <v>46</v>
      </c>
      <c r="E249" t="s">
        <v>35</v>
      </c>
      <c r="F249" t="s">
        <v>39</v>
      </c>
      <c r="G249" t="s">
        <v>47</v>
      </c>
      <c r="H249">
        <v>39.43</v>
      </c>
      <c r="I249">
        <v>26</v>
      </c>
      <c r="J249" s="1">
        <f>(H249*I249)+O249</f>
        <v>1113.56</v>
      </c>
      <c r="K249" s="1">
        <f>(H249*I249)+O249-N249</f>
        <v>1110.27</v>
      </c>
      <c r="L249">
        <v>1381.09</v>
      </c>
      <c r="M249" t="s">
        <v>28</v>
      </c>
      <c r="N249">
        <v>3.29</v>
      </c>
      <c r="O249">
        <v>88.38</v>
      </c>
      <c r="P249">
        <v>5</v>
      </c>
      <c r="Q249">
        <v>5</v>
      </c>
      <c r="R249">
        <v>6.29</v>
      </c>
      <c r="U249">
        <f>H249*(1-N249%)</f>
        <v>38.132753000000001</v>
      </c>
      <c r="V249">
        <f>U249*I249</f>
        <v>991.45157800000004</v>
      </c>
      <c r="W249" t="e">
        <f>#REF!-V249</f>
        <v>#REF!</v>
      </c>
      <c r="X249" t="e">
        <f t="shared" si="3"/>
        <v>#REF!</v>
      </c>
    </row>
    <row r="250" spans="1:24" x14ac:dyDescent="0.3">
      <c r="A250">
        <v>1249</v>
      </c>
      <c r="B250" s="2">
        <v>44445</v>
      </c>
      <c r="C250" t="s">
        <v>33</v>
      </c>
      <c r="D250" t="s">
        <v>58</v>
      </c>
      <c r="E250" t="s">
        <v>35</v>
      </c>
      <c r="F250" t="s">
        <v>26</v>
      </c>
      <c r="G250" t="s">
        <v>27</v>
      </c>
      <c r="H250">
        <v>51.17</v>
      </c>
      <c r="I250">
        <v>44</v>
      </c>
      <c r="J250" s="1">
        <f>(H250*I250)+O250</f>
        <v>2321.9</v>
      </c>
      <c r="K250" s="1">
        <f>(H250*I250)+O250-N250</f>
        <v>2319.5300000000002</v>
      </c>
      <c r="L250">
        <v>1142.6099999999999</v>
      </c>
      <c r="M250" t="s">
        <v>44</v>
      </c>
      <c r="N250">
        <v>2.37</v>
      </c>
      <c r="O250">
        <v>70.42</v>
      </c>
      <c r="P250">
        <v>5</v>
      </c>
      <c r="Q250">
        <v>15</v>
      </c>
      <c r="R250">
        <v>7.6</v>
      </c>
      <c r="U250">
        <f>H250*(1-N250%)</f>
        <v>49.957270999999999</v>
      </c>
      <c r="V250">
        <f>U250*I250</f>
        <v>2198.1199240000001</v>
      </c>
      <c r="W250" t="e">
        <f>#REF!-V250</f>
        <v>#REF!</v>
      </c>
      <c r="X250" t="e">
        <f t="shared" si="3"/>
        <v>#REF!</v>
      </c>
    </row>
    <row r="251" spans="1:24" x14ac:dyDescent="0.3">
      <c r="A251">
        <v>1250</v>
      </c>
      <c r="B251" s="2">
        <v>44446</v>
      </c>
      <c r="C251" t="s">
        <v>23</v>
      </c>
      <c r="D251" t="s">
        <v>54</v>
      </c>
      <c r="E251" t="s">
        <v>42</v>
      </c>
      <c r="F251" t="s">
        <v>39</v>
      </c>
      <c r="G251" t="s">
        <v>40</v>
      </c>
      <c r="H251">
        <v>55.36</v>
      </c>
      <c r="I251">
        <v>65</v>
      </c>
      <c r="J251" s="1">
        <f>(H251*I251)+O251</f>
        <v>3637.37</v>
      </c>
      <c r="K251" s="1">
        <f>(H251*I251)+O251-N251</f>
        <v>3635.5499999999997</v>
      </c>
      <c r="L251">
        <v>90.01</v>
      </c>
      <c r="M251" t="s">
        <v>44</v>
      </c>
      <c r="N251">
        <v>1.82</v>
      </c>
      <c r="O251">
        <v>38.97</v>
      </c>
      <c r="P251">
        <v>1</v>
      </c>
      <c r="Q251">
        <v>16</v>
      </c>
      <c r="R251">
        <v>5.29</v>
      </c>
      <c r="U251">
        <f>H251*(1-N251%)</f>
        <v>54.352448000000003</v>
      </c>
      <c r="V251">
        <f>U251*I251</f>
        <v>3532.9091200000003</v>
      </c>
      <c r="W251" t="e">
        <f>#REF!-V251</f>
        <v>#REF!</v>
      </c>
      <c r="X251" t="e">
        <f t="shared" si="3"/>
        <v>#REF!</v>
      </c>
    </row>
    <row r="252" spans="1:24" x14ac:dyDescent="0.3">
      <c r="A252">
        <v>1251</v>
      </c>
      <c r="B252" s="2">
        <v>44447</v>
      </c>
      <c r="C252" t="s">
        <v>41</v>
      </c>
      <c r="D252" t="s">
        <v>54</v>
      </c>
      <c r="E252" t="s">
        <v>42</v>
      </c>
      <c r="F252" t="s">
        <v>26</v>
      </c>
      <c r="G252" t="s">
        <v>40</v>
      </c>
      <c r="H252">
        <v>18.940000000000001</v>
      </c>
      <c r="I252">
        <v>21</v>
      </c>
      <c r="J252" s="1">
        <f>(H252*I252)+O252</f>
        <v>477.17</v>
      </c>
      <c r="K252" s="1">
        <f>(H252*I252)+O252-N252</f>
        <v>462.08000000000004</v>
      </c>
      <c r="L252">
        <v>904.29</v>
      </c>
      <c r="M252" t="s">
        <v>44</v>
      </c>
      <c r="N252">
        <v>15.09</v>
      </c>
      <c r="O252">
        <v>79.430000000000007</v>
      </c>
      <c r="P252">
        <v>2</v>
      </c>
      <c r="Q252">
        <v>14</v>
      </c>
      <c r="R252">
        <v>1.51</v>
      </c>
      <c r="U252">
        <f>H252*(1-N252%)</f>
        <v>16.081954</v>
      </c>
      <c r="V252">
        <f>U252*I252</f>
        <v>337.72103399999997</v>
      </c>
      <c r="W252" t="e">
        <f>#REF!-V252</f>
        <v>#REF!</v>
      </c>
      <c r="X252" t="e">
        <f t="shared" si="3"/>
        <v>#REF!</v>
      </c>
    </row>
    <row r="253" spans="1:24" x14ac:dyDescent="0.3">
      <c r="A253">
        <v>1252</v>
      </c>
      <c r="B253" s="2">
        <v>44448</v>
      </c>
      <c r="C253" t="s">
        <v>41</v>
      </c>
      <c r="D253" t="s">
        <v>55</v>
      </c>
      <c r="E253" t="s">
        <v>35</v>
      </c>
      <c r="F253" t="s">
        <v>26</v>
      </c>
      <c r="G253" t="s">
        <v>43</v>
      </c>
      <c r="H253">
        <v>80.849999999999994</v>
      </c>
      <c r="I253">
        <v>90</v>
      </c>
      <c r="J253" s="1">
        <f>(H253*I253)+O253</f>
        <v>7348.7699999999995</v>
      </c>
      <c r="K253" s="1">
        <f>(H253*I253)+O253-N253</f>
        <v>7334.6399999999994</v>
      </c>
      <c r="L253">
        <v>543.26</v>
      </c>
      <c r="M253" t="s">
        <v>28</v>
      </c>
      <c r="N253">
        <v>14.13</v>
      </c>
      <c r="O253">
        <v>72.27</v>
      </c>
      <c r="P253">
        <v>3</v>
      </c>
      <c r="Q253">
        <v>22</v>
      </c>
      <c r="R253">
        <v>8.4700000000000006</v>
      </c>
      <c r="U253">
        <f>H253*(1-N253%)</f>
        <v>69.425894999999997</v>
      </c>
      <c r="V253">
        <f>U253*I253</f>
        <v>6248.3305499999997</v>
      </c>
      <c r="W253" t="e">
        <f>#REF!-V253</f>
        <v>#REF!</v>
      </c>
      <c r="X253" t="e">
        <f t="shared" si="3"/>
        <v>#REF!</v>
      </c>
    </row>
    <row r="254" spans="1:24" x14ac:dyDescent="0.3">
      <c r="A254">
        <v>1253</v>
      </c>
      <c r="B254" s="2">
        <v>44449</v>
      </c>
      <c r="C254" t="s">
        <v>33</v>
      </c>
      <c r="D254" t="s">
        <v>30</v>
      </c>
      <c r="E254" t="s">
        <v>42</v>
      </c>
      <c r="F254" t="s">
        <v>39</v>
      </c>
      <c r="G254" t="s">
        <v>53</v>
      </c>
      <c r="H254">
        <v>44.8</v>
      </c>
      <c r="I254">
        <v>70</v>
      </c>
      <c r="J254" s="1">
        <f>(H254*I254)+O254</f>
        <v>3160.84</v>
      </c>
      <c r="K254" s="1">
        <f>(H254*I254)+O254-N254</f>
        <v>3160.1400000000003</v>
      </c>
      <c r="L254">
        <v>1288.96</v>
      </c>
      <c r="M254" t="s">
        <v>37</v>
      </c>
      <c r="N254">
        <v>0.7</v>
      </c>
      <c r="O254">
        <v>24.84</v>
      </c>
      <c r="P254">
        <v>2</v>
      </c>
      <c r="Q254">
        <v>13</v>
      </c>
      <c r="R254">
        <v>2.73</v>
      </c>
      <c r="U254">
        <f>H254*(1-N254%)</f>
        <v>44.486399999999996</v>
      </c>
      <c r="V254">
        <f>U254*I254</f>
        <v>3114.0479999999998</v>
      </c>
      <c r="W254" t="e">
        <f>#REF!-V254</f>
        <v>#REF!</v>
      </c>
      <c r="X254" t="e">
        <f t="shared" si="3"/>
        <v>#REF!</v>
      </c>
    </row>
    <row r="255" spans="1:24" x14ac:dyDescent="0.3">
      <c r="A255">
        <v>1254</v>
      </c>
      <c r="B255" s="2">
        <v>44450</v>
      </c>
      <c r="C255" t="s">
        <v>29</v>
      </c>
      <c r="D255" t="s">
        <v>46</v>
      </c>
      <c r="E255" t="s">
        <v>35</v>
      </c>
      <c r="F255" t="s">
        <v>39</v>
      </c>
      <c r="G255" t="s">
        <v>40</v>
      </c>
      <c r="H255">
        <v>32.01</v>
      </c>
      <c r="I255">
        <v>52</v>
      </c>
      <c r="J255" s="1">
        <f>(H255*I255)+O255</f>
        <v>1729.67</v>
      </c>
      <c r="K255" s="1">
        <f>(H255*I255)+O255-N255</f>
        <v>1719.63</v>
      </c>
      <c r="L255">
        <v>888.92</v>
      </c>
      <c r="M255" t="s">
        <v>44</v>
      </c>
      <c r="N255">
        <v>10.039999999999999</v>
      </c>
      <c r="O255">
        <v>65.150000000000006</v>
      </c>
      <c r="P255">
        <v>4</v>
      </c>
      <c r="Q255">
        <v>27</v>
      </c>
      <c r="R255">
        <v>2.84</v>
      </c>
      <c r="U255">
        <f>H255*(1-N255%)</f>
        <v>28.796195999999998</v>
      </c>
      <c r="V255">
        <f>U255*I255</f>
        <v>1497.402192</v>
      </c>
      <c r="W255" t="e">
        <f>#REF!-V255</f>
        <v>#REF!</v>
      </c>
      <c r="X255" t="e">
        <f t="shared" si="3"/>
        <v>#REF!</v>
      </c>
    </row>
    <row r="256" spans="1:24" x14ac:dyDescent="0.3">
      <c r="A256">
        <v>1255</v>
      </c>
      <c r="B256" s="2">
        <v>44451</v>
      </c>
      <c r="C256" t="s">
        <v>33</v>
      </c>
      <c r="D256" t="s">
        <v>46</v>
      </c>
      <c r="E256" t="s">
        <v>25</v>
      </c>
      <c r="F256" t="s">
        <v>32</v>
      </c>
      <c r="G256" t="s">
        <v>50</v>
      </c>
      <c r="H256">
        <v>37.21</v>
      </c>
      <c r="I256">
        <v>88</v>
      </c>
      <c r="J256" s="1">
        <f>(H256*I256)+O256</f>
        <v>3359.09</v>
      </c>
      <c r="K256" s="1">
        <f>(H256*I256)+O256-N256</f>
        <v>3358.83</v>
      </c>
      <c r="L256">
        <v>325.88</v>
      </c>
      <c r="M256" t="s">
        <v>37</v>
      </c>
      <c r="N256">
        <v>0.26</v>
      </c>
      <c r="O256">
        <v>84.61</v>
      </c>
      <c r="P256">
        <v>4</v>
      </c>
      <c r="Q256">
        <v>1</v>
      </c>
      <c r="R256">
        <v>8.5299999999999994</v>
      </c>
      <c r="U256">
        <f>H256*(1-N256%)</f>
        <v>37.113253999999998</v>
      </c>
      <c r="V256">
        <f>U256*I256</f>
        <v>3265.9663519999999</v>
      </c>
      <c r="W256" t="e">
        <f>#REF!-V256</f>
        <v>#REF!</v>
      </c>
      <c r="X256" t="e">
        <f t="shared" si="3"/>
        <v>#REF!</v>
      </c>
    </row>
    <row r="257" spans="1:24" x14ac:dyDescent="0.3">
      <c r="A257">
        <v>1256</v>
      </c>
      <c r="B257" s="2">
        <v>44452</v>
      </c>
      <c r="C257" t="s">
        <v>23</v>
      </c>
      <c r="D257" t="s">
        <v>54</v>
      </c>
      <c r="E257" t="s">
        <v>35</v>
      </c>
      <c r="F257" t="s">
        <v>32</v>
      </c>
      <c r="G257" t="s">
        <v>27</v>
      </c>
      <c r="H257">
        <v>45.74</v>
      </c>
      <c r="I257">
        <v>74</v>
      </c>
      <c r="J257" s="1">
        <f>(H257*I257)+O257</f>
        <v>3481.2000000000003</v>
      </c>
      <c r="K257" s="1">
        <f>(H257*I257)+O257-N257</f>
        <v>3475.8100000000004</v>
      </c>
      <c r="L257">
        <v>528.64</v>
      </c>
      <c r="M257" t="s">
        <v>28</v>
      </c>
      <c r="N257">
        <v>5.39</v>
      </c>
      <c r="O257">
        <v>96.44</v>
      </c>
      <c r="P257">
        <v>2</v>
      </c>
      <c r="Q257">
        <v>11</v>
      </c>
      <c r="R257">
        <v>9.4499999999999993</v>
      </c>
      <c r="U257">
        <f>H257*(1-N257%)</f>
        <v>43.274614000000007</v>
      </c>
      <c r="V257">
        <f>U257*I257</f>
        <v>3202.3214360000006</v>
      </c>
      <c r="W257" t="e">
        <f>#REF!-V257</f>
        <v>#REF!</v>
      </c>
      <c r="X257" t="e">
        <f t="shared" si="3"/>
        <v>#REF!</v>
      </c>
    </row>
    <row r="258" spans="1:24" x14ac:dyDescent="0.3">
      <c r="A258">
        <v>1257</v>
      </c>
      <c r="B258" s="2">
        <v>44453</v>
      </c>
      <c r="C258" t="s">
        <v>23</v>
      </c>
      <c r="D258" t="s">
        <v>34</v>
      </c>
      <c r="E258" t="s">
        <v>31</v>
      </c>
      <c r="F258" t="s">
        <v>26</v>
      </c>
      <c r="G258" t="s">
        <v>47</v>
      </c>
      <c r="H258">
        <v>56.73</v>
      </c>
      <c r="I258">
        <v>97</v>
      </c>
      <c r="J258" s="1">
        <f>(H258*I258)+O258</f>
        <v>5571.4699999999993</v>
      </c>
      <c r="K258" s="1">
        <f>(H258*I258)+O258-N258</f>
        <v>5551.48</v>
      </c>
      <c r="L258">
        <v>640.48</v>
      </c>
      <c r="M258" t="s">
        <v>28</v>
      </c>
      <c r="N258">
        <v>19.989999999999998</v>
      </c>
      <c r="O258">
        <v>68.66</v>
      </c>
      <c r="P258">
        <v>5</v>
      </c>
      <c r="Q258">
        <v>13</v>
      </c>
      <c r="R258">
        <v>5.1100000000000003</v>
      </c>
      <c r="U258">
        <f>H258*(1-N258%)</f>
        <v>45.389673000000002</v>
      </c>
      <c r="V258">
        <f>U258*I258</f>
        <v>4402.7982810000003</v>
      </c>
      <c r="W258" t="e">
        <f>#REF!-V258</f>
        <v>#REF!</v>
      </c>
      <c r="X258" t="e">
        <f t="shared" si="3"/>
        <v>#REF!</v>
      </c>
    </row>
    <row r="259" spans="1:24" x14ac:dyDescent="0.3">
      <c r="A259">
        <v>1258</v>
      </c>
      <c r="B259" s="2">
        <v>44454</v>
      </c>
      <c r="C259" t="s">
        <v>41</v>
      </c>
      <c r="D259" t="s">
        <v>58</v>
      </c>
      <c r="E259" t="s">
        <v>42</v>
      </c>
      <c r="F259" t="s">
        <v>26</v>
      </c>
      <c r="G259" t="s">
        <v>43</v>
      </c>
      <c r="H259">
        <v>14.67</v>
      </c>
      <c r="I259">
        <v>59</v>
      </c>
      <c r="J259" s="1">
        <f>(H259*I259)+O259</f>
        <v>932.98</v>
      </c>
      <c r="K259" s="1">
        <f>(H259*I259)+O259-N259</f>
        <v>920.63</v>
      </c>
      <c r="L259">
        <v>748.25</v>
      </c>
      <c r="M259" t="s">
        <v>28</v>
      </c>
      <c r="N259">
        <v>12.35</v>
      </c>
      <c r="O259">
        <v>67.45</v>
      </c>
      <c r="P259">
        <v>2</v>
      </c>
      <c r="Q259">
        <v>3</v>
      </c>
      <c r="R259">
        <v>5.39</v>
      </c>
      <c r="U259">
        <f>H259*(1-N259%)</f>
        <v>12.858255000000002</v>
      </c>
      <c r="V259">
        <f>U259*I259</f>
        <v>758.63704500000006</v>
      </c>
      <c r="W259" t="e">
        <f>#REF!-V259</f>
        <v>#REF!</v>
      </c>
      <c r="X259" t="e">
        <f t="shared" ref="X259:X322" si="4">(L259/W259)*100</f>
        <v>#REF!</v>
      </c>
    </row>
    <row r="260" spans="1:24" x14ac:dyDescent="0.3">
      <c r="A260">
        <v>1259</v>
      </c>
      <c r="B260" s="2">
        <v>44455</v>
      </c>
      <c r="C260" t="s">
        <v>41</v>
      </c>
      <c r="D260" t="s">
        <v>58</v>
      </c>
      <c r="E260" t="s">
        <v>25</v>
      </c>
      <c r="F260" t="s">
        <v>39</v>
      </c>
      <c r="G260" t="s">
        <v>50</v>
      </c>
      <c r="H260">
        <v>65.22</v>
      </c>
      <c r="I260">
        <v>42</v>
      </c>
      <c r="J260" s="1">
        <f>(H260*I260)+O260</f>
        <v>2773.12</v>
      </c>
      <c r="K260" s="1">
        <f>(H260*I260)+O260-N260</f>
        <v>2763.38</v>
      </c>
      <c r="L260">
        <v>336.05</v>
      </c>
      <c r="M260" t="s">
        <v>37</v>
      </c>
      <c r="N260">
        <v>9.74</v>
      </c>
      <c r="O260">
        <v>33.880000000000003</v>
      </c>
      <c r="P260">
        <v>2</v>
      </c>
      <c r="Q260">
        <v>22</v>
      </c>
      <c r="R260">
        <v>0.54</v>
      </c>
      <c r="U260">
        <f>H260*(1-N260%)</f>
        <v>58.867571999999996</v>
      </c>
      <c r="V260">
        <f>U260*I260</f>
        <v>2472.438024</v>
      </c>
      <c r="W260" t="e">
        <f>#REF!-V260</f>
        <v>#REF!</v>
      </c>
      <c r="X260" t="e">
        <f t="shared" si="4"/>
        <v>#REF!</v>
      </c>
    </row>
    <row r="261" spans="1:24" x14ac:dyDescent="0.3">
      <c r="A261">
        <v>1260</v>
      </c>
      <c r="B261" s="2">
        <v>44456</v>
      </c>
      <c r="C261" t="s">
        <v>51</v>
      </c>
      <c r="D261" t="s">
        <v>58</v>
      </c>
      <c r="E261" t="s">
        <v>31</v>
      </c>
      <c r="F261" t="s">
        <v>39</v>
      </c>
      <c r="G261" t="s">
        <v>45</v>
      </c>
      <c r="H261">
        <v>61.1</v>
      </c>
      <c r="I261">
        <v>41</v>
      </c>
      <c r="J261" s="1">
        <f>(H261*I261)+O261</f>
        <v>2542.85</v>
      </c>
      <c r="K261" s="1">
        <f>(H261*I261)+O261-N261</f>
        <v>2535.61</v>
      </c>
      <c r="L261">
        <v>673.92</v>
      </c>
      <c r="M261" t="s">
        <v>44</v>
      </c>
      <c r="N261">
        <v>7.24</v>
      </c>
      <c r="O261">
        <v>37.75</v>
      </c>
      <c r="P261">
        <v>5</v>
      </c>
      <c r="Q261">
        <v>10</v>
      </c>
      <c r="R261">
        <v>8.0500000000000007</v>
      </c>
      <c r="U261">
        <f>H261*(1-N261%)</f>
        <v>56.676360000000003</v>
      </c>
      <c r="V261">
        <f>U261*I261</f>
        <v>2323.7307599999999</v>
      </c>
      <c r="W261" t="e">
        <f>#REF!-V261</f>
        <v>#REF!</v>
      </c>
      <c r="X261" t="e">
        <f t="shared" si="4"/>
        <v>#REF!</v>
      </c>
    </row>
    <row r="262" spans="1:24" x14ac:dyDescent="0.3">
      <c r="A262">
        <v>1261</v>
      </c>
      <c r="B262" s="2">
        <v>44457</v>
      </c>
      <c r="C262" t="s">
        <v>33</v>
      </c>
      <c r="D262" t="s">
        <v>34</v>
      </c>
      <c r="E262" t="s">
        <v>31</v>
      </c>
      <c r="F262" t="s">
        <v>26</v>
      </c>
      <c r="G262" t="s">
        <v>50</v>
      </c>
      <c r="H262">
        <v>72.17</v>
      </c>
      <c r="I262">
        <v>43</v>
      </c>
      <c r="J262" s="1">
        <f>(H262*I262)+O262</f>
        <v>3140.98</v>
      </c>
      <c r="K262" s="1">
        <f>(H262*I262)+O262-N262</f>
        <v>3124.45</v>
      </c>
      <c r="L262">
        <v>614.67999999999995</v>
      </c>
      <c r="M262" t="s">
        <v>28</v>
      </c>
      <c r="N262">
        <v>16.53</v>
      </c>
      <c r="O262">
        <v>37.67</v>
      </c>
      <c r="P262">
        <v>1</v>
      </c>
      <c r="Q262">
        <v>8</v>
      </c>
      <c r="R262">
        <v>3.52</v>
      </c>
      <c r="U262">
        <f>H262*(1-N262%)</f>
        <v>60.240299</v>
      </c>
      <c r="V262">
        <f>U262*I262</f>
        <v>2590.3328569999999</v>
      </c>
      <c r="W262" t="e">
        <f>#REF!-V262</f>
        <v>#REF!</v>
      </c>
      <c r="X262" t="e">
        <f t="shared" si="4"/>
        <v>#REF!</v>
      </c>
    </row>
    <row r="263" spans="1:24" x14ac:dyDescent="0.3">
      <c r="A263">
        <v>1262</v>
      </c>
      <c r="B263" s="2">
        <v>44458</v>
      </c>
      <c r="C263" t="s">
        <v>23</v>
      </c>
      <c r="D263" t="s">
        <v>49</v>
      </c>
      <c r="E263" t="s">
        <v>35</v>
      </c>
      <c r="F263" t="s">
        <v>26</v>
      </c>
      <c r="G263" t="s">
        <v>53</v>
      </c>
      <c r="H263">
        <v>19.190000000000001</v>
      </c>
      <c r="I263">
        <v>93</v>
      </c>
      <c r="J263" s="1">
        <f>(H263*I263)+O263</f>
        <v>1827.77</v>
      </c>
      <c r="K263" s="1">
        <f>(H263*I263)+O263-N263</f>
        <v>1826.61</v>
      </c>
      <c r="L263">
        <v>72.83</v>
      </c>
      <c r="M263" t="s">
        <v>28</v>
      </c>
      <c r="N263">
        <v>1.1599999999999999</v>
      </c>
      <c r="O263">
        <v>43.1</v>
      </c>
      <c r="P263">
        <v>4</v>
      </c>
      <c r="Q263">
        <v>21</v>
      </c>
      <c r="R263">
        <v>6.73</v>
      </c>
      <c r="U263">
        <f>H263*(1-N263%)</f>
        <v>18.967396000000001</v>
      </c>
      <c r="V263">
        <f>U263*I263</f>
        <v>1763.9678280000001</v>
      </c>
      <c r="W263" t="e">
        <f>#REF!-V263</f>
        <v>#REF!</v>
      </c>
      <c r="X263" t="e">
        <f t="shared" si="4"/>
        <v>#REF!</v>
      </c>
    </row>
    <row r="264" spans="1:24" x14ac:dyDescent="0.3">
      <c r="A264">
        <v>1263</v>
      </c>
      <c r="B264" s="2">
        <v>44459</v>
      </c>
      <c r="C264" t="s">
        <v>29</v>
      </c>
      <c r="D264" t="s">
        <v>54</v>
      </c>
      <c r="E264" t="s">
        <v>25</v>
      </c>
      <c r="F264" t="s">
        <v>39</v>
      </c>
      <c r="G264" t="s">
        <v>45</v>
      </c>
      <c r="H264">
        <v>20.38</v>
      </c>
      <c r="I264">
        <v>28</v>
      </c>
      <c r="J264" s="1">
        <f>(H264*I264)+O264</f>
        <v>612.12</v>
      </c>
      <c r="K264" s="1">
        <f>(H264*I264)+O264-N264</f>
        <v>596.04</v>
      </c>
      <c r="L264">
        <v>773.21</v>
      </c>
      <c r="M264" t="s">
        <v>44</v>
      </c>
      <c r="N264">
        <v>16.079999999999998</v>
      </c>
      <c r="O264">
        <v>41.48</v>
      </c>
      <c r="P264">
        <v>1</v>
      </c>
      <c r="Q264">
        <v>28</v>
      </c>
      <c r="R264">
        <v>8.32</v>
      </c>
      <c r="U264">
        <f>H264*(1-N264%)</f>
        <v>17.102896000000001</v>
      </c>
      <c r="V264">
        <f>U264*I264</f>
        <v>478.88108800000003</v>
      </c>
      <c r="W264" t="e">
        <f>#REF!-V264</f>
        <v>#REF!</v>
      </c>
      <c r="X264" t="e">
        <f t="shared" si="4"/>
        <v>#REF!</v>
      </c>
    </row>
    <row r="265" spans="1:24" x14ac:dyDescent="0.3">
      <c r="A265">
        <v>1264</v>
      </c>
      <c r="B265" s="2">
        <v>44460</v>
      </c>
      <c r="C265" t="s">
        <v>29</v>
      </c>
      <c r="D265" t="s">
        <v>49</v>
      </c>
      <c r="E265" t="s">
        <v>42</v>
      </c>
      <c r="F265" t="s">
        <v>39</v>
      </c>
      <c r="G265" t="s">
        <v>53</v>
      </c>
      <c r="H265">
        <v>9.9700000000000006</v>
      </c>
      <c r="I265">
        <v>20</v>
      </c>
      <c r="J265" s="1">
        <f>(H265*I265)+O265</f>
        <v>210.61</v>
      </c>
      <c r="K265" s="1">
        <f>(H265*I265)+O265-N265</f>
        <v>197</v>
      </c>
      <c r="L265">
        <v>1086.8699999999999</v>
      </c>
      <c r="M265" t="s">
        <v>44</v>
      </c>
      <c r="N265">
        <v>13.61</v>
      </c>
      <c r="O265">
        <v>11.21</v>
      </c>
      <c r="P265">
        <v>5</v>
      </c>
      <c r="Q265">
        <v>26</v>
      </c>
      <c r="R265">
        <v>2.0099999999999998</v>
      </c>
      <c r="U265">
        <f>H265*(1-N265%)</f>
        <v>8.6130830000000014</v>
      </c>
      <c r="V265">
        <f>U265*I265</f>
        <v>172.26166000000003</v>
      </c>
      <c r="W265" t="e">
        <f>#REF!-V265</f>
        <v>#REF!</v>
      </c>
      <c r="X265" t="e">
        <f t="shared" si="4"/>
        <v>#REF!</v>
      </c>
    </row>
    <row r="266" spans="1:24" x14ac:dyDescent="0.3">
      <c r="A266">
        <v>1265</v>
      </c>
      <c r="B266" s="2">
        <v>44461</v>
      </c>
      <c r="C266" t="s">
        <v>51</v>
      </c>
      <c r="D266" t="s">
        <v>54</v>
      </c>
      <c r="E266" t="s">
        <v>31</v>
      </c>
      <c r="F266" t="s">
        <v>39</v>
      </c>
      <c r="G266" t="s">
        <v>50</v>
      </c>
      <c r="H266">
        <v>33.92</v>
      </c>
      <c r="I266">
        <v>25</v>
      </c>
      <c r="J266" s="1">
        <f>(H266*I266)+O266</f>
        <v>902.95</v>
      </c>
      <c r="K266" s="1">
        <f>(H266*I266)+O266-N266</f>
        <v>890.56000000000006</v>
      </c>
      <c r="L266">
        <v>348.07</v>
      </c>
      <c r="M266" t="s">
        <v>28</v>
      </c>
      <c r="N266">
        <v>12.39</v>
      </c>
      <c r="O266">
        <v>54.95</v>
      </c>
      <c r="P266">
        <v>4</v>
      </c>
      <c r="Q266">
        <v>5</v>
      </c>
      <c r="R266">
        <v>4.82</v>
      </c>
      <c r="U266">
        <f>H266*(1-N266%)</f>
        <v>29.717312</v>
      </c>
      <c r="V266">
        <f>U266*I266</f>
        <v>742.93280000000004</v>
      </c>
      <c r="W266" t="e">
        <f>#REF!-V266</f>
        <v>#REF!</v>
      </c>
      <c r="X266" t="e">
        <f t="shared" si="4"/>
        <v>#REF!</v>
      </c>
    </row>
    <row r="267" spans="1:24" x14ac:dyDescent="0.3">
      <c r="A267">
        <v>1266</v>
      </c>
      <c r="B267" s="2">
        <v>44462</v>
      </c>
      <c r="C267" t="s">
        <v>57</v>
      </c>
      <c r="D267" t="s">
        <v>55</v>
      </c>
      <c r="E267" t="s">
        <v>31</v>
      </c>
      <c r="F267" t="s">
        <v>26</v>
      </c>
      <c r="G267" t="s">
        <v>40</v>
      </c>
      <c r="H267">
        <v>24.32</v>
      </c>
      <c r="I267">
        <v>78</v>
      </c>
      <c r="J267" s="1">
        <f>(H267*I267)+O267</f>
        <v>1916.93</v>
      </c>
      <c r="K267" s="1">
        <f>(H267*I267)+O267-N267</f>
        <v>1905.69</v>
      </c>
      <c r="L267">
        <v>363.79</v>
      </c>
      <c r="M267" t="s">
        <v>37</v>
      </c>
      <c r="N267">
        <v>11.24</v>
      </c>
      <c r="O267">
        <v>19.97</v>
      </c>
      <c r="P267">
        <v>3</v>
      </c>
      <c r="Q267">
        <v>13</v>
      </c>
      <c r="R267">
        <v>5.0999999999999996</v>
      </c>
      <c r="U267">
        <f>H267*(1-N267%)</f>
        <v>21.586431999999999</v>
      </c>
      <c r="V267">
        <f>U267*I267</f>
        <v>1683.7416959999998</v>
      </c>
      <c r="W267" t="e">
        <f>#REF!-V267</f>
        <v>#REF!</v>
      </c>
      <c r="X267" t="e">
        <f t="shared" si="4"/>
        <v>#REF!</v>
      </c>
    </row>
    <row r="268" spans="1:24" x14ac:dyDescent="0.3">
      <c r="A268">
        <v>1267</v>
      </c>
      <c r="B268" s="2">
        <v>44463</v>
      </c>
      <c r="C268" t="s">
        <v>48</v>
      </c>
      <c r="D268" t="s">
        <v>58</v>
      </c>
      <c r="E268" t="s">
        <v>25</v>
      </c>
      <c r="F268" t="s">
        <v>26</v>
      </c>
      <c r="G268" t="s">
        <v>45</v>
      </c>
      <c r="H268">
        <v>74.930000000000007</v>
      </c>
      <c r="I268">
        <v>21</v>
      </c>
      <c r="J268" s="1">
        <f>(H268*I268)+O268</f>
        <v>1658.3400000000001</v>
      </c>
      <c r="K268" s="1">
        <f>(H268*I268)+O268-N268</f>
        <v>1640.14</v>
      </c>
      <c r="L268">
        <v>123.55</v>
      </c>
      <c r="M268" t="s">
        <v>44</v>
      </c>
      <c r="N268">
        <v>18.2</v>
      </c>
      <c r="O268">
        <v>84.81</v>
      </c>
      <c r="P268">
        <v>2</v>
      </c>
      <c r="Q268">
        <v>9</v>
      </c>
      <c r="R268">
        <v>2.2799999999999998</v>
      </c>
      <c r="U268">
        <f>H268*(1-N268%)</f>
        <v>61.292740000000009</v>
      </c>
      <c r="V268">
        <f>U268*I268</f>
        <v>1287.1475400000002</v>
      </c>
      <c r="W268" t="e">
        <f>#REF!-V268</f>
        <v>#REF!</v>
      </c>
      <c r="X268" t="e">
        <f t="shared" si="4"/>
        <v>#REF!</v>
      </c>
    </row>
    <row r="269" spans="1:24" x14ac:dyDescent="0.3">
      <c r="A269">
        <v>1268</v>
      </c>
      <c r="B269" s="2">
        <v>44464</v>
      </c>
      <c r="C269" t="s">
        <v>33</v>
      </c>
      <c r="D269" t="s">
        <v>30</v>
      </c>
      <c r="E269" t="s">
        <v>31</v>
      </c>
      <c r="F269" t="s">
        <v>26</v>
      </c>
      <c r="G269" t="s">
        <v>50</v>
      </c>
      <c r="H269">
        <v>15.84</v>
      </c>
      <c r="I269">
        <v>95</v>
      </c>
      <c r="J269" s="1">
        <f>(H269*I269)+O269</f>
        <v>1585.94</v>
      </c>
      <c r="K269" s="1">
        <f>(H269*I269)+O269-N269</f>
        <v>1575.44</v>
      </c>
      <c r="L269">
        <v>60.99</v>
      </c>
      <c r="M269" t="s">
        <v>44</v>
      </c>
      <c r="N269">
        <v>10.5</v>
      </c>
      <c r="O269">
        <v>81.14</v>
      </c>
      <c r="P269">
        <v>4</v>
      </c>
      <c r="Q269">
        <v>12</v>
      </c>
      <c r="R269">
        <v>4.0199999999999996</v>
      </c>
      <c r="U269">
        <f>H269*(1-N269%)</f>
        <v>14.1768</v>
      </c>
      <c r="V269">
        <f>U269*I269</f>
        <v>1346.796</v>
      </c>
      <c r="W269" t="e">
        <f>#REF!-V269</f>
        <v>#REF!</v>
      </c>
      <c r="X269" t="e">
        <f t="shared" si="4"/>
        <v>#REF!</v>
      </c>
    </row>
    <row r="270" spans="1:24" x14ac:dyDescent="0.3">
      <c r="A270">
        <v>1269</v>
      </c>
      <c r="B270" s="2">
        <v>44465</v>
      </c>
      <c r="C270" t="s">
        <v>57</v>
      </c>
      <c r="D270" t="s">
        <v>34</v>
      </c>
      <c r="E270" t="s">
        <v>42</v>
      </c>
      <c r="F270" t="s">
        <v>39</v>
      </c>
      <c r="G270" t="s">
        <v>36</v>
      </c>
      <c r="H270">
        <v>23.39</v>
      </c>
      <c r="I270">
        <v>78</v>
      </c>
      <c r="J270" s="1">
        <f>(H270*I270)+O270</f>
        <v>1868.0700000000002</v>
      </c>
      <c r="K270" s="1">
        <f>(H270*I270)+O270-N270</f>
        <v>1857.43</v>
      </c>
      <c r="L270">
        <v>1224.56</v>
      </c>
      <c r="M270" t="s">
        <v>44</v>
      </c>
      <c r="N270">
        <v>10.64</v>
      </c>
      <c r="O270">
        <v>43.65</v>
      </c>
      <c r="P270">
        <v>1</v>
      </c>
      <c r="Q270">
        <v>21</v>
      </c>
      <c r="R270">
        <v>0.67</v>
      </c>
      <c r="U270">
        <f>H270*(1-N270%)</f>
        <v>20.901304</v>
      </c>
      <c r="V270">
        <f>U270*I270</f>
        <v>1630.301712</v>
      </c>
      <c r="W270" t="e">
        <f>#REF!-V270</f>
        <v>#REF!</v>
      </c>
      <c r="X270" t="e">
        <f t="shared" si="4"/>
        <v>#REF!</v>
      </c>
    </row>
    <row r="271" spans="1:24" x14ac:dyDescent="0.3">
      <c r="A271">
        <v>1270</v>
      </c>
      <c r="B271" s="2">
        <v>44466</v>
      </c>
      <c r="C271" t="s">
        <v>41</v>
      </c>
      <c r="D271" t="s">
        <v>46</v>
      </c>
      <c r="E271" t="s">
        <v>31</v>
      </c>
      <c r="F271" t="s">
        <v>26</v>
      </c>
      <c r="G271" t="s">
        <v>47</v>
      </c>
      <c r="H271">
        <v>21.75</v>
      </c>
      <c r="I271">
        <v>41</v>
      </c>
      <c r="J271" s="1">
        <f>(H271*I271)+O271</f>
        <v>974.31999999999994</v>
      </c>
      <c r="K271" s="1">
        <f>(H271*I271)+O271-N271</f>
        <v>955.91</v>
      </c>
      <c r="L271">
        <v>859.67</v>
      </c>
      <c r="M271" t="s">
        <v>37</v>
      </c>
      <c r="N271">
        <v>18.41</v>
      </c>
      <c r="O271">
        <v>82.57</v>
      </c>
      <c r="P271">
        <v>1</v>
      </c>
      <c r="Q271">
        <v>8</v>
      </c>
      <c r="R271">
        <v>9.34</v>
      </c>
      <c r="U271">
        <f>H271*(1-N271%)</f>
        <v>17.745825</v>
      </c>
      <c r="V271">
        <f>U271*I271</f>
        <v>727.57882500000005</v>
      </c>
      <c r="W271" t="e">
        <f>#REF!-V271</f>
        <v>#REF!</v>
      </c>
      <c r="X271" t="e">
        <f t="shared" si="4"/>
        <v>#REF!</v>
      </c>
    </row>
    <row r="272" spans="1:24" x14ac:dyDescent="0.3">
      <c r="A272">
        <v>1271</v>
      </c>
      <c r="B272" s="2">
        <v>44467</v>
      </c>
      <c r="C272" t="s">
        <v>56</v>
      </c>
      <c r="D272" t="s">
        <v>46</v>
      </c>
      <c r="E272" t="s">
        <v>31</v>
      </c>
      <c r="F272" t="s">
        <v>39</v>
      </c>
      <c r="G272" t="s">
        <v>53</v>
      </c>
      <c r="H272">
        <v>73.19</v>
      </c>
      <c r="I272">
        <v>98</v>
      </c>
      <c r="J272" s="1">
        <f>(H272*I272)+O272</f>
        <v>7257.48</v>
      </c>
      <c r="K272" s="1">
        <f>(H272*I272)+O272-N272</f>
        <v>7247.2699999999995</v>
      </c>
      <c r="L272">
        <v>398</v>
      </c>
      <c r="M272" t="s">
        <v>37</v>
      </c>
      <c r="N272">
        <v>10.210000000000001</v>
      </c>
      <c r="O272">
        <v>84.86</v>
      </c>
      <c r="P272">
        <v>4</v>
      </c>
      <c r="Q272">
        <v>7</v>
      </c>
      <c r="R272">
        <v>3.96</v>
      </c>
      <c r="U272">
        <f>H272*(1-N272%)</f>
        <v>65.717301000000006</v>
      </c>
      <c r="V272">
        <f>U272*I272</f>
        <v>6440.2954980000004</v>
      </c>
      <c r="W272" t="e">
        <f>#REF!-V272</f>
        <v>#REF!</v>
      </c>
      <c r="X272" t="e">
        <f t="shared" si="4"/>
        <v>#REF!</v>
      </c>
    </row>
    <row r="273" spans="1:24" x14ac:dyDescent="0.3">
      <c r="A273">
        <v>1272</v>
      </c>
      <c r="B273" s="2">
        <v>44468</v>
      </c>
      <c r="C273" t="s">
        <v>23</v>
      </c>
      <c r="D273" t="s">
        <v>58</v>
      </c>
      <c r="E273" t="s">
        <v>25</v>
      </c>
      <c r="F273" t="s">
        <v>32</v>
      </c>
      <c r="G273" t="s">
        <v>27</v>
      </c>
      <c r="H273">
        <v>49.04</v>
      </c>
      <c r="I273">
        <v>63</v>
      </c>
      <c r="J273" s="1">
        <f>(H273*I273)+O273</f>
        <v>3122.94</v>
      </c>
      <c r="K273" s="1">
        <f>(H273*I273)+O273-N273</f>
        <v>3112.03</v>
      </c>
      <c r="L273">
        <v>1420.18</v>
      </c>
      <c r="M273" t="s">
        <v>44</v>
      </c>
      <c r="N273">
        <v>10.91</v>
      </c>
      <c r="O273">
        <v>33.42</v>
      </c>
      <c r="P273">
        <v>2</v>
      </c>
      <c r="Q273">
        <v>3</v>
      </c>
      <c r="R273">
        <v>2</v>
      </c>
      <c r="U273">
        <f>H273*(1-N273%)</f>
        <v>43.689736000000003</v>
      </c>
      <c r="V273">
        <f>U273*I273</f>
        <v>2752.4533680000004</v>
      </c>
      <c r="W273" t="e">
        <f>#REF!-V273</f>
        <v>#REF!</v>
      </c>
      <c r="X273" t="e">
        <f t="shared" si="4"/>
        <v>#REF!</v>
      </c>
    </row>
    <row r="274" spans="1:24" x14ac:dyDescent="0.3">
      <c r="A274">
        <v>1273</v>
      </c>
      <c r="B274" s="2">
        <v>44469</v>
      </c>
      <c r="C274" t="s">
        <v>38</v>
      </c>
      <c r="D274" t="s">
        <v>58</v>
      </c>
      <c r="E274" t="s">
        <v>25</v>
      </c>
      <c r="F274" t="s">
        <v>26</v>
      </c>
      <c r="G274" t="s">
        <v>53</v>
      </c>
      <c r="H274">
        <v>53.52</v>
      </c>
      <c r="I274">
        <v>40</v>
      </c>
      <c r="J274" s="1">
        <f>(H274*I274)+O274</f>
        <v>2158.25</v>
      </c>
      <c r="K274" s="1">
        <f>(H274*I274)+O274-N274</f>
        <v>2149.58</v>
      </c>
      <c r="L274">
        <v>131.78</v>
      </c>
      <c r="M274" t="s">
        <v>44</v>
      </c>
      <c r="N274">
        <v>8.67</v>
      </c>
      <c r="O274">
        <v>17.45</v>
      </c>
      <c r="P274">
        <v>2</v>
      </c>
      <c r="Q274">
        <v>19</v>
      </c>
      <c r="R274">
        <v>9.3800000000000008</v>
      </c>
      <c r="U274">
        <f>H274*(1-N274%)</f>
        <v>48.879816000000005</v>
      </c>
      <c r="V274">
        <f>U274*I274</f>
        <v>1955.1926400000002</v>
      </c>
      <c r="W274" t="e">
        <f>#REF!-V274</f>
        <v>#REF!</v>
      </c>
      <c r="X274" t="e">
        <f t="shared" si="4"/>
        <v>#REF!</v>
      </c>
    </row>
    <row r="275" spans="1:24" x14ac:dyDescent="0.3">
      <c r="A275">
        <v>1274</v>
      </c>
      <c r="B275" s="2">
        <v>44470</v>
      </c>
      <c r="C275" t="s">
        <v>48</v>
      </c>
      <c r="D275" t="s">
        <v>34</v>
      </c>
      <c r="E275" t="s">
        <v>31</v>
      </c>
      <c r="F275" t="s">
        <v>39</v>
      </c>
      <c r="G275" t="s">
        <v>36</v>
      </c>
      <c r="H275">
        <v>12.69</v>
      </c>
      <c r="I275">
        <v>16</v>
      </c>
      <c r="J275" s="1">
        <f>(H275*I275)+O275</f>
        <v>273.88</v>
      </c>
      <c r="K275" s="1">
        <f>(H275*I275)+O275-N275</f>
        <v>261.94</v>
      </c>
      <c r="L275">
        <v>1126.4000000000001</v>
      </c>
      <c r="M275" t="s">
        <v>44</v>
      </c>
      <c r="N275">
        <v>11.94</v>
      </c>
      <c r="O275">
        <v>70.84</v>
      </c>
      <c r="P275">
        <v>4</v>
      </c>
      <c r="Q275">
        <v>25</v>
      </c>
      <c r="R275">
        <v>0.33</v>
      </c>
      <c r="U275">
        <f>H275*(1-N275%)</f>
        <v>11.174814</v>
      </c>
      <c r="V275">
        <f>U275*I275</f>
        <v>178.79702399999999</v>
      </c>
      <c r="W275" t="e">
        <f>#REF!-V275</f>
        <v>#REF!</v>
      </c>
      <c r="X275" t="e">
        <f t="shared" si="4"/>
        <v>#REF!</v>
      </c>
    </row>
    <row r="276" spans="1:24" x14ac:dyDescent="0.3">
      <c r="A276">
        <v>1275</v>
      </c>
      <c r="B276" s="2">
        <v>44471</v>
      </c>
      <c r="C276" t="s">
        <v>51</v>
      </c>
      <c r="D276" t="s">
        <v>55</v>
      </c>
      <c r="E276" t="s">
        <v>35</v>
      </c>
      <c r="F276" t="s">
        <v>39</v>
      </c>
      <c r="G276" t="s">
        <v>40</v>
      </c>
      <c r="H276">
        <v>37.92</v>
      </c>
      <c r="I276">
        <v>23</v>
      </c>
      <c r="J276" s="1">
        <f>(H276*I276)+O276</f>
        <v>889.43000000000006</v>
      </c>
      <c r="K276" s="1">
        <f>(H276*I276)+O276-N276</f>
        <v>881.85</v>
      </c>
      <c r="L276">
        <v>191.68</v>
      </c>
      <c r="M276" t="s">
        <v>28</v>
      </c>
      <c r="N276">
        <v>7.58</v>
      </c>
      <c r="O276">
        <v>17.27</v>
      </c>
      <c r="P276">
        <v>2</v>
      </c>
      <c r="Q276">
        <v>19</v>
      </c>
      <c r="R276">
        <v>4.43</v>
      </c>
      <c r="U276">
        <f>H276*(1-N276%)</f>
        <v>35.045664000000002</v>
      </c>
      <c r="V276">
        <f>U276*I276</f>
        <v>806.05027200000006</v>
      </c>
      <c r="W276" t="e">
        <f>#REF!-V276</f>
        <v>#REF!</v>
      </c>
      <c r="X276" t="e">
        <f t="shared" si="4"/>
        <v>#REF!</v>
      </c>
    </row>
    <row r="277" spans="1:24" x14ac:dyDescent="0.3">
      <c r="A277">
        <v>1276</v>
      </c>
      <c r="B277" s="2">
        <v>44472</v>
      </c>
      <c r="C277" t="s">
        <v>52</v>
      </c>
      <c r="D277" t="s">
        <v>54</v>
      </c>
      <c r="E277" t="s">
        <v>35</v>
      </c>
      <c r="F277" t="s">
        <v>32</v>
      </c>
      <c r="G277" t="s">
        <v>27</v>
      </c>
      <c r="H277">
        <v>78.989999999999995</v>
      </c>
      <c r="I277">
        <v>48</v>
      </c>
      <c r="J277" s="1">
        <f>(H277*I277)+O277</f>
        <v>3885.3799999999997</v>
      </c>
      <c r="K277" s="1">
        <f>(H277*I277)+O277-N277</f>
        <v>3867.8599999999997</v>
      </c>
      <c r="L277">
        <v>1219.27</v>
      </c>
      <c r="M277" t="s">
        <v>44</v>
      </c>
      <c r="N277">
        <v>17.52</v>
      </c>
      <c r="O277">
        <v>93.86</v>
      </c>
      <c r="P277">
        <v>1</v>
      </c>
      <c r="Q277">
        <v>21</v>
      </c>
      <c r="R277">
        <v>3.98</v>
      </c>
      <c r="U277">
        <f>H277*(1-N277%)</f>
        <v>65.15095199999999</v>
      </c>
      <c r="V277">
        <f>U277*I277</f>
        <v>3127.2456959999995</v>
      </c>
      <c r="W277" t="e">
        <f>#REF!-V277</f>
        <v>#REF!</v>
      </c>
      <c r="X277" t="e">
        <f t="shared" si="4"/>
        <v>#REF!</v>
      </c>
    </row>
    <row r="278" spans="1:24" x14ac:dyDescent="0.3">
      <c r="A278">
        <v>1277</v>
      </c>
      <c r="B278" s="2">
        <v>44473</v>
      </c>
      <c r="C278" t="s">
        <v>56</v>
      </c>
      <c r="D278" t="s">
        <v>58</v>
      </c>
      <c r="E278" t="s">
        <v>25</v>
      </c>
      <c r="F278" t="s">
        <v>26</v>
      </c>
      <c r="G278" t="s">
        <v>36</v>
      </c>
      <c r="H278">
        <v>65.37</v>
      </c>
      <c r="I278">
        <v>56</v>
      </c>
      <c r="J278" s="1">
        <f>(H278*I278)+O278</f>
        <v>3714.7000000000003</v>
      </c>
      <c r="K278" s="1">
        <f>(H278*I278)+O278-N278</f>
        <v>3708.7000000000003</v>
      </c>
      <c r="L278">
        <v>1068.81</v>
      </c>
      <c r="M278" t="s">
        <v>37</v>
      </c>
      <c r="N278">
        <v>6</v>
      </c>
      <c r="O278">
        <v>53.98</v>
      </c>
      <c r="P278">
        <v>3</v>
      </c>
      <c r="Q278">
        <v>16</v>
      </c>
      <c r="R278">
        <v>2.41</v>
      </c>
      <c r="U278">
        <f>H278*(1-N278%)</f>
        <v>61.447800000000001</v>
      </c>
      <c r="V278">
        <f>U278*I278</f>
        <v>3441.0767999999998</v>
      </c>
      <c r="W278" t="e">
        <f>#REF!-V278</f>
        <v>#REF!</v>
      </c>
      <c r="X278" t="e">
        <f t="shared" si="4"/>
        <v>#REF!</v>
      </c>
    </row>
    <row r="279" spans="1:24" x14ac:dyDescent="0.3">
      <c r="A279">
        <v>1278</v>
      </c>
      <c r="B279" s="2">
        <v>44474</v>
      </c>
      <c r="C279" t="s">
        <v>29</v>
      </c>
      <c r="D279" t="s">
        <v>34</v>
      </c>
      <c r="E279" t="s">
        <v>31</v>
      </c>
      <c r="F279" t="s">
        <v>26</v>
      </c>
      <c r="G279" t="s">
        <v>53</v>
      </c>
      <c r="H279">
        <v>18.02</v>
      </c>
      <c r="I279">
        <v>81</v>
      </c>
      <c r="J279" s="1">
        <f>(H279*I279)+O279</f>
        <v>1476.75</v>
      </c>
      <c r="K279" s="1">
        <f>(H279*I279)+O279-N279</f>
        <v>1465.08</v>
      </c>
      <c r="L279">
        <v>408.93</v>
      </c>
      <c r="M279" t="s">
        <v>44</v>
      </c>
      <c r="N279">
        <v>11.67</v>
      </c>
      <c r="O279">
        <v>17.13</v>
      </c>
      <c r="P279">
        <v>2</v>
      </c>
      <c r="Q279">
        <v>14</v>
      </c>
      <c r="R279">
        <v>1.26</v>
      </c>
      <c r="U279">
        <f>H279*(1-N279%)</f>
        <v>15.917065999999998</v>
      </c>
      <c r="V279">
        <f>U279*I279</f>
        <v>1289.282346</v>
      </c>
      <c r="W279" t="e">
        <f>#REF!-V279</f>
        <v>#REF!</v>
      </c>
      <c r="X279" t="e">
        <f t="shared" si="4"/>
        <v>#REF!</v>
      </c>
    </row>
    <row r="280" spans="1:24" x14ac:dyDescent="0.3">
      <c r="A280">
        <v>1279</v>
      </c>
      <c r="B280" s="2">
        <v>44475</v>
      </c>
      <c r="C280" t="s">
        <v>29</v>
      </c>
      <c r="D280" t="s">
        <v>55</v>
      </c>
      <c r="E280" t="s">
        <v>35</v>
      </c>
      <c r="F280" t="s">
        <v>39</v>
      </c>
      <c r="G280" t="s">
        <v>47</v>
      </c>
      <c r="H280">
        <v>30.69</v>
      </c>
      <c r="I280">
        <v>49</v>
      </c>
      <c r="J280" s="1">
        <f>(H280*I280)+O280</f>
        <v>1537.0100000000002</v>
      </c>
      <c r="K280" s="1">
        <f>(H280*I280)+O280-N280</f>
        <v>1535.1800000000003</v>
      </c>
      <c r="L280">
        <v>201.89</v>
      </c>
      <c r="M280" t="s">
        <v>44</v>
      </c>
      <c r="N280">
        <v>1.83</v>
      </c>
      <c r="O280">
        <v>33.200000000000003</v>
      </c>
      <c r="P280">
        <v>4</v>
      </c>
      <c r="Q280">
        <v>23</v>
      </c>
      <c r="R280">
        <v>7.6</v>
      </c>
      <c r="U280">
        <f>H280*(1-N280%)</f>
        <v>30.128373000000003</v>
      </c>
      <c r="V280">
        <f>U280*I280</f>
        <v>1476.2902770000001</v>
      </c>
      <c r="W280" t="e">
        <f>#REF!-V280</f>
        <v>#REF!</v>
      </c>
      <c r="X280" t="e">
        <f t="shared" si="4"/>
        <v>#REF!</v>
      </c>
    </row>
    <row r="281" spans="1:24" x14ac:dyDescent="0.3">
      <c r="A281">
        <v>1280</v>
      </c>
      <c r="B281" s="2">
        <v>44476</v>
      </c>
      <c r="C281" t="s">
        <v>56</v>
      </c>
      <c r="D281" t="s">
        <v>34</v>
      </c>
      <c r="E281" t="s">
        <v>42</v>
      </c>
      <c r="F281" t="s">
        <v>26</v>
      </c>
      <c r="G281" t="s">
        <v>53</v>
      </c>
      <c r="H281">
        <v>5.38</v>
      </c>
      <c r="I281">
        <v>96</v>
      </c>
      <c r="J281" s="1">
        <f>(H281*I281)+O281</f>
        <v>574.21</v>
      </c>
      <c r="K281" s="1">
        <f>(H281*I281)+O281-N281</f>
        <v>566.78000000000009</v>
      </c>
      <c r="L281">
        <v>511.5</v>
      </c>
      <c r="M281" t="s">
        <v>44</v>
      </c>
      <c r="N281">
        <v>7.43</v>
      </c>
      <c r="O281">
        <v>57.73</v>
      </c>
      <c r="P281">
        <v>3</v>
      </c>
      <c r="Q281">
        <v>17</v>
      </c>
      <c r="R281">
        <v>7.62</v>
      </c>
      <c r="U281">
        <f>H281*(1-N281%)</f>
        <v>4.9802659999999994</v>
      </c>
      <c r="V281">
        <f>U281*I281</f>
        <v>478.10553599999992</v>
      </c>
      <c r="W281" t="e">
        <f>#REF!-V281</f>
        <v>#REF!</v>
      </c>
      <c r="X281" t="e">
        <f t="shared" si="4"/>
        <v>#REF!</v>
      </c>
    </row>
    <row r="282" spans="1:24" x14ac:dyDescent="0.3">
      <c r="A282">
        <v>1281</v>
      </c>
      <c r="B282" s="2">
        <v>44477</v>
      </c>
      <c r="C282" t="s">
        <v>41</v>
      </c>
      <c r="D282" t="s">
        <v>24</v>
      </c>
      <c r="E282" t="s">
        <v>25</v>
      </c>
      <c r="F282" t="s">
        <v>39</v>
      </c>
      <c r="G282" t="s">
        <v>36</v>
      </c>
      <c r="H282">
        <v>17.46</v>
      </c>
      <c r="I282">
        <v>67</v>
      </c>
      <c r="J282" s="1">
        <f>(H282*I282)+O282</f>
        <v>1179.5400000000002</v>
      </c>
      <c r="K282" s="1">
        <f>(H282*I282)+O282-N282</f>
        <v>1174.8600000000001</v>
      </c>
      <c r="L282">
        <v>433.31</v>
      </c>
      <c r="M282" t="s">
        <v>28</v>
      </c>
      <c r="N282">
        <v>4.68</v>
      </c>
      <c r="O282">
        <v>9.7200000000000006</v>
      </c>
      <c r="P282">
        <v>2</v>
      </c>
      <c r="Q282">
        <v>16</v>
      </c>
      <c r="R282">
        <v>7.4</v>
      </c>
      <c r="U282">
        <f>H282*(1-N282%)</f>
        <v>16.642872000000001</v>
      </c>
      <c r="V282">
        <f>U282*I282</f>
        <v>1115.072424</v>
      </c>
      <c r="W282" t="e">
        <f>#REF!-V282</f>
        <v>#REF!</v>
      </c>
      <c r="X282" t="e">
        <f t="shared" si="4"/>
        <v>#REF!</v>
      </c>
    </row>
    <row r="283" spans="1:24" x14ac:dyDescent="0.3">
      <c r="A283">
        <v>1282</v>
      </c>
      <c r="B283" s="2">
        <v>44478</v>
      </c>
      <c r="C283" t="s">
        <v>48</v>
      </c>
      <c r="D283" t="s">
        <v>49</v>
      </c>
      <c r="E283" t="s">
        <v>25</v>
      </c>
      <c r="F283" t="s">
        <v>26</v>
      </c>
      <c r="G283" t="s">
        <v>45</v>
      </c>
      <c r="H283">
        <v>43.1</v>
      </c>
      <c r="I283">
        <v>36</v>
      </c>
      <c r="J283" s="1">
        <f>(H283*I283)+O283</f>
        <v>1625.0700000000002</v>
      </c>
      <c r="K283" s="1">
        <f>(H283*I283)+O283-N283</f>
        <v>1609.5600000000002</v>
      </c>
      <c r="L283">
        <v>1211.8699999999999</v>
      </c>
      <c r="M283" t="s">
        <v>37</v>
      </c>
      <c r="N283">
        <v>15.51</v>
      </c>
      <c r="O283">
        <v>73.47</v>
      </c>
      <c r="P283">
        <v>2</v>
      </c>
      <c r="Q283">
        <v>24</v>
      </c>
      <c r="R283">
        <v>4.83</v>
      </c>
      <c r="U283">
        <f>H283*(1-N283%)</f>
        <v>36.415190000000003</v>
      </c>
      <c r="V283">
        <f>U283*I283</f>
        <v>1310.9468400000001</v>
      </c>
      <c r="W283" t="e">
        <f>#REF!-V283</f>
        <v>#REF!</v>
      </c>
      <c r="X283" t="e">
        <f t="shared" si="4"/>
        <v>#REF!</v>
      </c>
    </row>
    <row r="284" spans="1:24" x14ac:dyDescent="0.3">
      <c r="A284">
        <v>1283</v>
      </c>
      <c r="B284" s="2">
        <v>44479</v>
      </c>
      <c r="C284" t="s">
        <v>52</v>
      </c>
      <c r="D284" t="s">
        <v>58</v>
      </c>
      <c r="E284" t="s">
        <v>25</v>
      </c>
      <c r="F284" t="s">
        <v>39</v>
      </c>
      <c r="G284" t="s">
        <v>36</v>
      </c>
      <c r="H284">
        <v>56.13</v>
      </c>
      <c r="I284">
        <v>13</v>
      </c>
      <c r="J284" s="1">
        <f>(H284*I284)+O284</f>
        <v>771.2</v>
      </c>
      <c r="K284" s="1">
        <f>(H284*I284)+O284-N284</f>
        <v>760.87</v>
      </c>
      <c r="L284">
        <v>1044.25</v>
      </c>
      <c r="M284" t="s">
        <v>44</v>
      </c>
      <c r="N284">
        <v>10.33</v>
      </c>
      <c r="O284">
        <v>41.51</v>
      </c>
      <c r="P284">
        <v>4</v>
      </c>
      <c r="Q284">
        <v>19</v>
      </c>
      <c r="R284">
        <v>5.81</v>
      </c>
      <c r="U284">
        <f>H284*(1-N284%)</f>
        <v>50.331771000000003</v>
      </c>
      <c r="V284">
        <f>U284*I284</f>
        <v>654.31302300000004</v>
      </c>
      <c r="W284" t="e">
        <f>#REF!-V284</f>
        <v>#REF!</v>
      </c>
      <c r="X284" t="e">
        <f t="shared" si="4"/>
        <v>#REF!</v>
      </c>
    </row>
    <row r="285" spans="1:24" x14ac:dyDescent="0.3">
      <c r="A285">
        <v>1284</v>
      </c>
      <c r="B285" s="2">
        <v>44480</v>
      </c>
      <c r="C285" t="s">
        <v>38</v>
      </c>
      <c r="D285" t="s">
        <v>55</v>
      </c>
      <c r="E285" t="s">
        <v>35</v>
      </c>
      <c r="F285" t="s">
        <v>26</v>
      </c>
      <c r="G285" t="s">
        <v>27</v>
      </c>
      <c r="H285">
        <v>10.36</v>
      </c>
      <c r="I285">
        <v>85</v>
      </c>
      <c r="J285" s="1">
        <f>(H285*I285)+O285</f>
        <v>942.6099999999999</v>
      </c>
      <c r="K285" s="1">
        <f>(H285*I285)+O285-N285</f>
        <v>933.8</v>
      </c>
      <c r="L285">
        <v>1004.9</v>
      </c>
      <c r="M285" t="s">
        <v>44</v>
      </c>
      <c r="N285">
        <v>8.81</v>
      </c>
      <c r="O285">
        <v>62.01</v>
      </c>
      <c r="P285">
        <v>4</v>
      </c>
      <c r="Q285">
        <v>2</v>
      </c>
      <c r="R285">
        <v>7.35</v>
      </c>
      <c r="U285">
        <f>H285*(1-N285%)</f>
        <v>9.447283999999998</v>
      </c>
      <c r="V285">
        <f>U285*I285</f>
        <v>803.01913999999988</v>
      </c>
      <c r="W285" t="e">
        <f>#REF!-V285</f>
        <v>#REF!</v>
      </c>
      <c r="X285" t="e">
        <f t="shared" si="4"/>
        <v>#REF!</v>
      </c>
    </row>
    <row r="286" spans="1:24" x14ac:dyDescent="0.3">
      <c r="A286">
        <v>1285</v>
      </c>
      <c r="B286" s="2">
        <v>44481</v>
      </c>
      <c r="C286" t="s">
        <v>48</v>
      </c>
      <c r="D286" t="s">
        <v>34</v>
      </c>
      <c r="E286" t="s">
        <v>31</v>
      </c>
      <c r="F286" t="s">
        <v>26</v>
      </c>
      <c r="G286" t="s">
        <v>50</v>
      </c>
      <c r="H286">
        <v>73.53</v>
      </c>
      <c r="I286">
        <v>92</v>
      </c>
      <c r="J286" s="1">
        <f>(H286*I286)+O286</f>
        <v>6837.47</v>
      </c>
      <c r="K286" s="1">
        <f>(H286*I286)+O286-N286</f>
        <v>6836.3</v>
      </c>
      <c r="L286">
        <v>1204.32</v>
      </c>
      <c r="M286" t="s">
        <v>37</v>
      </c>
      <c r="N286">
        <v>1.17</v>
      </c>
      <c r="O286">
        <v>72.709999999999994</v>
      </c>
      <c r="P286">
        <v>4</v>
      </c>
      <c r="Q286">
        <v>1</v>
      </c>
      <c r="R286">
        <v>0.96</v>
      </c>
      <c r="U286">
        <f>H286*(1-N286%)</f>
        <v>72.669698999999994</v>
      </c>
      <c r="V286">
        <f>U286*I286</f>
        <v>6685.6123079999998</v>
      </c>
      <c r="W286" t="e">
        <f>#REF!-V286</f>
        <v>#REF!</v>
      </c>
      <c r="X286" t="e">
        <f t="shared" si="4"/>
        <v>#REF!</v>
      </c>
    </row>
    <row r="287" spans="1:24" x14ac:dyDescent="0.3">
      <c r="A287">
        <v>1286</v>
      </c>
      <c r="B287" s="2">
        <v>44482</v>
      </c>
      <c r="C287" t="s">
        <v>38</v>
      </c>
      <c r="D287" t="s">
        <v>58</v>
      </c>
      <c r="E287" t="s">
        <v>31</v>
      </c>
      <c r="F287" t="s">
        <v>39</v>
      </c>
      <c r="G287" t="s">
        <v>36</v>
      </c>
      <c r="H287">
        <v>3.78</v>
      </c>
      <c r="I287">
        <v>26</v>
      </c>
      <c r="J287" s="1">
        <f>(H287*I287)+O287</f>
        <v>182.61</v>
      </c>
      <c r="K287" s="1">
        <f>(H287*I287)+O287-N287</f>
        <v>172.4</v>
      </c>
      <c r="L287">
        <v>1264.43</v>
      </c>
      <c r="M287" t="s">
        <v>44</v>
      </c>
      <c r="N287">
        <v>10.210000000000001</v>
      </c>
      <c r="O287">
        <v>84.33</v>
      </c>
      <c r="P287">
        <v>3</v>
      </c>
      <c r="Q287">
        <v>25</v>
      </c>
      <c r="R287">
        <v>3.72</v>
      </c>
      <c r="U287">
        <f>H287*(1-N287%)</f>
        <v>3.3940619999999999</v>
      </c>
      <c r="V287">
        <f>U287*I287</f>
        <v>88.245611999999994</v>
      </c>
      <c r="W287" t="e">
        <f>#REF!-V287</f>
        <v>#REF!</v>
      </c>
      <c r="X287" t="e">
        <f t="shared" si="4"/>
        <v>#REF!</v>
      </c>
    </row>
    <row r="288" spans="1:24" x14ac:dyDescent="0.3">
      <c r="A288">
        <v>1287</v>
      </c>
      <c r="B288" s="2">
        <v>44483</v>
      </c>
      <c r="C288" t="s">
        <v>38</v>
      </c>
      <c r="D288" t="s">
        <v>24</v>
      </c>
      <c r="E288" t="s">
        <v>42</v>
      </c>
      <c r="F288" t="s">
        <v>32</v>
      </c>
      <c r="G288" t="s">
        <v>50</v>
      </c>
      <c r="H288">
        <v>21.11</v>
      </c>
      <c r="I288">
        <v>18</v>
      </c>
      <c r="J288" s="1">
        <f>(H288*I288)+O288</f>
        <v>394.43</v>
      </c>
      <c r="K288" s="1">
        <f>(H288*I288)+O288-N288</f>
        <v>386.03000000000003</v>
      </c>
      <c r="L288">
        <v>92.84</v>
      </c>
      <c r="M288" t="s">
        <v>44</v>
      </c>
      <c r="N288">
        <v>8.4</v>
      </c>
      <c r="O288">
        <v>14.45</v>
      </c>
      <c r="P288">
        <v>5</v>
      </c>
      <c r="Q288">
        <v>7</v>
      </c>
      <c r="R288">
        <v>2.9</v>
      </c>
      <c r="U288">
        <f>H288*(1-N288%)</f>
        <v>19.336760000000002</v>
      </c>
      <c r="V288">
        <f>U288*I288</f>
        <v>348.06168000000002</v>
      </c>
      <c r="W288" t="e">
        <f>#REF!-V288</f>
        <v>#REF!</v>
      </c>
      <c r="X288" t="e">
        <f t="shared" si="4"/>
        <v>#REF!</v>
      </c>
    </row>
    <row r="289" spans="1:24" x14ac:dyDescent="0.3">
      <c r="A289">
        <v>1288</v>
      </c>
      <c r="B289" s="2">
        <v>44484</v>
      </c>
      <c r="C289" t="s">
        <v>29</v>
      </c>
      <c r="D289" t="s">
        <v>24</v>
      </c>
      <c r="E289" t="s">
        <v>35</v>
      </c>
      <c r="F289" t="s">
        <v>39</v>
      </c>
      <c r="G289" t="s">
        <v>36</v>
      </c>
      <c r="H289">
        <v>44.92</v>
      </c>
      <c r="I289">
        <v>15</v>
      </c>
      <c r="J289" s="1">
        <f>(H289*I289)+O289</f>
        <v>686.37000000000012</v>
      </c>
      <c r="K289" s="1">
        <f>(H289*I289)+O289-N289</f>
        <v>685.6400000000001</v>
      </c>
      <c r="L289">
        <v>1368.54</v>
      </c>
      <c r="M289" t="s">
        <v>44</v>
      </c>
      <c r="N289">
        <v>0.73</v>
      </c>
      <c r="O289">
        <v>12.57</v>
      </c>
      <c r="P289">
        <v>5</v>
      </c>
      <c r="Q289">
        <v>17</v>
      </c>
      <c r="R289">
        <v>3.16</v>
      </c>
      <c r="U289">
        <f>H289*(1-N289%)</f>
        <v>44.592084</v>
      </c>
      <c r="V289">
        <f>U289*I289</f>
        <v>668.88126</v>
      </c>
      <c r="W289" t="e">
        <f>#REF!-V289</f>
        <v>#REF!</v>
      </c>
      <c r="X289" t="e">
        <f t="shared" si="4"/>
        <v>#REF!</v>
      </c>
    </row>
    <row r="290" spans="1:24" x14ac:dyDescent="0.3">
      <c r="A290">
        <v>1289</v>
      </c>
      <c r="B290" s="2">
        <v>44485</v>
      </c>
      <c r="C290" t="s">
        <v>56</v>
      </c>
      <c r="D290" t="s">
        <v>49</v>
      </c>
      <c r="E290" t="s">
        <v>25</v>
      </c>
      <c r="F290" t="s">
        <v>39</v>
      </c>
      <c r="G290" t="s">
        <v>45</v>
      </c>
      <c r="H290">
        <v>9.51</v>
      </c>
      <c r="I290">
        <v>20</v>
      </c>
      <c r="J290" s="1">
        <f>(H290*I290)+O290</f>
        <v>230.89</v>
      </c>
      <c r="K290" s="1">
        <f>(H290*I290)+O290-N290</f>
        <v>213.54999999999998</v>
      </c>
      <c r="L290">
        <v>1460.38</v>
      </c>
      <c r="M290" t="s">
        <v>37</v>
      </c>
      <c r="N290">
        <v>17.34</v>
      </c>
      <c r="O290">
        <v>40.69</v>
      </c>
      <c r="P290">
        <v>5</v>
      </c>
      <c r="Q290">
        <v>28</v>
      </c>
      <c r="R290">
        <v>1.34</v>
      </c>
      <c r="U290">
        <f>H290*(1-N290%)</f>
        <v>7.8609659999999995</v>
      </c>
      <c r="V290">
        <f>U290*I290</f>
        <v>157.21931999999998</v>
      </c>
      <c r="W290" t="e">
        <f>#REF!-V290</f>
        <v>#REF!</v>
      </c>
      <c r="X290" t="e">
        <f t="shared" si="4"/>
        <v>#REF!</v>
      </c>
    </row>
    <row r="291" spans="1:24" x14ac:dyDescent="0.3">
      <c r="A291">
        <v>1290</v>
      </c>
      <c r="B291" s="2">
        <v>44486</v>
      </c>
      <c r="C291" t="s">
        <v>57</v>
      </c>
      <c r="D291" t="s">
        <v>30</v>
      </c>
      <c r="E291" t="s">
        <v>25</v>
      </c>
      <c r="F291" t="s">
        <v>32</v>
      </c>
      <c r="G291" t="s">
        <v>40</v>
      </c>
      <c r="H291">
        <v>51.08</v>
      </c>
      <c r="I291">
        <v>46</v>
      </c>
      <c r="J291" s="1">
        <f>(H291*I291)+O291</f>
        <v>2432.6699999999996</v>
      </c>
      <c r="K291" s="1">
        <f>(H291*I291)+O291-N291</f>
        <v>2426.9599999999996</v>
      </c>
      <c r="L291">
        <v>763.62</v>
      </c>
      <c r="M291" t="s">
        <v>28</v>
      </c>
      <c r="N291">
        <v>5.71</v>
      </c>
      <c r="O291">
        <v>82.99</v>
      </c>
      <c r="P291">
        <v>3</v>
      </c>
      <c r="Q291">
        <v>20</v>
      </c>
      <c r="R291">
        <v>5.74</v>
      </c>
      <c r="U291">
        <f>H291*(1-N291%)</f>
        <v>48.163331999999997</v>
      </c>
      <c r="V291">
        <f>U291*I291</f>
        <v>2215.5132719999997</v>
      </c>
      <c r="W291" t="e">
        <f>#REF!-V291</f>
        <v>#REF!</v>
      </c>
      <c r="X291" t="e">
        <f t="shared" si="4"/>
        <v>#REF!</v>
      </c>
    </row>
    <row r="292" spans="1:24" x14ac:dyDescent="0.3">
      <c r="A292">
        <v>1291</v>
      </c>
      <c r="B292" s="2">
        <v>44487</v>
      </c>
      <c r="C292" t="s">
        <v>57</v>
      </c>
      <c r="D292" t="s">
        <v>55</v>
      </c>
      <c r="E292" t="s">
        <v>31</v>
      </c>
      <c r="F292" t="s">
        <v>26</v>
      </c>
      <c r="G292" t="s">
        <v>36</v>
      </c>
      <c r="H292">
        <v>41.91</v>
      </c>
      <c r="I292">
        <v>88</v>
      </c>
      <c r="J292" s="1">
        <f>(H292*I292)+O292</f>
        <v>3700.94</v>
      </c>
      <c r="K292" s="1">
        <f>(H292*I292)+O292-N292</f>
        <v>3689.03</v>
      </c>
      <c r="L292">
        <v>676.75</v>
      </c>
      <c r="M292" t="s">
        <v>28</v>
      </c>
      <c r="N292">
        <v>11.91</v>
      </c>
      <c r="O292">
        <v>12.86</v>
      </c>
      <c r="P292">
        <v>1</v>
      </c>
      <c r="Q292">
        <v>6</v>
      </c>
      <c r="R292">
        <v>9.43</v>
      </c>
      <c r="U292">
        <f>H292*(1-N292%)</f>
        <v>36.918518999999996</v>
      </c>
      <c r="V292">
        <f>U292*I292</f>
        <v>3248.8296719999998</v>
      </c>
      <c r="W292" t="e">
        <f>#REF!-V292</f>
        <v>#REF!</v>
      </c>
      <c r="X292" t="e">
        <f t="shared" si="4"/>
        <v>#REF!</v>
      </c>
    </row>
    <row r="293" spans="1:24" x14ac:dyDescent="0.3">
      <c r="A293">
        <v>1292</v>
      </c>
      <c r="B293" s="2">
        <v>44488</v>
      </c>
      <c r="C293" t="s">
        <v>51</v>
      </c>
      <c r="D293" t="s">
        <v>24</v>
      </c>
      <c r="E293" t="s">
        <v>35</v>
      </c>
      <c r="F293" t="s">
        <v>32</v>
      </c>
      <c r="G293" t="s">
        <v>50</v>
      </c>
      <c r="H293">
        <v>57.13</v>
      </c>
      <c r="I293">
        <v>88</v>
      </c>
      <c r="J293" s="1">
        <f>(H293*I293)+O293</f>
        <v>5126.8200000000006</v>
      </c>
      <c r="K293" s="1">
        <f>(H293*I293)+O293-N293</f>
        <v>5118.51</v>
      </c>
      <c r="L293">
        <v>77.650000000000006</v>
      </c>
      <c r="M293" t="s">
        <v>37</v>
      </c>
      <c r="N293">
        <v>8.31</v>
      </c>
      <c r="O293">
        <v>99.38</v>
      </c>
      <c r="P293">
        <v>5</v>
      </c>
      <c r="Q293">
        <v>18</v>
      </c>
      <c r="R293">
        <v>3.61</v>
      </c>
      <c r="U293">
        <f>H293*(1-N293%)</f>
        <v>52.382497000000008</v>
      </c>
      <c r="V293">
        <f>U293*I293</f>
        <v>4609.6597360000005</v>
      </c>
      <c r="W293" t="e">
        <f>#REF!-V293</f>
        <v>#REF!</v>
      </c>
      <c r="X293" t="e">
        <f t="shared" si="4"/>
        <v>#REF!</v>
      </c>
    </row>
    <row r="294" spans="1:24" x14ac:dyDescent="0.3">
      <c r="A294">
        <v>1293</v>
      </c>
      <c r="B294" s="2">
        <v>44489</v>
      </c>
      <c r="C294" t="s">
        <v>51</v>
      </c>
      <c r="D294" t="s">
        <v>54</v>
      </c>
      <c r="E294" t="s">
        <v>42</v>
      </c>
      <c r="F294" t="s">
        <v>26</v>
      </c>
      <c r="G294" t="s">
        <v>53</v>
      </c>
      <c r="H294">
        <v>24.16</v>
      </c>
      <c r="I294">
        <v>91</v>
      </c>
      <c r="J294" s="1">
        <f>(H294*I294)+O294</f>
        <v>2296.98</v>
      </c>
      <c r="K294" s="1">
        <f>(H294*I294)+O294-N294</f>
        <v>2287.81</v>
      </c>
      <c r="L294">
        <v>425.08</v>
      </c>
      <c r="M294" t="s">
        <v>37</v>
      </c>
      <c r="N294">
        <v>9.17</v>
      </c>
      <c r="O294">
        <v>98.42</v>
      </c>
      <c r="P294">
        <v>2</v>
      </c>
      <c r="Q294">
        <v>22</v>
      </c>
      <c r="R294">
        <v>9.52</v>
      </c>
      <c r="U294">
        <f>H294*(1-N294%)</f>
        <v>21.944528000000002</v>
      </c>
      <c r="V294">
        <f>U294*I294</f>
        <v>1996.9520480000001</v>
      </c>
      <c r="W294" t="e">
        <f>#REF!-V294</f>
        <v>#REF!</v>
      </c>
      <c r="X294" t="e">
        <f t="shared" si="4"/>
        <v>#REF!</v>
      </c>
    </row>
    <row r="295" spans="1:24" x14ac:dyDescent="0.3">
      <c r="A295">
        <v>1294</v>
      </c>
      <c r="B295" s="2">
        <v>44490</v>
      </c>
      <c r="C295" t="s">
        <v>51</v>
      </c>
      <c r="D295" t="s">
        <v>49</v>
      </c>
      <c r="E295" t="s">
        <v>31</v>
      </c>
      <c r="F295" t="s">
        <v>26</v>
      </c>
      <c r="G295" t="s">
        <v>50</v>
      </c>
      <c r="H295">
        <v>26.51</v>
      </c>
      <c r="I295">
        <v>12</v>
      </c>
      <c r="J295" s="1">
        <f>(H295*I295)+O295</f>
        <v>373.13</v>
      </c>
      <c r="K295" s="1">
        <f>(H295*I295)+O295-N295</f>
        <v>373</v>
      </c>
      <c r="L295">
        <v>457.93</v>
      </c>
      <c r="M295" t="s">
        <v>37</v>
      </c>
      <c r="N295">
        <v>0.13</v>
      </c>
      <c r="O295">
        <v>55.01</v>
      </c>
      <c r="P295">
        <v>1</v>
      </c>
      <c r="Q295">
        <v>5</v>
      </c>
      <c r="R295">
        <v>5.94</v>
      </c>
      <c r="U295">
        <f>H295*(1-N295%)</f>
        <v>26.475537000000003</v>
      </c>
      <c r="V295">
        <f>U295*I295</f>
        <v>317.70644400000003</v>
      </c>
      <c r="W295" t="e">
        <f>#REF!-V295</f>
        <v>#REF!</v>
      </c>
      <c r="X295" t="e">
        <f t="shared" si="4"/>
        <v>#REF!</v>
      </c>
    </row>
    <row r="296" spans="1:24" x14ac:dyDescent="0.3">
      <c r="A296">
        <v>1295</v>
      </c>
      <c r="B296" s="2">
        <v>44491</v>
      </c>
      <c r="C296" t="s">
        <v>51</v>
      </c>
      <c r="D296" t="s">
        <v>34</v>
      </c>
      <c r="E296" t="s">
        <v>25</v>
      </c>
      <c r="F296" t="s">
        <v>26</v>
      </c>
      <c r="G296" t="s">
        <v>53</v>
      </c>
      <c r="H296">
        <v>63.68</v>
      </c>
      <c r="I296">
        <v>32</v>
      </c>
      <c r="J296" s="1">
        <f>(H296*I296)+O296</f>
        <v>2132.4299999999998</v>
      </c>
      <c r="K296" s="1">
        <f>(H296*I296)+O296-N296</f>
        <v>2129.7599999999998</v>
      </c>
      <c r="L296">
        <v>167.63</v>
      </c>
      <c r="M296" t="s">
        <v>28</v>
      </c>
      <c r="N296">
        <v>2.67</v>
      </c>
      <c r="O296">
        <v>94.67</v>
      </c>
      <c r="P296">
        <v>2</v>
      </c>
      <c r="Q296">
        <v>3</v>
      </c>
      <c r="R296">
        <v>2.92</v>
      </c>
      <c r="U296">
        <f>H296*(1-N296%)</f>
        <v>61.979744000000004</v>
      </c>
      <c r="V296">
        <f>U296*I296</f>
        <v>1983.3518080000001</v>
      </c>
      <c r="W296" t="e">
        <f>#REF!-V296</f>
        <v>#REF!</v>
      </c>
      <c r="X296" t="e">
        <f t="shared" si="4"/>
        <v>#REF!</v>
      </c>
    </row>
    <row r="297" spans="1:24" x14ac:dyDescent="0.3">
      <c r="A297">
        <v>1296</v>
      </c>
      <c r="B297" s="2">
        <v>44492</v>
      </c>
      <c r="C297" t="s">
        <v>56</v>
      </c>
      <c r="D297" t="s">
        <v>24</v>
      </c>
      <c r="E297" t="s">
        <v>25</v>
      </c>
      <c r="F297" t="s">
        <v>32</v>
      </c>
      <c r="G297" t="s">
        <v>27</v>
      </c>
      <c r="H297">
        <v>65.89</v>
      </c>
      <c r="I297">
        <v>85</v>
      </c>
      <c r="J297" s="1">
        <f>(H297*I297)+O297</f>
        <v>5678.21</v>
      </c>
      <c r="K297" s="1">
        <f>(H297*I297)+O297-N297</f>
        <v>5664.63</v>
      </c>
      <c r="L297">
        <v>1112.19</v>
      </c>
      <c r="M297" t="s">
        <v>28</v>
      </c>
      <c r="N297">
        <v>13.58</v>
      </c>
      <c r="O297">
        <v>77.56</v>
      </c>
      <c r="P297">
        <v>2</v>
      </c>
      <c r="Q297">
        <v>24</v>
      </c>
      <c r="R297">
        <v>6.99</v>
      </c>
      <c r="U297">
        <f>H297*(1-N297%)</f>
        <v>56.942138</v>
      </c>
      <c r="V297">
        <f>U297*I297</f>
        <v>4840.0817299999999</v>
      </c>
      <c r="W297" t="e">
        <f>#REF!-V297</f>
        <v>#REF!</v>
      </c>
      <c r="X297" t="e">
        <f t="shared" si="4"/>
        <v>#REF!</v>
      </c>
    </row>
    <row r="298" spans="1:24" x14ac:dyDescent="0.3">
      <c r="A298">
        <v>1297</v>
      </c>
      <c r="B298" s="2">
        <v>44493</v>
      </c>
      <c r="C298" t="s">
        <v>29</v>
      </c>
      <c r="D298" t="s">
        <v>34</v>
      </c>
      <c r="E298" t="s">
        <v>42</v>
      </c>
      <c r="F298" t="s">
        <v>39</v>
      </c>
      <c r="G298" t="s">
        <v>47</v>
      </c>
      <c r="H298">
        <v>18.14</v>
      </c>
      <c r="I298">
        <v>59</v>
      </c>
      <c r="J298" s="1">
        <f>(H298*I298)+O298</f>
        <v>1133.57</v>
      </c>
      <c r="K298" s="1">
        <f>(H298*I298)+O298-N298</f>
        <v>1124.79</v>
      </c>
      <c r="L298">
        <v>1049.31</v>
      </c>
      <c r="M298" t="s">
        <v>44</v>
      </c>
      <c r="N298">
        <v>8.7799999999999994</v>
      </c>
      <c r="O298">
        <v>63.31</v>
      </c>
      <c r="P298">
        <v>5</v>
      </c>
      <c r="Q298">
        <v>10</v>
      </c>
      <c r="R298">
        <v>6.59</v>
      </c>
      <c r="U298">
        <f>H298*(1-N298%)</f>
        <v>16.547308000000001</v>
      </c>
      <c r="V298">
        <f>U298*I298</f>
        <v>976.29117200000007</v>
      </c>
      <c r="W298" t="e">
        <f>#REF!-V298</f>
        <v>#REF!</v>
      </c>
      <c r="X298" t="e">
        <f t="shared" si="4"/>
        <v>#REF!</v>
      </c>
    </row>
    <row r="299" spans="1:24" x14ac:dyDescent="0.3">
      <c r="A299">
        <v>1298</v>
      </c>
      <c r="B299" s="2">
        <v>44494</v>
      </c>
      <c r="C299" t="s">
        <v>23</v>
      </c>
      <c r="D299" t="s">
        <v>54</v>
      </c>
      <c r="E299" t="s">
        <v>42</v>
      </c>
      <c r="F299" t="s">
        <v>39</v>
      </c>
      <c r="G299" t="s">
        <v>43</v>
      </c>
      <c r="H299">
        <v>72.44</v>
      </c>
      <c r="I299">
        <v>98</v>
      </c>
      <c r="J299" s="1">
        <f>(H299*I299)+O299</f>
        <v>7184.5</v>
      </c>
      <c r="K299" s="1">
        <f>(H299*I299)+O299-N299</f>
        <v>7175.65</v>
      </c>
      <c r="L299">
        <v>228.13</v>
      </c>
      <c r="M299" t="s">
        <v>44</v>
      </c>
      <c r="N299">
        <v>8.85</v>
      </c>
      <c r="O299">
        <v>85.38</v>
      </c>
      <c r="P299">
        <v>3</v>
      </c>
      <c r="Q299">
        <v>9</v>
      </c>
      <c r="R299">
        <v>2.23</v>
      </c>
      <c r="U299">
        <f>H299*(1-N299%)</f>
        <v>66.029060000000001</v>
      </c>
      <c r="V299">
        <f>U299*I299</f>
        <v>6470.8478800000003</v>
      </c>
      <c r="W299" t="e">
        <f>#REF!-V299</f>
        <v>#REF!</v>
      </c>
      <c r="X299" t="e">
        <f t="shared" si="4"/>
        <v>#REF!</v>
      </c>
    </row>
    <row r="300" spans="1:24" x14ac:dyDescent="0.3">
      <c r="A300">
        <v>1299</v>
      </c>
      <c r="B300" s="2">
        <v>44495</v>
      </c>
      <c r="C300" t="s">
        <v>41</v>
      </c>
      <c r="D300" t="s">
        <v>54</v>
      </c>
      <c r="E300" t="s">
        <v>35</v>
      </c>
      <c r="F300" t="s">
        <v>32</v>
      </c>
      <c r="G300" t="s">
        <v>40</v>
      </c>
      <c r="H300">
        <v>58.16</v>
      </c>
      <c r="I300">
        <v>27</v>
      </c>
      <c r="J300" s="1">
        <f>(H300*I300)+O300</f>
        <v>1634.1599999999999</v>
      </c>
      <c r="K300" s="1">
        <f>(H300*I300)+O300-N300</f>
        <v>1626.07</v>
      </c>
      <c r="L300">
        <v>580.89</v>
      </c>
      <c r="M300" t="s">
        <v>28</v>
      </c>
      <c r="N300">
        <v>8.09</v>
      </c>
      <c r="O300">
        <v>63.84</v>
      </c>
      <c r="P300">
        <v>1</v>
      </c>
      <c r="Q300">
        <v>26</v>
      </c>
      <c r="R300">
        <v>9.5399999999999991</v>
      </c>
      <c r="U300">
        <f>H300*(1-N300%)</f>
        <v>53.454855999999999</v>
      </c>
      <c r="V300">
        <f>U300*I300</f>
        <v>1443.2811119999999</v>
      </c>
      <c r="W300" t="e">
        <f>#REF!-V300</f>
        <v>#REF!</v>
      </c>
      <c r="X300" t="e">
        <f t="shared" si="4"/>
        <v>#REF!</v>
      </c>
    </row>
    <row r="301" spans="1:24" x14ac:dyDescent="0.3">
      <c r="A301">
        <v>1300</v>
      </c>
      <c r="B301" s="2">
        <v>44496</v>
      </c>
      <c r="C301" t="s">
        <v>41</v>
      </c>
      <c r="D301" t="s">
        <v>58</v>
      </c>
      <c r="E301" t="s">
        <v>25</v>
      </c>
      <c r="F301" t="s">
        <v>32</v>
      </c>
      <c r="G301" t="s">
        <v>27</v>
      </c>
      <c r="H301">
        <v>34.64</v>
      </c>
      <c r="I301">
        <v>75</v>
      </c>
      <c r="J301" s="1">
        <f>(H301*I301)+O301</f>
        <v>2630.51</v>
      </c>
      <c r="K301" s="1">
        <f>(H301*I301)+O301-N301</f>
        <v>2622.8500000000004</v>
      </c>
      <c r="L301">
        <v>1113.33</v>
      </c>
      <c r="M301" t="s">
        <v>44</v>
      </c>
      <c r="N301">
        <v>7.66</v>
      </c>
      <c r="O301">
        <v>32.51</v>
      </c>
      <c r="P301">
        <v>5</v>
      </c>
      <c r="Q301">
        <v>12</v>
      </c>
      <c r="R301">
        <v>0.19</v>
      </c>
      <c r="U301">
        <f>H301*(1-N301%)</f>
        <v>31.986575999999999</v>
      </c>
      <c r="V301">
        <f>U301*I301</f>
        <v>2398.9931999999999</v>
      </c>
      <c r="W301" t="e">
        <f>#REF!-V301</f>
        <v>#REF!</v>
      </c>
      <c r="X301" t="e">
        <f t="shared" si="4"/>
        <v>#REF!</v>
      </c>
    </row>
    <row r="302" spans="1:24" x14ac:dyDescent="0.3">
      <c r="A302">
        <v>1301</v>
      </c>
      <c r="B302" s="2">
        <v>44497</v>
      </c>
      <c r="C302" t="s">
        <v>29</v>
      </c>
      <c r="D302" t="s">
        <v>34</v>
      </c>
      <c r="E302" t="s">
        <v>31</v>
      </c>
      <c r="F302" t="s">
        <v>39</v>
      </c>
      <c r="G302" t="s">
        <v>43</v>
      </c>
      <c r="H302">
        <v>71</v>
      </c>
      <c r="I302">
        <v>49</v>
      </c>
      <c r="J302" s="1">
        <f>(H302*I302)+O302</f>
        <v>3509.8</v>
      </c>
      <c r="K302" s="1">
        <f>(H302*I302)+O302-N302</f>
        <v>3501.3500000000004</v>
      </c>
      <c r="L302">
        <v>1009.96</v>
      </c>
      <c r="M302" t="s">
        <v>28</v>
      </c>
      <c r="N302">
        <v>8.4499999999999993</v>
      </c>
      <c r="O302">
        <v>30.8</v>
      </c>
      <c r="P302">
        <v>3</v>
      </c>
      <c r="Q302">
        <v>21</v>
      </c>
      <c r="R302">
        <v>1.56</v>
      </c>
      <c r="U302">
        <f>H302*(1-N302%)</f>
        <v>65.000500000000002</v>
      </c>
      <c r="V302">
        <f>U302*I302</f>
        <v>3185.0245</v>
      </c>
      <c r="W302" t="e">
        <f>#REF!-V302</f>
        <v>#REF!</v>
      </c>
      <c r="X302" t="e">
        <f t="shared" si="4"/>
        <v>#REF!</v>
      </c>
    </row>
    <row r="303" spans="1:24" x14ac:dyDescent="0.3">
      <c r="A303">
        <v>1302</v>
      </c>
      <c r="B303" s="2">
        <v>44498</v>
      </c>
      <c r="C303" t="s">
        <v>23</v>
      </c>
      <c r="D303" t="s">
        <v>49</v>
      </c>
      <c r="E303" t="s">
        <v>35</v>
      </c>
      <c r="F303" t="s">
        <v>32</v>
      </c>
      <c r="G303" t="s">
        <v>36</v>
      </c>
      <c r="H303">
        <v>33.18</v>
      </c>
      <c r="I303">
        <v>36</v>
      </c>
      <c r="J303" s="1">
        <f>(H303*I303)+O303</f>
        <v>1257.92</v>
      </c>
      <c r="K303" s="1">
        <f>(H303*I303)+O303-N303</f>
        <v>1247.25</v>
      </c>
      <c r="L303">
        <v>1360.72</v>
      </c>
      <c r="M303" t="s">
        <v>28</v>
      </c>
      <c r="N303">
        <v>10.67</v>
      </c>
      <c r="O303">
        <v>63.44</v>
      </c>
      <c r="P303">
        <v>2</v>
      </c>
      <c r="Q303">
        <v>18</v>
      </c>
      <c r="R303">
        <v>3.17</v>
      </c>
      <c r="U303">
        <f>H303*(1-N303%)</f>
        <v>29.639693999999999</v>
      </c>
      <c r="V303">
        <f>U303*I303</f>
        <v>1067.028984</v>
      </c>
      <c r="W303" t="e">
        <f>#REF!-V303</f>
        <v>#REF!</v>
      </c>
      <c r="X303" t="e">
        <f t="shared" si="4"/>
        <v>#REF!</v>
      </c>
    </row>
    <row r="304" spans="1:24" x14ac:dyDescent="0.3">
      <c r="A304">
        <v>1303</v>
      </c>
      <c r="B304" s="2">
        <v>44499</v>
      </c>
      <c r="C304" t="s">
        <v>51</v>
      </c>
      <c r="D304" t="s">
        <v>30</v>
      </c>
      <c r="E304" t="s">
        <v>25</v>
      </c>
      <c r="F304" t="s">
        <v>26</v>
      </c>
      <c r="G304" t="s">
        <v>40</v>
      </c>
      <c r="H304">
        <v>55.61</v>
      </c>
      <c r="I304">
        <v>68</v>
      </c>
      <c r="J304" s="1">
        <f>(H304*I304)+O304</f>
        <v>3822.71</v>
      </c>
      <c r="K304" s="1">
        <f>(H304*I304)+O304-N304</f>
        <v>3819.87</v>
      </c>
      <c r="L304">
        <v>122.05</v>
      </c>
      <c r="M304" t="s">
        <v>44</v>
      </c>
      <c r="N304">
        <v>2.84</v>
      </c>
      <c r="O304">
        <v>41.23</v>
      </c>
      <c r="P304">
        <v>4</v>
      </c>
      <c r="Q304">
        <v>23</v>
      </c>
      <c r="R304">
        <v>5.44</v>
      </c>
      <c r="U304">
        <f>H304*(1-N304%)</f>
        <v>54.030676</v>
      </c>
      <c r="V304">
        <f>U304*I304</f>
        <v>3674.0859679999999</v>
      </c>
      <c r="W304" t="e">
        <f>#REF!-V304</f>
        <v>#REF!</v>
      </c>
      <c r="X304" t="e">
        <f t="shared" si="4"/>
        <v>#REF!</v>
      </c>
    </row>
    <row r="305" spans="1:24" x14ac:dyDescent="0.3">
      <c r="A305">
        <v>1304</v>
      </c>
      <c r="B305" s="2">
        <v>44500</v>
      </c>
      <c r="C305" t="s">
        <v>56</v>
      </c>
      <c r="D305" t="s">
        <v>55</v>
      </c>
      <c r="E305" t="s">
        <v>42</v>
      </c>
      <c r="F305" t="s">
        <v>39</v>
      </c>
      <c r="G305" t="s">
        <v>47</v>
      </c>
      <c r="H305">
        <v>56.32</v>
      </c>
      <c r="I305">
        <v>45</v>
      </c>
      <c r="J305" s="1">
        <f>(H305*I305)+O305</f>
        <v>2588.27</v>
      </c>
      <c r="K305" s="1">
        <f>(H305*I305)+O305-N305</f>
        <v>2581.91</v>
      </c>
      <c r="L305">
        <v>624.34</v>
      </c>
      <c r="M305" t="s">
        <v>44</v>
      </c>
      <c r="N305">
        <v>6.36</v>
      </c>
      <c r="O305">
        <v>53.87</v>
      </c>
      <c r="P305">
        <v>1</v>
      </c>
      <c r="Q305">
        <v>18</v>
      </c>
      <c r="R305">
        <v>8.52</v>
      </c>
      <c r="U305">
        <f>H305*(1-N305%)</f>
        <v>52.738047999999999</v>
      </c>
      <c r="V305">
        <f>U305*I305</f>
        <v>2373.21216</v>
      </c>
      <c r="W305" t="e">
        <f>#REF!-V305</f>
        <v>#REF!</v>
      </c>
      <c r="X305" t="e">
        <f t="shared" si="4"/>
        <v>#REF!</v>
      </c>
    </row>
    <row r="306" spans="1:24" x14ac:dyDescent="0.3">
      <c r="A306">
        <v>1305</v>
      </c>
      <c r="B306" s="2">
        <v>44501</v>
      </c>
      <c r="C306" t="s">
        <v>57</v>
      </c>
      <c r="D306" t="s">
        <v>58</v>
      </c>
      <c r="E306" t="s">
        <v>35</v>
      </c>
      <c r="F306" t="s">
        <v>39</v>
      </c>
      <c r="G306" t="s">
        <v>27</v>
      </c>
      <c r="H306">
        <v>11.9</v>
      </c>
      <c r="I306">
        <v>31</v>
      </c>
      <c r="J306" s="1">
        <f>(H306*I306)+O306</f>
        <v>459.13000000000005</v>
      </c>
      <c r="K306" s="1">
        <f>(H306*I306)+O306-N306</f>
        <v>447.42000000000007</v>
      </c>
      <c r="L306">
        <v>427.53</v>
      </c>
      <c r="M306" t="s">
        <v>28</v>
      </c>
      <c r="N306">
        <v>11.71</v>
      </c>
      <c r="O306">
        <v>90.23</v>
      </c>
      <c r="P306">
        <v>2</v>
      </c>
      <c r="Q306">
        <v>9</v>
      </c>
      <c r="R306">
        <v>3.2</v>
      </c>
      <c r="U306">
        <f>H306*(1-N306%)</f>
        <v>10.50651</v>
      </c>
      <c r="V306">
        <f>U306*I306</f>
        <v>325.70181000000002</v>
      </c>
      <c r="W306" t="e">
        <f>#REF!-V306</f>
        <v>#REF!</v>
      </c>
      <c r="X306" t="e">
        <f t="shared" si="4"/>
        <v>#REF!</v>
      </c>
    </row>
    <row r="307" spans="1:24" x14ac:dyDescent="0.3">
      <c r="A307">
        <v>1306</v>
      </c>
      <c r="B307" s="2">
        <v>44502</v>
      </c>
      <c r="C307" t="s">
        <v>41</v>
      </c>
      <c r="D307" t="s">
        <v>34</v>
      </c>
      <c r="E307" t="s">
        <v>25</v>
      </c>
      <c r="F307" t="s">
        <v>26</v>
      </c>
      <c r="G307" t="s">
        <v>36</v>
      </c>
      <c r="H307">
        <v>60.78</v>
      </c>
      <c r="I307">
        <v>79</v>
      </c>
      <c r="J307" s="1">
        <f>(H307*I307)+O307</f>
        <v>4816.8599999999997</v>
      </c>
      <c r="K307" s="1">
        <f>(H307*I307)+O307-N307</f>
        <v>4806.07</v>
      </c>
      <c r="L307">
        <v>619.5</v>
      </c>
      <c r="M307" t="s">
        <v>37</v>
      </c>
      <c r="N307">
        <v>10.79</v>
      </c>
      <c r="O307">
        <v>15.24</v>
      </c>
      <c r="P307">
        <v>3</v>
      </c>
      <c r="Q307">
        <v>22</v>
      </c>
      <c r="R307">
        <v>1.98</v>
      </c>
      <c r="U307">
        <f>H307*(1-N307%)</f>
        <v>54.221837999999998</v>
      </c>
      <c r="V307">
        <f>U307*I307</f>
        <v>4283.5252019999998</v>
      </c>
      <c r="W307" t="e">
        <f>#REF!-V307</f>
        <v>#REF!</v>
      </c>
      <c r="X307" t="e">
        <f t="shared" si="4"/>
        <v>#REF!</v>
      </c>
    </row>
    <row r="308" spans="1:24" x14ac:dyDescent="0.3">
      <c r="A308">
        <v>1307</v>
      </c>
      <c r="B308" s="2">
        <v>44503</v>
      </c>
      <c r="C308" t="s">
        <v>51</v>
      </c>
      <c r="D308" t="s">
        <v>55</v>
      </c>
      <c r="E308" t="s">
        <v>31</v>
      </c>
      <c r="F308" t="s">
        <v>39</v>
      </c>
      <c r="G308" t="s">
        <v>40</v>
      </c>
      <c r="H308">
        <v>19.54</v>
      </c>
      <c r="I308">
        <v>80</v>
      </c>
      <c r="J308" s="1">
        <f>(H308*I308)+O308</f>
        <v>1645.5499999999997</v>
      </c>
      <c r="K308" s="1">
        <f>(H308*I308)+O308-N308</f>
        <v>1634.7199999999998</v>
      </c>
      <c r="L308">
        <v>327.04000000000002</v>
      </c>
      <c r="M308" t="s">
        <v>44</v>
      </c>
      <c r="N308">
        <v>10.83</v>
      </c>
      <c r="O308">
        <v>82.35</v>
      </c>
      <c r="P308">
        <v>5</v>
      </c>
      <c r="Q308">
        <v>11</v>
      </c>
      <c r="R308">
        <v>8.35</v>
      </c>
      <c r="U308">
        <f>H308*(1-N308%)</f>
        <v>17.423817999999997</v>
      </c>
      <c r="V308">
        <f>U308*I308</f>
        <v>1393.9054399999998</v>
      </c>
      <c r="W308" t="e">
        <f>#REF!-V308</f>
        <v>#REF!</v>
      </c>
      <c r="X308" t="e">
        <f t="shared" si="4"/>
        <v>#REF!</v>
      </c>
    </row>
    <row r="309" spans="1:24" x14ac:dyDescent="0.3">
      <c r="A309">
        <v>1308</v>
      </c>
      <c r="B309" s="2">
        <v>44504</v>
      </c>
      <c r="C309" t="s">
        <v>51</v>
      </c>
      <c r="D309" t="s">
        <v>46</v>
      </c>
      <c r="E309" t="s">
        <v>42</v>
      </c>
      <c r="F309" t="s">
        <v>26</v>
      </c>
      <c r="G309" t="s">
        <v>43</v>
      </c>
      <c r="H309">
        <v>77.040000000000006</v>
      </c>
      <c r="I309">
        <v>99</v>
      </c>
      <c r="J309" s="1">
        <f>(H309*I309)+O309</f>
        <v>7647.130000000001</v>
      </c>
      <c r="K309" s="1">
        <f>(H309*I309)+O309-N309</f>
        <v>7633.1100000000006</v>
      </c>
      <c r="L309">
        <v>950.94</v>
      </c>
      <c r="M309" t="s">
        <v>37</v>
      </c>
      <c r="N309">
        <v>14.02</v>
      </c>
      <c r="O309">
        <v>20.170000000000002</v>
      </c>
      <c r="P309">
        <v>5</v>
      </c>
      <c r="Q309">
        <v>24</v>
      </c>
      <c r="R309">
        <v>8.74</v>
      </c>
      <c r="U309">
        <f>H309*(1-N309%)</f>
        <v>66.23899200000001</v>
      </c>
      <c r="V309">
        <f>U309*I309</f>
        <v>6557.6602080000011</v>
      </c>
      <c r="W309" t="e">
        <f>#REF!-V309</f>
        <v>#REF!</v>
      </c>
      <c r="X309" t="e">
        <f t="shared" si="4"/>
        <v>#REF!</v>
      </c>
    </row>
    <row r="310" spans="1:24" x14ac:dyDescent="0.3">
      <c r="A310">
        <v>1309</v>
      </c>
      <c r="B310" s="2">
        <v>44505</v>
      </c>
      <c r="C310" t="s">
        <v>33</v>
      </c>
      <c r="D310" t="s">
        <v>55</v>
      </c>
      <c r="E310" t="s">
        <v>42</v>
      </c>
      <c r="F310" t="s">
        <v>26</v>
      </c>
      <c r="G310" t="s">
        <v>50</v>
      </c>
      <c r="H310">
        <v>63.78</v>
      </c>
      <c r="I310">
        <v>16</v>
      </c>
      <c r="J310" s="1">
        <f>(H310*I310)+O310</f>
        <v>1086.08</v>
      </c>
      <c r="K310" s="1">
        <f>(H310*I310)+O310-N310</f>
        <v>1073.9499999999998</v>
      </c>
      <c r="L310">
        <v>148.80000000000001</v>
      </c>
      <c r="M310" t="s">
        <v>44</v>
      </c>
      <c r="N310">
        <v>12.13</v>
      </c>
      <c r="O310">
        <v>65.599999999999994</v>
      </c>
      <c r="P310">
        <v>4</v>
      </c>
      <c r="Q310">
        <v>15</v>
      </c>
      <c r="R310">
        <v>0.55000000000000004</v>
      </c>
      <c r="U310">
        <f>H310*(1-N310%)</f>
        <v>56.043486000000001</v>
      </c>
      <c r="V310">
        <f>U310*I310</f>
        <v>896.69577600000002</v>
      </c>
      <c r="W310" t="e">
        <f>#REF!-V310</f>
        <v>#REF!</v>
      </c>
      <c r="X310" t="e">
        <f t="shared" si="4"/>
        <v>#REF!</v>
      </c>
    </row>
    <row r="311" spans="1:24" x14ac:dyDescent="0.3">
      <c r="A311">
        <v>1310</v>
      </c>
      <c r="B311" s="2">
        <v>44506</v>
      </c>
      <c r="C311" t="s">
        <v>52</v>
      </c>
      <c r="D311" t="s">
        <v>24</v>
      </c>
      <c r="E311" t="s">
        <v>25</v>
      </c>
      <c r="F311" t="s">
        <v>32</v>
      </c>
      <c r="G311" t="s">
        <v>43</v>
      </c>
      <c r="H311">
        <v>74.64</v>
      </c>
      <c r="I311">
        <v>59</v>
      </c>
      <c r="J311" s="1">
        <f>(H311*I311)+O311</f>
        <v>4461.66</v>
      </c>
      <c r="K311" s="1">
        <f>(H311*I311)+O311-N311</f>
        <v>4454.3599999999997</v>
      </c>
      <c r="L311">
        <v>140.44</v>
      </c>
      <c r="M311" t="s">
        <v>37</v>
      </c>
      <c r="N311">
        <v>7.3</v>
      </c>
      <c r="O311">
        <v>57.9</v>
      </c>
      <c r="P311">
        <v>4</v>
      </c>
      <c r="Q311">
        <v>9</v>
      </c>
      <c r="R311">
        <v>2.6</v>
      </c>
      <c r="U311">
        <f>H311*(1-N311%)</f>
        <v>69.191280000000006</v>
      </c>
      <c r="V311">
        <f>U311*I311</f>
        <v>4082.2855200000004</v>
      </c>
      <c r="W311" t="e">
        <f>#REF!-V311</f>
        <v>#REF!</v>
      </c>
      <c r="X311" t="e">
        <f t="shared" si="4"/>
        <v>#REF!</v>
      </c>
    </row>
    <row r="312" spans="1:24" x14ac:dyDescent="0.3">
      <c r="A312">
        <v>1311</v>
      </c>
      <c r="B312" s="2">
        <v>44507</v>
      </c>
      <c r="C312" t="s">
        <v>41</v>
      </c>
      <c r="D312" t="s">
        <v>30</v>
      </c>
      <c r="E312" t="s">
        <v>25</v>
      </c>
      <c r="F312" t="s">
        <v>26</v>
      </c>
      <c r="G312" t="s">
        <v>40</v>
      </c>
      <c r="H312">
        <v>26.15</v>
      </c>
      <c r="I312">
        <v>84</v>
      </c>
      <c r="J312" s="1">
        <f>(H312*I312)+O312</f>
        <v>2285.35</v>
      </c>
      <c r="K312" s="1">
        <f>(H312*I312)+O312-N312</f>
        <v>2271.9699999999998</v>
      </c>
      <c r="L312">
        <v>221.28</v>
      </c>
      <c r="M312" t="s">
        <v>28</v>
      </c>
      <c r="N312">
        <v>13.38</v>
      </c>
      <c r="O312">
        <v>88.75</v>
      </c>
      <c r="P312">
        <v>4</v>
      </c>
      <c r="Q312">
        <v>5</v>
      </c>
      <c r="R312">
        <v>2.5299999999999998</v>
      </c>
      <c r="U312">
        <f>H312*(1-N312%)</f>
        <v>22.651129999999998</v>
      </c>
      <c r="V312">
        <f>U312*I312</f>
        <v>1902.6949199999999</v>
      </c>
      <c r="W312" t="e">
        <f>#REF!-V312</f>
        <v>#REF!</v>
      </c>
      <c r="X312" t="e">
        <f t="shared" si="4"/>
        <v>#REF!</v>
      </c>
    </row>
    <row r="313" spans="1:24" x14ac:dyDescent="0.3">
      <c r="A313">
        <v>1312</v>
      </c>
      <c r="B313" s="2">
        <v>44508</v>
      </c>
      <c r="C313" t="s">
        <v>41</v>
      </c>
      <c r="D313" t="s">
        <v>46</v>
      </c>
      <c r="E313" t="s">
        <v>42</v>
      </c>
      <c r="F313" t="s">
        <v>32</v>
      </c>
      <c r="G313" t="s">
        <v>27</v>
      </c>
      <c r="H313">
        <v>37.369999999999997</v>
      </c>
      <c r="I313">
        <v>40</v>
      </c>
      <c r="J313" s="1">
        <f>(H313*I313)+O313</f>
        <v>1513.97</v>
      </c>
      <c r="K313" s="1">
        <f>(H313*I313)+O313-N313</f>
        <v>1498.21</v>
      </c>
      <c r="L313">
        <v>1350.85</v>
      </c>
      <c r="M313" t="s">
        <v>44</v>
      </c>
      <c r="N313">
        <v>15.76</v>
      </c>
      <c r="O313">
        <v>19.170000000000002</v>
      </c>
      <c r="P313">
        <v>4</v>
      </c>
      <c r="Q313">
        <v>28</v>
      </c>
      <c r="R313">
        <v>7.83</v>
      </c>
      <c r="U313">
        <f>H313*(1-N313%)</f>
        <v>31.480487999999998</v>
      </c>
      <c r="V313">
        <f>U313*I313</f>
        <v>1259.2195199999999</v>
      </c>
      <c r="W313" t="e">
        <f>#REF!-V313</f>
        <v>#REF!</v>
      </c>
      <c r="X313" t="e">
        <f t="shared" si="4"/>
        <v>#REF!</v>
      </c>
    </row>
    <row r="314" spans="1:24" x14ac:dyDescent="0.3">
      <c r="A314">
        <v>1313</v>
      </c>
      <c r="B314" s="2">
        <v>44509</v>
      </c>
      <c r="C314" t="s">
        <v>48</v>
      </c>
      <c r="D314" t="s">
        <v>54</v>
      </c>
      <c r="E314" t="s">
        <v>42</v>
      </c>
      <c r="F314" t="s">
        <v>39</v>
      </c>
      <c r="G314" t="s">
        <v>53</v>
      </c>
      <c r="H314">
        <v>3.08</v>
      </c>
      <c r="I314">
        <v>89</v>
      </c>
      <c r="J314" s="1">
        <f>(H314*I314)+O314</f>
        <v>309.29000000000002</v>
      </c>
      <c r="K314" s="1">
        <f>(H314*I314)+O314-N314</f>
        <v>303.82</v>
      </c>
      <c r="L314">
        <v>387.28</v>
      </c>
      <c r="M314" t="s">
        <v>37</v>
      </c>
      <c r="N314">
        <v>5.47</v>
      </c>
      <c r="O314">
        <v>35.17</v>
      </c>
      <c r="P314">
        <v>2</v>
      </c>
      <c r="Q314">
        <v>2</v>
      </c>
      <c r="R314">
        <v>3.52</v>
      </c>
      <c r="U314">
        <f>H314*(1-N314%)</f>
        <v>2.911524</v>
      </c>
      <c r="V314">
        <f>U314*I314</f>
        <v>259.12563599999999</v>
      </c>
      <c r="W314" t="e">
        <f>#REF!-V314</f>
        <v>#REF!</v>
      </c>
      <c r="X314" t="e">
        <f t="shared" si="4"/>
        <v>#REF!</v>
      </c>
    </row>
    <row r="315" spans="1:24" x14ac:dyDescent="0.3">
      <c r="A315">
        <v>1314</v>
      </c>
      <c r="B315" s="2">
        <v>44510</v>
      </c>
      <c r="C315" t="s">
        <v>56</v>
      </c>
      <c r="D315" t="s">
        <v>46</v>
      </c>
      <c r="E315" t="s">
        <v>35</v>
      </c>
      <c r="F315" t="s">
        <v>32</v>
      </c>
      <c r="G315" t="s">
        <v>27</v>
      </c>
      <c r="H315">
        <v>47.14</v>
      </c>
      <c r="I315">
        <v>81</v>
      </c>
      <c r="J315" s="1">
        <f>(H315*I315)+O315</f>
        <v>3836.48</v>
      </c>
      <c r="K315" s="1">
        <f>(H315*I315)+O315-N315</f>
        <v>3829.72</v>
      </c>
      <c r="L315">
        <v>603.07000000000005</v>
      </c>
      <c r="M315" t="s">
        <v>28</v>
      </c>
      <c r="N315">
        <v>6.76</v>
      </c>
      <c r="O315">
        <v>18.14</v>
      </c>
      <c r="P315">
        <v>1</v>
      </c>
      <c r="Q315">
        <v>25</v>
      </c>
      <c r="R315">
        <v>6.71</v>
      </c>
      <c r="U315">
        <f>H315*(1-N315%)</f>
        <v>43.953336</v>
      </c>
      <c r="V315">
        <f>U315*I315</f>
        <v>3560.2202160000002</v>
      </c>
      <c r="W315" t="e">
        <f>#REF!-V315</f>
        <v>#REF!</v>
      </c>
      <c r="X315" t="e">
        <f t="shared" si="4"/>
        <v>#REF!</v>
      </c>
    </row>
    <row r="316" spans="1:24" x14ac:dyDescent="0.3">
      <c r="A316">
        <v>1315</v>
      </c>
      <c r="B316" s="2">
        <v>44511</v>
      </c>
      <c r="C316" t="s">
        <v>57</v>
      </c>
      <c r="D316" t="s">
        <v>34</v>
      </c>
      <c r="E316" t="s">
        <v>42</v>
      </c>
      <c r="F316" t="s">
        <v>39</v>
      </c>
      <c r="G316" t="s">
        <v>36</v>
      </c>
      <c r="H316">
        <v>5.27</v>
      </c>
      <c r="I316">
        <v>38</v>
      </c>
      <c r="J316" s="1">
        <f>(H316*I316)+O316</f>
        <v>214.29999999999998</v>
      </c>
      <c r="K316" s="1">
        <f>(H316*I316)+O316-N316</f>
        <v>206.05999999999997</v>
      </c>
      <c r="L316">
        <v>1396.5</v>
      </c>
      <c r="M316" t="s">
        <v>44</v>
      </c>
      <c r="N316">
        <v>8.24</v>
      </c>
      <c r="O316">
        <v>14.04</v>
      </c>
      <c r="P316">
        <v>3</v>
      </c>
      <c r="Q316">
        <v>7</v>
      </c>
      <c r="R316">
        <v>0.47</v>
      </c>
      <c r="U316">
        <f>H316*(1-N316%)</f>
        <v>4.8357519999999994</v>
      </c>
      <c r="V316">
        <f>U316*I316</f>
        <v>183.75857599999998</v>
      </c>
      <c r="W316" t="e">
        <f>#REF!-V316</f>
        <v>#REF!</v>
      </c>
      <c r="X316" t="e">
        <f t="shared" si="4"/>
        <v>#REF!</v>
      </c>
    </row>
    <row r="317" spans="1:24" x14ac:dyDescent="0.3">
      <c r="A317">
        <v>1316</v>
      </c>
      <c r="B317" s="2">
        <v>44512</v>
      </c>
      <c r="C317" t="s">
        <v>33</v>
      </c>
      <c r="D317" t="s">
        <v>46</v>
      </c>
      <c r="E317" t="s">
        <v>25</v>
      </c>
      <c r="F317" t="s">
        <v>32</v>
      </c>
      <c r="G317" t="s">
        <v>43</v>
      </c>
      <c r="H317">
        <v>57.94</v>
      </c>
      <c r="I317">
        <v>20</v>
      </c>
      <c r="J317" s="1">
        <f>(H317*I317)+O317</f>
        <v>1200.73</v>
      </c>
      <c r="K317" s="1">
        <f>(H317*I317)+O317-N317</f>
        <v>1189.26</v>
      </c>
      <c r="L317">
        <v>1382.4</v>
      </c>
      <c r="M317" t="s">
        <v>28</v>
      </c>
      <c r="N317">
        <v>11.47</v>
      </c>
      <c r="O317">
        <v>41.93</v>
      </c>
      <c r="P317">
        <v>5</v>
      </c>
      <c r="Q317">
        <v>27</v>
      </c>
      <c r="R317">
        <v>2.13</v>
      </c>
      <c r="U317">
        <f>H317*(1-N317%)</f>
        <v>51.294281999999995</v>
      </c>
      <c r="V317">
        <f>U317*I317</f>
        <v>1025.88564</v>
      </c>
      <c r="W317" t="e">
        <f>#REF!-V317</f>
        <v>#REF!</v>
      </c>
      <c r="X317" t="e">
        <f t="shared" si="4"/>
        <v>#REF!</v>
      </c>
    </row>
    <row r="318" spans="1:24" x14ac:dyDescent="0.3">
      <c r="A318">
        <v>1317</v>
      </c>
      <c r="B318" s="2">
        <v>44513</v>
      </c>
      <c r="C318" t="s">
        <v>56</v>
      </c>
      <c r="D318" t="s">
        <v>54</v>
      </c>
      <c r="E318" t="s">
        <v>35</v>
      </c>
      <c r="F318" t="s">
        <v>26</v>
      </c>
      <c r="G318" t="s">
        <v>47</v>
      </c>
      <c r="H318">
        <v>73.89</v>
      </c>
      <c r="I318">
        <v>88</v>
      </c>
      <c r="J318" s="1">
        <f>(H318*I318)+O318</f>
        <v>6539.25</v>
      </c>
      <c r="K318" s="1">
        <f>(H318*I318)+O318-N318</f>
        <v>6527.86</v>
      </c>
      <c r="L318">
        <v>1084.6600000000001</v>
      </c>
      <c r="M318" t="s">
        <v>44</v>
      </c>
      <c r="N318">
        <v>11.39</v>
      </c>
      <c r="O318">
        <v>36.93</v>
      </c>
      <c r="P318">
        <v>3</v>
      </c>
      <c r="Q318">
        <v>27</v>
      </c>
      <c r="R318">
        <v>4.32</v>
      </c>
      <c r="U318">
        <f>H318*(1-N318%)</f>
        <v>65.473928999999998</v>
      </c>
      <c r="V318">
        <f>U318*I318</f>
        <v>5761.7057519999998</v>
      </c>
      <c r="W318" t="e">
        <f>#REF!-V318</f>
        <v>#REF!</v>
      </c>
      <c r="X318" t="e">
        <f t="shared" si="4"/>
        <v>#REF!</v>
      </c>
    </row>
    <row r="319" spans="1:24" x14ac:dyDescent="0.3">
      <c r="A319">
        <v>1318</v>
      </c>
      <c r="B319" s="2">
        <v>44514</v>
      </c>
      <c r="C319" t="s">
        <v>56</v>
      </c>
      <c r="D319" t="s">
        <v>54</v>
      </c>
      <c r="E319" t="s">
        <v>42</v>
      </c>
      <c r="F319" t="s">
        <v>39</v>
      </c>
      <c r="G319" t="s">
        <v>50</v>
      </c>
      <c r="H319">
        <v>74.63</v>
      </c>
      <c r="I319">
        <v>67</v>
      </c>
      <c r="J319" s="1">
        <f>(H319*I319)+O319</f>
        <v>5081.45</v>
      </c>
      <c r="K319" s="1">
        <f>(H319*I319)+O319-N319</f>
        <v>5069.91</v>
      </c>
      <c r="L319">
        <v>927.21</v>
      </c>
      <c r="M319" t="s">
        <v>44</v>
      </c>
      <c r="N319">
        <v>11.54</v>
      </c>
      <c r="O319">
        <v>81.239999999999995</v>
      </c>
      <c r="P319">
        <v>1</v>
      </c>
      <c r="Q319">
        <v>4</v>
      </c>
      <c r="R319">
        <v>0.28000000000000003</v>
      </c>
      <c r="U319">
        <f>H319*(1-N319%)</f>
        <v>66.017697999999996</v>
      </c>
      <c r="V319">
        <f>U319*I319</f>
        <v>4423.1857659999996</v>
      </c>
      <c r="W319" t="e">
        <f>#REF!-V319</f>
        <v>#REF!</v>
      </c>
      <c r="X319" t="e">
        <f t="shared" si="4"/>
        <v>#REF!</v>
      </c>
    </row>
    <row r="320" spans="1:24" x14ac:dyDescent="0.3">
      <c r="A320">
        <v>1319</v>
      </c>
      <c r="B320" s="2">
        <v>44515</v>
      </c>
      <c r="C320" t="s">
        <v>52</v>
      </c>
      <c r="D320" t="s">
        <v>30</v>
      </c>
      <c r="E320" t="s">
        <v>35</v>
      </c>
      <c r="F320" t="s">
        <v>32</v>
      </c>
      <c r="G320" t="s">
        <v>27</v>
      </c>
      <c r="H320">
        <v>9.11</v>
      </c>
      <c r="I320">
        <v>58</v>
      </c>
      <c r="J320" s="1">
        <f>(H320*I320)+O320</f>
        <v>606.58000000000004</v>
      </c>
      <c r="K320" s="1">
        <f>(H320*I320)+O320-N320</f>
        <v>604.47</v>
      </c>
      <c r="L320">
        <v>669.15</v>
      </c>
      <c r="M320" t="s">
        <v>44</v>
      </c>
      <c r="N320">
        <v>2.11</v>
      </c>
      <c r="O320">
        <v>78.2</v>
      </c>
      <c r="P320">
        <v>5</v>
      </c>
      <c r="Q320">
        <v>9</v>
      </c>
      <c r="R320">
        <v>2.14</v>
      </c>
      <c r="U320">
        <f>H320*(1-N320%)</f>
        <v>8.9177789999999995</v>
      </c>
      <c r="V320">
        <f>U320*I320</f>
        <v>517.23118199999999</v>
      </c>
      <c r="W320" t="e">
        <f>#REF!-V320</f>
        <v>#REF!</v>
      </c>
      <c r="X320" t="e">
        <f t="shared" si="4"/>
        <v>#REF!</v>
      </c>
    </row>
    <row r="321" spans="1:24" x14ac:dyDescent="0.3">
      <c r="A321">
        <v>1320</v>
      </c>
      <c r="B321" s="2">
        <v>44516</v>
      </c>
      <c r="C321" t="s">
        <v>51</v>
      </c>
      <c r="D321" t="s">
        <v>49</v>
      </c>
      <c r="E321" t="s">
        <v>42</v>
      </c>
      <c r="F321" t="s">
        <v>26</v>
      </c>
      <c r="G321" t="s">
        <v>27</v>
      </c>
      <c r="H321">
        <v>20.84</v>
      </c>
      <c r="I321">
        <v>84</v>
      </c>
      <c r="J321" s="1">
        <f>(H321*I321)+O321</f>
        <v>1833.96</v>
      </c>
      <c r="K321" s="1">
        <f>(H321*I321)+O321-N321</f>
        <v>1829.3</v>
      </c>
      <c r="L321">
        <v>141.51</v>
      </c>
      <c r="M321" t="s">
        <v>37</v>
      </c>
      <c r="N321">
        <v>4.66</v>
      </c>
      <c r="O321">
        <v>83.4</v>
      </c>
      <c r="P321">
        <v>2</v>
      </c>
      <c r="Q321">
        <v>6</v>
      </c>
      <c r="R321">
        <v>4.38</v>
      </c>
      <c r="U321">
        <f>H321*(1-N321%)</f>
        <v>19.868856000000001</v>
      </c>
      <c r="V321">
        <f>U321*I321</f>
        <v>1668.9839040000002</v>
      </c>
      <c r="W321" t="e">
        <f>#REF!-V321</f>
        <v>#REF!</v>
      </c>
      <c r="X321" t="e">
        <f t="shared" si="4"/>
        <v>#REF!</v>
      </c>
    </row>
    <row r="322" spans="1:24" x14ac:dyDescent="0.3">
      <c r="A322">
        <v>1321</v>
      </c>
      <c r="B322" s="2">
        <v>44517</v>
      </c>
      <c r="C322" t="s">
        <v>56</v>
      </c>
      <c r="D322" t="s">
        <v>46</v>
      </c>
      <c r="E322" t="s">
        <v>31</v>
      </c>
      <c r="F322" t="s">
        <v>32</v>
      </c>
      <c r="G322" t="s">
        <v>50</v>
      </c>
      <c r="H322">
        <v>21.26</v>
      </c>
      <c r="I322">
        <v>23</v>
      </c>
      <c r="J322" s="1">
        <f>(H322*I322)+O322</f>
        <v>557.07000000000005</v>
      </c>
      <c r="K322" s="1">
        <f>(H322*I322)+O322-N322</f>
        <v>545.06000000000006</v>
      </c>
      <c r="L322">
        <v>402.85</v>
      </c>
      <c r="M322" t="s">
        <v>37</v>
      </c>
      <c r="N322">
        <v>12.01</v>
      </c>
      <c r="O322">
        <v>68.09</v>
      </c>
      <c r="P322">
        <v>2</v>
      </c>
      <c r="Q322">
        <v>28</v>
      </c>
      <c r="R322">
        <v>6.81</v>
      </c>
      <c r="U322">
        <f>H322*(1-N322%)</f>
        <v>18.706674000000003</v>
      </c>
      <c r="V322">
        <f>U322*I322</f>
        <v>430.25350200000008</v>
      </c>
      <c r="W322" t="e">
        <f>#REF!-V322</f>
        <v>#REF!</v>
      </c>
      <c r="X322" t="e">
        <f t="shared" si="4"/>
        <v>#REF!</v>
      </c>
    </row>
    <row r="323" spans="1:24" x14ac:dyDescent="0.3">
      <c r="A323">
        <v>1322</v>
      </c>
      <c r="B323" s="2">
        <v>44518</v>
      </c>
      <c r="C323" t="s">
        <v>51</v>
      </c>
      <c r="D323" t="s">
        <v>58</v>
      </c>
      <c r="E323" t="s">
        <v>25</v>
      </c>
      <c r="F323" t="s">
        <v>32</v>
      </c>
      <c r="G323" t="s">
        <v>50</v>
      </c>
      <c r="H323">
        <v>78.64</v>
      </c>
      <c r="I323">
        <v>92</v>
      </c>
      <c r="J323" s="1">
        <f>(H323*I323)+O323</f>
        <v>7256.76</v>
      </c>
      <c r="K323" s="1">
        <f>(H323*I323)+O323-N323</f>
        <v>7242.83</v>
      </c>
      <c r="L323">
        <v>1105.8800000000001</v>
      </c>
      <c r="M323" t="s">
        <v>28</v>
      </c>
      <c r="N323">
        <v>13.93</v>
      </c>
      <c r="O323">
        <v>21.88</v>
      </c>
      <c r="P323">
        <v>3</v>
      </c>
      <c r="Q323">
        <v>30</v>
      </c>
      <c r="R323">
        <v>3.12</v>
      </c>
      <c r="U323">
        <f>H323*(1-N323%)</f>
        <v>67.685448000000008</v>
      </c>
      <c r="V323">
        <f>U323*I323</f>
        <v>6227.061216000001</v>
      </c>
      <c r="W323" t="e">
        <f>#REF!-V323</f>
        <v>#REF!</v>
      </c>
      <c r="X323" t="e">
        <f t="shared" ref="X323:X386" si="5">(L323/W323)*100</f>
        <v>#REF!</v>
      </c>
    </row>
    <row r="324" spans="1:24" x14ac:dyDescent="0.3">
      <c r="A324">
        <v>1323</v>
      </c>
      <c r="B324" s="2">
        <v>44519</v>
      </c>
      <c r="C324" t="s">
        <v>38</v>
      </c>
      <c r="D324" t="s">
        <v>34</v>
      </c>
      <c r="E324" t="s">
        <v>25</v>
      </c>
      <c r="F324" t="s">
        <v>26</v>
      </c>
      <c r="G324" t="s">
        <v>53</v>
      </c>
      <c r="H324">
        <v>31.12</v>
      </c>
      <c r="I324">
        <v>96</v>
      </c>
      <c r="J324" s="1">
        <f>(H324*I324)+O324</f>
        <v>3017.23</v>
      </c>
      <c r="K324" s="1">
        <f>(H324*I324)+O324-N324</f>
        <v>3002.3</v>
      </c>
      <c r="L324">
        <v>701.78</v>
      </c>
      <c r="M324" t="s">
        <v>37</v>
      </c>
      <c r="N324">
        <v>14.93</v>
      </c>
      <c r="O324">
        <v>29.71</v>
      </c>
      <c r="P324">
        <v>1</v>
      </c>
      <c r="Q324">
        <v>22</v>
      </c>
      <c r="R324">
        <v>9.2899999999999991</v>
      </c>
      <c r="U324">
        <f>H324*(1-N324%)</f>
        <v>26.473784000000002</v>
      </c>
      <c r="V324">
        <f>U324*I324</f>
        <v>2541.4832640000004</v>
      </c>
      <c r="W324" t="e">
        <f>#REF!-V324</f>
        <v>#REF!</v>
      </c>
      <c r="X324" t="e">
        <f t="shared" si="5"/>
        <v>#REF!</v>
      </c>
    </row>
    <row r="325" spans="1:24" x14ac:dyDescent="0.3">
      <c r="A325">
        <v>1324</v>
      </c>
      <c r="B325" s="2">
        <v>44520</v>
      </c>
      <c r="C325" t="s">
        <v>56</v>
      </c>
      <c r="D325" t="s">
        <v>58</v>
      </c>
      <c r="E325" t="s">
        <v>31</v>
      </c>
      <c r="F325" t="s">
        <v>32</v>
      </c>
      <c r="G325" t="s">
        <v>36</v>
      </c>
      <c r="H325">
        <v>43.72</v>
      </c>
      <c r="I325">
        <v>80</v>
      </c>
      <c r="J325" s="1">
        <f>(H325*I325)+O325</f>
        <v>3565.0499999999997</v>
      </c>
      <c r="K325" s="1">
        <f>(H325*I325)+O325-N325</f>
        <v>3555.7499999999995</v>
      </c>
      <c r="L325">
        <v>389.45</v>
      </c>
      <c r="M325" t="s">
        <v>37</v>
      </c>
      <c r="N325">
        <v>9.3000000000000007</v>
      </c>
      <c r="O325">
        <v>67.45</v>
      </c>
      <c r="P325">
        <v>2</v>
      </c>
      <c r="Q325">
        <v>24</v>
      </c>
      <c r="R325">
        <v>7.08</v>
      </c>
      <c r="U325">
        <f>H325*(1-N325%)</f>
        <v>39.654040000000002</v>
      </c>
      <c r="V325">
        <f>U325*I325</f>
        <v>3172.3232000000003</v>
      </c>
      <c r="W325" t="e">
        <f>#REF!-V325</f>
        <v>#REF!</v>
      </c>
      <c r="X325" t="e">
        <f t="shared" si="5"/>
        <v>#REF!</v>
      </c>
    </row>
    <row r="326" spans="1:24" x14ac:dyDescent="0.3">
      <c r="A326">
        <v>1325</v>
      </c>
      <c r="B326" s="2">
        <v>44521</v>
      </c>
      <c r="C326" t="s">
        <v>38</v>
      </c>
      <c r="D326" t="s">
        <v>46</v>
      </c>
      <c r="E326" t="s">
        <v>42</v>
      </c>
      <c r="F326" t="s">
        <v>39</v>
      </c>
      <c r="G326" t="s">
        <v>43</v>
      </c>
      <c r="H326">
        <v>30.94</v>
      </c>
      <c r="I326">
        <v>19</v>
      </c>
      <c r="J326" s="1">
        <f>(H326*I326)+O326</f>
        <v>632.5</v>
      </c>
      <c r="K326" s="1">
        <f>(H326*I326)+O326-N326</f>
        <v>627.5</v>
      </c>
      <c r="L326">
        <v>1170.08</v>
      </c>
      <c r="M326" t="s">
        <v>44</v>
      </c>
      <c r="N326">
        <v>5</v>
      </c>
      <c r="O326">
        <v>44.64</v>
      </c>
      <c r="P326">
        <v>3</v>
      </c>
      <c r="Q326">
        <v>22</v>
      </c>
      <c r="R326">
        <v>0.36</v>
      </c>
      <c r="U326">
        <f>H326*(1-N326%)</f>
        <v>29.393000000000001</v>
      </c>
      <c r="V326">
        <f>U326*I326</f>
        <v>558.46699999999998</v>
      </c>
      <c r="W326" t="e">
        <f>#REF!-V326</f>
        <v>#REF!</v>
      </c>
      <c r="X326" t="e">
        <f t="shared" si="5"/>
        <v>#REF!</v>
      </c>
    </row>
    <row r="327" spans="1:24" x14ac:dyDescent="0.3">
      <c r="A327">
        <v>1326</v>
      </c>
      <c r="B327" s="2">
        <v>44522</v>
      </c>
      <c r="C327" t="s">
        <v>56</v>
      </c>
      <c r="D327" t="s">
        <v>24</v>
      </c>
      <c r="E327" t="s">
        <v>42</v>
      </c>
      <c r="F327" t="s">
        <v>32</v>
      </c>
      <c r="G327" t="s">
        <v>53</v>
      </c>
      <c r="H327">
        <v>76.98</v>
      </c>
      <c r="I327">
        <v>67</v>
      </c>
      <c r="J327" s="1">
        <f>(H327*I327)+O327</f>
        <v>5214.25</v>
      </c>
      <c r="K327" s="1">
        <f>(H327*I327)+O327-N327</f>
        <v>5196.67</v>
      </c>
      <c r="L327">
        <v>683.53</v>
      </c>
      <c r="M327" t="s">
        <v>28</v>
      </c>
      <c r="N327">
        <v>17.579999999999998</v>
      </c>
      <c r="O327">
        <v>56.59</v>
      </c>
      <c r="P327">
        <v>4</v>
      </c>
      <c r="Q327">
        <v>19</v>
      </c>
      <c r="R327">
        <v>4.9400000000000004</v>
      </c>
      <c r="U327">
        <f>H327*(1-N327%)</f>
        <v>63.446916000000009</v>
      </c>
      <c r="V327">
        <f>U327*I327</f>
        <v>4250.9433720000006</v>
      </c>
      <c r="W327" t="e">
        <f>#REF!-V327</f>
        <v>#REF!</v>
      </c>
      <c r="X327" t="e">
        <f t="shared" si="5"/>
        <v>#REF!</v>
      </c>
    </row>
    <row r="328" spans="1:24" x14ac:dyDescent="0.3">
      <c r="A328">
        <v>1327</v>
      </c>
      <c r="B328" s="2">
        <v>44523</v>
      </c>
      <c r="C328" t="s">
        <v>33</v>
      </c>
      <c r="D328" t="s">
        <v>46</v>
      </c>
      <c r="E328" t="s">
        <v>25</v>
      </c>
      <c r="F328" t="s">
        <v>26</v>
      </c>
      <c r="G328" t="s">
        <v>50</v>
      </c>
      <c r="H328">
        <v>27.4</v>
      </c>
      <c r="I328">
        <v>16</v>
      </c>
      <c r="J328" s="1">
        <f>(H328*I328)+O328</f>
        <v>481.07</v>
      </c>
      <c r="K328" s="1">
        <f>(H328*I328)+O328-N328</f>
        <v>479.36</v>
      </c>
      <c r="L328">
        <v>1443.83</v>
      </c>
      <c r="M328" t="s">
        <v>37</v>
      </c>
      <c r="N328">
        <v>1.71</v>
      </c>
      <c r="O328">
        <v>42.67</v>
      </c>
      <c r="P328">
        <v>3</v>
      </c>
      <c r="Q328">
        <v>1</v>
      </c>
      <c r="R328">
        <v>1.3</v>
      </c>
      <c r="U328">
        <f>H328*(1-N328%)</f>
        <v>26.931459999999998</v>
      </c>
      <c r="V328">
        <f>U328*I328</f>
        <v>430.90335999999996</v>
      </c>
      <c r="W328" t="e">
        <f>#REF!-V328</f>
        <v>#REF!</v>
      </c>
      <c r="X328" t="e">
        <f t="shared" si="5"/>
        <v>#REF!</v>
      </c>
    </row>
    <row r="329" spans="1:24" x14ac:dyDescent="0.3">
      <c r="A329">
        <v>1328</v>
      </c>
      <c r="B329" s="2">
        <v>44524</v>
      </c>
      <c r="C329" t="s">
        <v>41</v>
      </c>
      <c r="D329" t="s">
        <v>55</v>
      </c>
      <c r="E329" t="s">
        <v>35</v>
      </c>
      <c r="F329" t="s">
        <v>32</v>
      </c>
      <c r="G329" t="s">
        <v>50</v>
      </c>
      <c r="H329">
        <v>24.71</v>
      </c>
      <c r="I329">
        <v>34</v>
      </c>
      <c r="J329" s="1">
        <f>(H329*I329)+O329</f>
        <v>879.32999999999993</v>
      </c>
      <c r="K329" s="1">
        <f>(H329*I329)+O329-N329</f>
        <v>860.18</v>
      </c>
      <c r="L329">
        <v>585.45000000000005</v>
      </c>
      <c r="M329" t="s">
        <v>44</v>
      </c>
      <c r="N329">
        <v>19.149999999999999</v>
      </c>
      <c r="O329">
        <v>39.19</v>
      </c>
      <c r="P329">
        <v>4</v>
      </c>
      <c r="Q329">
        <v>13</v>
      </c>
      <c r="R329">
        <v>2.89</v>
      </c>
      <c r="U329">
        <f>H329*(1-N329%)</f>
        <v>19.978035000000002</v>
      </c>
      <c r="V329">
        <f>U329*I329</f>
        <v>679.25319000000002</v>
      </c>
      <c r="W329" t="e">
        <f>#REF!-V329</f>
        <v>#REF!</v>
      </c>
      <c r="X329" t="e">
        <f t="shared" si="5"/>
        <v>#REF!</v>
      </c>
    </row>
    <row r="330" spans="1:24" x14ac:dyDescent="0.3">
      <c r="A330">
        <v>1329</v>
      </c>
      <c r="B330" s="2">
        <v>44525</v>
      </c>
      <c r="C330" t="s">
        <v>41</v>
      </c>
      <c r="D330" t="s">
        <v>55</v>
      </c>
      <c r="E330" t="s">
        <v>25</v>
      </c>
      <c r="F330" t="s">
        <v>39</v>
      </c>
      <c r="G330" t="s">
        <v>50</v>
      </c>
      <c r="H330">
        <v>73.14</v>
      </c>
      <c r="I330">
        <v>32</v>
      </c>
      <c r="J330" s="1">
        <f>(H330*I330)+O330</f>
        <v>2353.6</v>
      </c>
      <c r="K330" s="1">
        <f>(H330*I330)+O330-N330</f>
        <v>2352.66</v>
      </c>
      <c r="L330">
        <v>368.72</v>
      </c>
      <c r="M330" t="s">
        <v>37</v>
      </c>
      <c r="N330">
        <v>0.94</v>
      </c>
      <c r="O330">
        <v>13.12</v>
      </c>
      <c r="P330">
        <v>2</v>
      </c>
      <c r="Q330">
        <v>10</v>
      </c>
      <c r="R330">
        <v>0.6</v>
      </c>
      <c r="U330">
        <f>H330*(1-N330%)</f>
        <v>72.452483999999998</v>
      </c>
      <c r="V330">
        <f>U330*I330</f>
        <v>2318.4794879999999</v>
      </c>
      <c r="W330" t="e">
        <f>#REF!-V330</f>
        <v>#REF!</v>
      </c>
      <c r="X330" t="e">
        <f t="shared" si="5"/>
        <v>#REF!</v>
      </c>
    </row>
    <row r="331" spans="1:24" x14ac:dyDescent="0.3">
      <c r="A331">
        <v>1330</v>
      </c>
      <c r="B331" s="2">
        <v>44526</v>
      </c>
      <c r="C331" t="s">
        <v>56</v>
      </c>
      <c r="D331" t="s">
        <v>54</v>
      </c>
      <c r="E331" t="s">
        <v>42</v>
      </c>
      <c r="F331" t="s">
        <v>39</v>
      </c>
      <c r="G331" t="s">
        <v>43</v>
      </c>
      <c r="H331">
        <v>18.760000000000002</v>
      </c>
      <c r="I331">
        <v>17</v>
      </c>
      <c r="J331" s="1">
        <f>(H331*I331)+O331</f>
        <v>345.97</v>
      </c>
      <c r="K331" s="1">
        <f>(H331*I331)+O331-N331</f>
        <v>330.65000000000003</v>
      </c>
      <c r="L331">
        <v>976.58</v>
      </c>
      <c r="M331" t="s">
        <v>37</v>
      </c>
      <c r="N331">
        <v>15.32</v>
      </c>
      <c r="O331">
        <v>27.05</v>
      </c>
      <c r="P331">
        <v>5</v>
      </c>
      <c r="Q331">
        <v>12</v>
      </c>
      <c r="R331">
        <v>7.97</v>
      </c>
      <c r="U331">
        <f>H331*(1-N331%)</f>
        <v>15.885968000000002</v>
      </c>
      <c r="V331">
        <f>U331*I331</f>
        <v>270.06145600000002</v>
      </c>
      <c r="W331" t="e">
        <f>#REF!-V331</f>
        <v>#REF!</v>
      </c>
      <c r="X331" t="e">
        <f t="shared" si="5"/>
        <v>#REF!</v>
      </c>
    </row>
    <row r="332" spans="1:24" x14ac:dyDescent="0.3">
      <c r="A332">
        <v>1331</v>
      </c>
      <c r="B332" s="2">
        <v>44527</v>
      </c>
      <c r="C332" t="s">
        <v>29</v>
      </c>
      <c r="D332" t="s">
        <v>49</v>
      </c>
      <c r="E332" t="s">
        <v>31</v>
      </c>
      <c r="F332" t="s">
        <v>26</v>
      </c>
      <c r="G332" t="s">
        <v>45</v>
      </c>
      <c r="H332">
        <v>29.68</v>
      </c>
      <c r="I332">
        <v>17</v>
      </c>
      <c r="J332" s="1">
        <f>(H332*I332)+O332</f>
        <v>566.36</v>
      </c>
      <c r="K332" s="1">
        <f>(H332*I332)+O332-N332</f>
        <v>555.13</v>
      </c>
      <c r="L332">
        <v>1169.49</v>
      </c>
      <c r="M332" t="s">
        <v>44</v>
      </c>
      <c r="N332">
        <v>11.23</v>
      </c>
      <c r="O332">
        <v>61.8</v>
      </c>
      <c r="P332">
        <v>4</v>
      </c>
      <c r="Q332">
        <v>15</v>
      </c>
      <c r="R332">
        <v>3.57</v>
      </c>
      <c r="U332">
        <f>H332*(1-N332%)</f>
        <v>26.346935999999999</v>
      </c>
      <c r="V332">
        <f>U332*I332</f>
        <v>447.89791200000002</v>
      </c>
      <c r="W332" t="e">
        <f>#REF!-V332</f>
        <v>#REF!</v>
      </c>
      <c r="X332" t="e">
        <f t="shared" si="5"/>
        <v>#REF!</v>
      </c>
    </row>
    <row r="333" spans="1:24" x14ac:dyDescent="0.3">
      <c r="A333">
        <v>1332</v>
      </c>
      <c r="B333" s="2">
        <v>44528</v>
      </c>
      <c r="C333" t="s">
        <v>51</v>
      </c>
      <c r="D333" t="s">
        <v>55</v>
      </c>
      <c r="E333" t="s">
        <v>31</v>
      </c>
      <c r="F333" t="s">
        <v>26</v>
      </c>
      <c r="G333" t="s">
        <v>36</v>
      </c>
      <c r="H333">
        <v>15.74</v>
      </c>
      <c r="I333">
        <v>11</v>
      </c>
      <c r="J333" s="1">
        <f>(H333*I333)+O333</f>
        <v>236.72000000000003</v>
      </c>
      <c r="K333" s="1">
        <f>(H333*I333)+O333-N333</f>
        <v>236.28000000000003</v>
      </c>
      <c r="L333">
        <v>1489.8</v>
      </c>
      <c r="M333" t="s">
        <v>37</v>
      </c>
      <c r="N333">
        <v>0.44</v>
      </c>
      <c r="O333">
        <v>63.58</v>
      </c>
      <c r="P333">
        <v>3</v>
      </c>
      <c r="Q333">
        <v>13</v>
      </c>
      <c r="R333">
        <v>0.84</v>
      </c>
      <c r="U333">
        <f>H333*(1-N333%)</f>
        <v>15.670744000000001</v>
      </c>
      <c r="V333">
        <f>U333*I333</f>
        <v>172.378184</v>
      </c>
      <c r="W333" t="e">
        <f>#REF!-V333</f>
        <v>#REF!</v>
      </c>
      <c r="X333" t="e">
        <f t="shared" si="5"/>
        <v>#REF!</v>
      </c>
    </row>
    <row r="334" spans="1:24" x14ac:dyDescent="0.3">
      <c r="A334">
        <v>1333</v>
      </c>
      <c r="B334" s="2">
        <v>44529</v>
      </c>
      <c r="C334" t="s">
        <v>33</v>
      </c>
      <c r="D334" t="s">
        <v>24</v>
      </c>
      <c r="E334" t="s">
        <v>25</v>
      </c>
      <c r="F334" t="s">
        <v>26</v>
      </c>
      <c r="G334" t="s">
        <v>36</v>
      </c>
      <c r="H334">
        <v>7.67</v>
      </c>
      <c r="I334">
        <v>72</v>
      </c>
      <c r="J334" s="1">
        <f>(H334*I334)+O334</f>
        <v>603.65</v>
      </c>
      <c r="K334" s="1">
        <f>(H334*I334)+O334-N334</f>
        <v>602.35</v>
      </c>
      <c r="L334">
        <v>1129.46</v>
      </c>
      <c r="M334" t="s">
        <v>28</v>
      </c>
      <c r="N334">
        <v>1.3</v>
      </c>
      <c r="O334">
        <v>51.41</v>
      </c>
      <c r="P334">
        <v>4</v>
      </c>
      <c r="Q334">
        <v>21</v>
      </c>
      <c r="R334">
        <v>4.51</v>
      </c>
      <c r="U334">
        <f>H334*(1-N334%)</f>
        <v>7.57029</v>
      </c>
      <c r="V334">
        <f>U334*I334</f>
        <v>545.06088</v>
      </c>
      <c r="W334" t="e">
        <f>#REF!-V334</f>
        <v>#REF!</v>
      </c>
      <c r="X334" t="e">
        <f t="shared" si="5"/>
        <v>#REF!</v>
      </c>
    </row>
    <row r="335" spans="1:24" x14ac:dyDescent="0.3">
      <c r="A335">
        <v>1334</v>
      </c>
      <c r="B335" s="2">
        <v>44530</v>
      </c>
      <c r="C335" t="s">
        <v>51</v>
      </c>
      <c r="D335" t="s">
        <v>46</v>
      </c>
      <c r="E335" t="s">
        <v>31</v>
      </c>
      <c r="F335" t="s">
        <v>32</v>
      </c>
      <c r="G335" t="s">
        <v>47</v>
      </c>
      <c r="H335">
        <v>26.32</v>
      </c>
      <c r="I335">
        <v>72</v>
      </c>
      <c r="J335" s="1">
        <f>(H335*I335)+O335</f>
        <v>1943.24</v>
      </c>
      <c r="K335" s="1">
        <f>(H335*I335)+O335-N335</f>
        <v>1929.39</v>
      </c>
      <c r="L335">
        <v>267.43</v>
      </c>
      <c r="M335" t="s">
        <v>28</v>
      </c>
      <c r="N335">
        <v>13.85</v>
      </c>
      <c r="O335">
        <v>48.2</v>
      </c>
      <c r="P335">
        <v>4</v>
      </c>
      <c r="Q335">
        <v>28</v>
      </c>
      <c r="R335">
        <v>2.11</v>
      </c>
      <c r="U335">
        <f>H335*(1-N335%)</f>
        <v>22.674680000000002</v>
      </c>
      <c r="V335">
        <f>U335*I335</f>
        <v>1632.5769600000001</v>
      </c>
      <c r="W335" t="e">
        <f>#REF!-V335</f>
        <v>#REF!</v>
      </c>
      <c r="X335" t="e">
        <f t="shared" si="5"/>
        <v>#REF!</v>
      </c>
    </row>
    <row r="336" spans="1:24" x14ac:dyDescent="0.3">
      <c r="A336">
        <v>1335</v>
      </c>
      <c r="B336" s="2">
        <v>44531</v>
      </c>
      <c r="C336" t="s">
        <v>33</v>
      </c>
      <c r="D336" t="s">
        <v>54</v>
      </c>
      <c r="E336" t="s">
        <v>31</v>
      </c>
      <c r="F336" t="s">
        <v>26</v>
      </c>
      <c r="G336" t="s">
        <v>47</v>
      </c>
      <c r="H336">
        <v>37.11</v>
      </c>
      <c r="I336">
        <v>89</v>
      </c>
      <c r="J336" s="1">
        <f>(H336*I336)+O336</f>
        <v>3365.67</v>
      </c>
      <c r="K336" s="1">
        <f>(H336*I336)+O336-N336</f>
        <v>3357</v>
      </c>
      <c r="L336">
        <v>1279.99</v>
      </c>
      <c r="M336" t="s">
        <v>28</v>
      </c>
      <c r="N336">
        <v>8.67</v>
      </c>
      <c r="O336">
        <v>62.88</v>
      </c>
      <c r="P336">
        <v>1</v>
      </c>
      <c r="Q336">
        <v>30</v>
      </c>
      <c r="R336">
        <v>6.36</v>
      </c>
      <c r="U336">
        <f>H336*(1-N336%)</f>
        <v>33.892563000000003</v>
      </c>
      <c r="V336">
        <f>U336*I336</f>
        <v>3016.4381070000004</v>
      </c>
      <c r="W336" t="e">
        <f>#REF!-V336</f>
        <v>#REF!</v>
      </c>
      <c r="X336" t="e">
        <f t="shared" si="5"/>
        <v>#REF!</v>
      </c>
    </row>
    <row r="337" spans="1:24" x14ac:dyDescent="0.3">
      <c r="A337">
        <v>1336</v>
      </c>
      <c r="B337" s="2">
        <v>44532</v>
      </c>
      <c r="C337" t="s">
        <v>51</v>
      </c>
      <c r="D337" t="s">
        <v>46</v>
      </c>
      <c r="E337" t="s">
        <v>42</v>
      </c>
      <c r="F337" t="s">
        <v>39</v>
      </c>
      <c r="G337" t="s">
        <v>27</v>
      </c>
      <c r="H337">
        <v>54.41</v>
      </c>
      <c r="I337">
        <v>74</v>
      </c>
      <c r="J337" s="1">
        <f>(H337*I337)+O337</f>
        <v>4122.9399999999996</v>
      </c>
      <c r="K337" s="1">
        <f>(H337*I337)+O337-N337</f>
        <v>4122.33</v>
      </c>
      <c r="L337">
        <v>943.57</v>
      </c>
      <c r="M337" t="s">
        <v>37</v>
      </c>
      <c r="N337">
        <v>0.61</v>
      </c>
      <c r="O337">
        <v>96.6</v>
      </c>
      <c r="P337">
        <v>4</v>
      </c>
      <c r="Q337">
        <v>14</v>
      </c>
      <c r="R337">
        <v>1.71</v>
      </c>
      <c r="U337">
        <f>H337*(1-N337%)</f>
        <v>54.078098999999995</v>
      </c>
      <c r="V337">
        <f>U337*I337</f>
        <v>4001.7793259999994</v>
      </c>
      <c r="W337" t="e">
        <f>#REF!-V337</f>
        <v>#REF!</v>
      </c>
      <c r="X337" t="e">
        <f t="shared" si="5"/>
        <v>#REF!</v>
      </c>
    </row>
    <row r="338" spans="1:24" x14ac:dyDescent="0.3">
      <c r="A338">
        <v>1337</v>
      </c>
      <c r="B338" s="2">
        <v>44533</v>
      </c>
      <c r="C338" t="s">
        <v>48</v>
      </c>
      <c r="D338" t="s">
        <v>54</v>
      </c>
      <c r="E338" t="s">
        <v>35</v>
      </c>
      <c r="F338" t="s">
        <v>39</v>
      </c>
      <c r="G338" t="s">
        <v>40</v>
      </c>
      <c r="H338">
        <v>9.99</v>
      </c>
      <c r="I338">
        <v>52</v>
      </c>
      <c r="J338" s="1">
        <f>(H338*I338)+O338</f>
        <v>528.54</v>
      </c>
      <c r="K338" s="1">
        <f>(H338*I338)+O338-N338</f>
        <v>520.37</v>
      </c>
      <c r="L338">
        <v>305.48</v>
      </c>
      <c r="M338" t="s">
        <v>28</v>
      </c>
      <c r="N338">
        <v>8.17</v>
      </c>
      <c r="O338">
        <v>9.06</v>
      </c>
      <c r="P338">
        <v>3</v>
      </c>
      <c r="Q338">
        <v>21</v>
      </c>
      <c r="R338">
        <v>4.08</v>
      </c>
      <c r="U338">
        <f>H338*(1-N338%)</f>
        <v>9.1738169999999997</v>
      </c>
      <c r="V338">
        <f>U338*I338</f>
        <v>477.03848399999998</v>
      </c>
      <c r="W338" t="e">
        <f>#REF!-V338</f>
        <v>#REF!</v>
      </c>
      <c r="X338" t="e">
        <f t="shared" si="5"/>
        <v>#REF!</v>
      </c>
    </row>
    <row r="339" spans="1:24" x14ac:dyDescent="0.3">
      <c r="A339">
        <v>1338</v>
      </c>
      <c r="B339" s="2">
        <v>44534</v>
      </c>
      <c r="C339" t="s">
        <v>57</v>
      </c>
      <c r="D339" t="s">
        <v>24</v>
      </c>
      <c r="E339" t="s">
        <v>35</v>
      </c>
      <c r="F339" t="s">
        <v>32</v>
      </c>
      <c r="G339" t="s">
        <v>27</v>
      </c>
      <c r="H339">
        <v>46.28</v>
      </c>
      <c r="I339">
        <v>20</v>
      </c>
      <c r="J339" s="1">
        <f>(H339*I339)+O339</f>
        <v>1008.26</v>
      </c>
      <c r="K339" s="1">
        <f>(H339*I339)+O339-N339</f>
        <v>1007.36</v>
      </c>
      <c r="L339">
        <v>1103.0999999999999</v>
      </c>
      <c r="M339" t="s">
        <v>28</v>
      </c>
      <c r="N339">
        <v>0.9</v>
      </c>
      <c r="O339">
        <v>82.66</v>
      </c>
      <c r="P339">
        <v>2</v>
      </c>
      <c r="Q339">
        <v>20</v>
      </c>
      <c r="R339">
        <v>0.31</v>
      </c>
      <c r="U339">
        <f>H339*(1-N339%)</f>
        <v>45.863480000000003</v>
      </c>
      <c r="V339">
        <f>U339*I339</f>
        <v>917.26960000000008</v>
      </c>
      <c r="W339" t="e">
        <f>#REF!-V339</f>
        <v>#REF!</v>
      </c>
      <c r="X339" t="e">
        <f t="shared" si="5"/>
        <v>#REF!</v>
      </c>
    </row>
    <row r="340" spans="1:24" x14ac:dyDescent="0.3">
      <c r="A340">
        <v>1339</v>
      </c>
      <c r="B340" s="2">
        <v>44535</v>
      </c>
      <c r="C340" t="s">
        <v>23</v>
      </c>
      <c r="D340" t="s">
        <v>49</v>
      </c>
      <c r="E340" t="s">
        <v>25</v>
      </c>
      <c r="F340" t="s">
        <v>32</v>
      </c>
      <c r="G340" t="s">
        <v>45</v>
      </c>
      <c r="H340">
        <v>18.73</v>
      </c>
      <c r="I340">
        <v>40</v>
      </c>
      <c r="J340" s="1">
        <f>(H340*I340)+O340</f>
        <v>773.49</v>
      </c>
      <c r="K340" s="1">
        <f>(H340*I340)+O340-N340</f>
        <v>756.45</v>
      </c>
      <c r="L340">
        <v>180.49</v>
      </c>
      <c r="M340" t="s">
        <v>28</v>
      </c>
      <c r="N340">
        <v>17.04</v>
      </c>
      <c r="O340">
        <v>24.29</v>
      </c>
      <c r="P340">
        <v>1</v>
      </c>
      <c r="Q340">
        <v>6</v>
      </c>
      <c r="R340">
        <v>5.5</v>
      </c>
      <c r="U340">
        <f>H340*(1-N340%)</f>
        <v>15.538408</v>
      </c>
      <c r="V340">
        <f>U340*I340</f>
        <v>621.53632000000005</v>
      </c>
      <c r="W340" t="e">
        <f>#REF!-V340</f>
        <v>#REF!</v>
      </c>
      <c r="X340" t="e">
        <f t="shared" si="5"/>
        <v>#REF!</v>
      </c>
    </row>
    <row r="341" spans="1:24" x14ac:dyDescent="0.3">
      <c r="A341">
        <v>1340</v>
      </c>
      <c r="B341" s="2">
        <v>44536</v>
      </c>
      <c r="C341" t="s">
        <v>57</v>
      </c>
      <c r="D341" t="s">
        <v>34</v>
      </c>
      <c r="E341" t="s">
        <v>31</v>
      </c>
      <c r="F341" t="s">
        <v>26</v>
      </c>
      <c r="G341" t="s">
        <v>47</v>
      </c>
      <c r="H341">
        <v>51.59</v>
      </c>
      <c r="I341">
        <v>23</v>
      </c>
      <c r="J341" s="1">
        <f>(H341*I341)+O341</f>
        <v>1203.9900000000002</v>
      </c>
      <c r="K341" s="1">
        <f>(H341*I341)+O341-N341</f>
        <v>1196.4500000000003</v>
      </c>
      <c r="L341">
        <v>802.91</v>
      </c>
      <c r="M341" t="s">
        <v>28</v>
      </c>
      <c r="N341">
        <v>7.54</v>
      </c>
      <c r="O341">
        <v>17.420000000000002</v>
      </c>
      <c r="P341">
        <v>1</v>
      </c>
      <c r="Q341">
        <v>19</v>
      </c>
      <c r="R341">
        <v>0.74</v>
      </c>
      <c r="U341">
        <f>H341*(1-N341%)</f>
        <v>47.700113999999999</v>
      </c>
      <c r="V341">
        <f>U341*I341</f>
        <v>1097.1026219999999</v>
      </c>
      <c r="W341" t="e">
        <f>#REF!-V341</f>
        <v>#REF!</v>
      </c>
      <c r="X341" t="e">
        <f t="shared" si="5"/>
        <v>#REF!</v>
      </c>
    </row>
    <row r="342" spans="1:24" x14ac:dyDescent="0.3">
      <c r="A342">
        <v>1341</v>
      </c>
      <c r="B342" s="2">
        <v>44537</v>
      </c>
      <c r="C342" t="s">
        <v>48</v>
      </c>
      <c r="D342" t="s">
        <v>34</v>
      </c>
      <c r="E342" t="s">
        <v>25</v>
      </c>
      <c r="F342" t="s">
        <v>39</v>
      </c>
      <c r="G342" t="s">
        <v>45</v>
      </c>
      <c r="H342">
        <v>16.97</v>
      </c>
      <c r="I342">
        <v>82</v>
      </c>
      <c r="J342" s="1">
        <f>(H342*I342)+O342</f>
        <v>1450.06</v>
      </c>
      <c r="K342" s="1">
        <f>(H342*I342)+O342-N342</f>
        <v>1449.1699999999998</v>
      </c>
      <c r="L342">
        <v>677.31</v>
      </c>
      <c r="M342" t="s">
        <v>37</v>
      </c>
      <c r="N342">
        <v>0.89</v>
      </c>
      <c r="O342">
        <v>58.52</v>
      </c>
      <c r="P342">
        <v>2</v>
      </c>
      <c r="Q342">
        <v>11</v>
      </c>
      <c r="R342">
        <v>6.99</v>
      </c>
      <c r="U342">
        <f>H342*(1-N342%)</f>
        <v>16.818966999999997</v>
      </c>
      <c r="V342">
        <f>U342*I342</f>
        <v>1379.1552939999997</v>
      </c>
      <c r="W342" t="e">
        <f>#REF!-V342</f>
        <v>#REF!</v>
      </c>
      <c r="X342" t="e">
        <f t="shared" si="5"/>
        <v>#REF!</v>
      </c>
    </row>
    <row r="343" spans="1:24" x14ac:dyDescent="0.3">
      <c r="A343">
        <v>1342</v>
      </c>
      <c r="B343" s="2">
        <v>44538</v>
      </c>
      <c r="C343" t="s">
        <v>56</v>
      </c>
      <c r="D343" t="s">
        <v>30</v>
      </c>
      <c r="E343" t="s">
        <v>25</v>
      </c>
      <c r="F343" t="s">
        <v>26</v>
      </c>
      <c r="G343" t="s">
        <v>40</v>
      </c>
      <c r="H343">
        <v>78.290000000000006</v>
      </c>
      <c r="I343">
        <v>56</v>
      </c>
      <c r="J343" s="1">
        <f>(H343*I343)+O343</f>
        <v>4432.8100000000004</v>
      </c>
      <c r="K343" s="1">
        <f>(H343*I343)+O343-N343</f>
        <v>4432.09</v>
      </c>
      <c r="L343">
        <v>1233.5999999999999</v>
      </c>
      <c r="M343" t="s">
        <v>28</v>
      </c>
      <c r="N343">
        <v>0.72</v>
      </c>
      <c r="O343">
        <v>48.57</v>
      </c>
      <c r="P343">
        <v>3</v>
      </c>
      <c r="Q343">
        <v>6</v>
      </c>
      <c r="R343">
        <v>5.65</v>
      </c>
      <c r="U343">
        <f>H343*(1-N343%)</f>
        <v>77.726312000000007</v>
      </c>
      <c r="V343">
        <f>U343*I343</f>
        <v>4352.6734720000004</v>
      </c>
      <c r="W343" t="e">
        <f>#REF!-V343</f>
        <v>#REF!</v>
      </c>
      <c r="X343" t="e">
        <f t="shared" si="5"/>
        <v>#REF!</v>
      </c>
    </row>
    <row r="344" spans="1:24" x14ac:dyDescent="0.3">
      <c r="A344">
        <v>1343</v>
      </c>
      <c r="B344" s="2">
        <v>44539</v>
      </c>
      <c r="C344" t="s">
        <v>52</v>
      </c>
      <c r="D344" t="s">
        <v>49</v>
      </c>
      <c r="E344" t="s">
        <v>31</v>
      </c>
      <c r="F344" t="s">
        <v>32</v>
      </c>
      <c r="G344" t="s">
        <v>47</v>
      </c>
      <c r="H344">
        <v>66.150000000000006</v>
      </c>
      <c r="I344">
        <v>93</v>
      </c>
      <c r="J344" s="1">
        <f>(H344*I344)+O344</f>
        <v>6234.9000000000005</v>
      </c>
      <c r="K344" s="1">
        <f>(H344*I344)+O344-N344</f>
        <v>6217.02</v>
      </c>
      <c r="L344">
        <v>1398</v>
      </c>
      <c r="M344" t="s">
        <v>44</v>
      </c>
      <c r="N344">
        <v>17.88</v>
      </c>
      <c r="O344">
        <v>82.95</v>
      </c>
      <c r="P344">
        <v>3</v>
      </c>
      <c r="Q344">
        <v>20</v>
      </c>
      <c r="R344">
        <v>7.33</v>
      </c>
      <c r="U344">
        <f>H344*(1-N344%)</f>
        <v>54.32238000000001</v>
      </c>
      <c r="V344">
        <f>U344*I344</f>
        <v>5051.9813400000012</v>
      </c>
      <c r="W344" t="e">
        <f>#REF!-V344</f>
        <v>#REF!</v>
      </c>
      <c r="X344" t="e">
        <f t="shared" si="5"/>
        <v>#REF!</v>
      </c>
    </row>
    <row r="345" spans="1:24" x14ac:dyDescent="0.3">
      <c r="A345">
        <v>1344</v>
      </c>
      <c r="B345" s="2">
        <v>44540</v>
      </c>
      <c r="C345" t="s">
        <v>56</v>
      </c>
      <c r="D345" t="s">
        <v>58</v>
      </c>
      <c r="E345" t="s">
        <v>31</v>
      </c>
      <c r="F345" t="s">
        <v>39</v>
      </c>
      <c r="G345" t="s">
        <v>27</v>
      </c>
      <c r="H345">
        <v>59.07</v>
      </c>
      <c r="I345">
        <v>70</v>
      </c>
      <c r="J345" s="1">
        <f>(H345*I345)+O345</f>
        <v>4165.37</v>
      </c>
      <c r="K345" s="1">
        <f>(H345*I345)+O345-N345</f>
        <v>4145.8900000000003</v>
      </c>
      <c r="L345">
        <v>915.86</v>
      </c>
      <c r="M345" t="s">
        <v>28</v>
      </c>
      <c r="N345">
        <v>19.48</v>
      </c>
      <c r="O345">
        <v>30.47</v>
      </c>
      <c r="P345">
        <v>3</v>
      </c>
      <c r="Q345">
        <v>5</v>
      </c>
      <c r="R345">
        <v>2.02</v>
      </c>
      <c r="U345">
        <f>H345*(1-N345%)</f>
        <v>47.563164</v>
      </c>
      <c r="V345">
        <f>U345*I345</f>
        <v>3329.42148</v>
      </c>
      <c r="W345" t="e">
        <f>#REF!-V345</f>
        <v>#REF!</v>
      </c>
      <c r="X345" t="e">
        <f t="shared" si="5"/>
        <v>#REF!</v>
      </c>
    </row>
    <row r="346" spans="1:24" x14ac:dyDescent="0.3">
      <c r="A346">
        <v>1345</v>
      </c>
      <c r="B346" s="2">
        <v>44541</v>
      </c>
      <c r="C346" t="s">
        <v>48</v>
      </c>
      <c r="D346" t="s">
        <v>30</v>
      </c>
      <c r="E346" t="s">
        <v>31</v>
      </c>
      <c r="F346" t="s">
        <v>26</v>
      </c>
      <c r="G346" t="s">
        <v>45</v>
      </c>
      <c r="H346">
        <v>45.62</v>
      </c>
      <c r="I346">
        <v>76</v>
      </c>
      <c r="J346" s="1">
        <f>(H346*I346)+O346</f>
        <v>3487.85</v>
      </c>
      <c r="K346" s="1">
        <f>(H346*I346)+O346-N346</f>
        <v>3476.15</v>
      </c>
      <c r="L346">
        <v>285.67</v>
      </c>
      <c r="M346" t="s">
        <v>44</v>
      </c>
      <c r="N346">
        <v>11.7</v>
      </c>
      <c r="O346">
        <v>20.73</v>
      </c>
      <c r="P346">
        <v>4</v>
      </c>
      <c r="Q346">
        <v>27</v>
      </c>
      <c r="R346">
        <v>1.27</v>
      </c>
      <c r="U346">
        <f>H346*(1-N346%)</f>
        <v>40.28246</v>
      </c>
      <c r="V346">
        <f>U346*I346</f>
        <v>3061.4669600000002</v>
      </c>
      <c r="W346" t="e">
        <f>#REF!-V346</f>
        <v>#REF!</v>
      </c>
      <c r="X346" t="e">
        <f t="shared" si="5"/>
        <v>#REF!</v>
      </c>
    </row>
    <row r="347" spans="1:24" x14ac:dyDescent="0.3">
      <c r="A347">
        <v>1346</v>
      </c>
      <c r="B347" s="2">
        <v>44542</v>
      </c>
      <c r="C347" t="s">
        <v>29</v>
      </c>
      <c r="D347" t="s">
        <v>34</v>
      </c>
      <c r="E347" t="s">
        <v>31</v>
      </c>
      <c r="F347" t="s">
        <v>32</v>
      </c>
      <c r="G347" t="s">
        <v>36</v>
      </c>
      <c r="H347">
        <v>42.02</v>
      </c>
      <c r="I347">
        <v>53</v>
      </c>
      <c r="J347" s="1">
        <f>(H347*I347)+O347</f>
        <v>2271.16</v>
      </c>
      <c r="K347" s="1">
        <f>(H347*I347)+O347-N347</f>
        <v>2260.48</v>
      </c>
      <c r="L347">
        <v>599.98</v>
      </c>
      <c r="M347" t="s">
        <v>28</v>
      </c>
      <c r="N347">
        <v>10.68</v>
      </c>
      <c r="O347">
        <v>44.1</v>
      </c>
      <c r="P347">
        <v>1</v>
      </c>
      <c r="Q347">
        <v>2</v>
      </c>
      <c r="R347">
        <v>4.57</v>
      </c>
      <c r="U347">
        <f>H347*(1-N347%)</f>
        <v>37.532264000000005</v>
      </c>
      <c r="V347">
        <f>U347*I347</f>
        <v>1989.2099920000003</v>
      </c>
      <c r="W347" t="e">
        <f>#REF!-V347</f>
        <v>#REF!</v>
      </c>
      <c r="X347" t="e">
        <f t="shared" si="5"/>
        <v>#REF!</v>
      </c>
    </row>
    <row r="348" spans="1:24" x14ac:dyDescent="0.3">
      <c r="A348">
        <v>1347</v>
      </c>
      <c r="B348" s="2">
        <v>44543</v>
      </c>
      <c r="C348" t="s">
        <v>48</v>
      </c>
      <c r="D348" t="s">
        <v>34</v>
      </c>
      <c r="E348" t="s">
        <v>31</v>
      </c>
      <c r="F348" t="s">
        <v>26</v>
      </c>
      <c r="G348" t="s">
        <v>43</v>
      </c>
      <c r="H348">
        <v>73.7</v>
      </c>
      <c r="I348">
        <v>56</v>
      </c>
      <c r="J348" s="1">
        <f>(H348*I348)+O348</f>
        <v>4216.2</v>
      </c>
      <c r="K348" s="1">
        <f>(H348*I348)+O348-N348</f>
        <v>4196.6099999999997</v>
      </c>
      <c r="L348">
        <v>203.95</v>
      </c>
      <c r="M348" t="s">
        <v>28</v>
      </c>
      <c r="N348">
        <v>19.59</v>
      </c>
      <c r="O348">
        <v>89</v>
      </c>
      <c r="P348">
        <v>5</v>
      </c>
      <c r="Q348">
        <v>24</v>
      </c>
      <c r="R348">
        <v>0.63</v>
      </c>
      <c r="U348">
        <f>H348*(1-N348%)</f>
        <v>59.262170000000005</v>
      </c>
      <c r="V348">
        <f>U348*I348</f>
        <v>3318.6815200000001</v>
      </c>
      <c r="W348" t="e">
        <f>#REF!-V348</f>
        <v>#REF!</v>
      </c>
      <c r="X348" t="e">
        <f t="shared" si="5"/>
        <v>#REF!</v>
      </c>
    </row>
    <row r="349" spans="1:24" x14ac:dyDescent="0.3">
      <c r="A349">
        <v>1348</v>
      </c>
      <c r="B349" s="2">
        <v>44544</v>
      </c>
      <c r="C349" t="s">
        <v>29</v>
      </c>
      <c r="D349" t="s">
        <v>24</v>
      </c>
      <c r="E349" t="s">
        <v>31</v>
      </c>
      <c r="F349" t="s">
        <v>26</v>
      </c>
      <c r="G349" t="s">
        <v>47</v>
      </c>
      <c r="H349">
        <v>78.06</v>
      </c>
      <c r="I349">
        <v>82</v>
      </c>
      <c r="J349" s="1">
        <f>(H349*I349)+O349</f>
        <v>6415.66</v>
      </c>
      <c r="K349" s="1">
        <f>(H349*I349)+O349-N349</f>
        <v>6412.76</v>
      </c>
      <c r="L349">
        <v>1375.02</v>
      </c>
      <c r="M349" t="s">
        <v>28</v>
      </c>
      <c r="N349">
        <v>2.9</v>
      </c>
      <c r="O349">
        <v>14.74</v>
      </c>
      <c r="P349">
        <v>1</v>
      </c>
      <c r="Q349">
        <v>21</v>
      </c>
      <c r="R349">
        <v>2.58</v>
      </c>
      <c r="U349">
        <f>H349*(1-N349%)</f>
        <v>75.796260000000004</v>
      </c>
      <c r="V349">
        <f>U349*I349</f>
        <v>6215.2933200000007</v>
      </c>
      <c r="W349" t="e">
        <f>#REF!-V349</f>
        <v>#REF!</v>
      </c>
      <c r="X349" t="e">
        <f t="shared" si="5"/>
        <v>#REF!</v>
      </c>
    </row>
    <row r="350" spans="1:24" x14ac:dyDescent="0.3">
      <c r="A350">
        <v>1349</v>
      </c>
      <c r="B350" s="2">
        <v>44545</v>
      </c>
      <c r="C350" t="s">
        <v>38</v>
      </c>
      <c r="D350" t="s">
        <v>24</v>
      </c>
      <c r="E350" t="s">
        <v>35</v>
      </c>
      <c r="F350" t="s">
        <v>32</v>
      </c>
      <c r="G350" t="s">
        <v>50</v>
      </c>
      <c r="H350">
        <v>12.15</v>
      </c>
      <c r="I350">
        <v>24</v>
      </c>
      <c r="J350" s="1">
        <f>(H350*I350)+O350</f>
        <v>350.15000000000003</v>
      </c>
      <c r="K350" s="1">
        <f>(H350*I350)+O350-N350</f>
        <v>341.65000000000003</v>
      </c>
      <c r="L350">
        <v>1154.49</v>
      </c>
      <c r="M350" t="s">
        <v>28</v>
      </c>
      <c r="N350">
        <v>8.5</v>
      </c>
      <c r="O350">
        <v>58.55</v>
      </c>
      <c r="P350">
        <v>5</v>
      </c>
      <c r="Q350">
        <v>8</v>
      </c>
      <c r="R350">
        <v>6.76</v>
      </c>
      <c r="U350">
        <f>H350*(1-N350%)</f>
        <v>11.11725</v>
      </c>
      <c r="V350">
        <f>U350*I350</f>
        <v>266.81400000000002</v>
      </c>
      <c r="W350" t="e">
        <f>#REF!-V350</f>
        <v>#REF!</v>
      </c>
      <c r="X350" t="e">
        <f t="shared" si="5"/>
        <v>#REF!</v>
      </c>
    </row>
    <row r="351" spans="1:24" x14ac:dyDescent="0.3">
      <c r="A351">
        <v>1350</v>
      </c>
      <c r="B351" s="2">
        <v>44546</v>
      </c>
      <c r="C351" t="s">
        <v>23</v>
      </c>
      <c r="D351" t="s">
        <v>49</v>
      </c>
      <c r="E351" t="s">
        <v>31</v>
      </c>
      <c r="F351" t="s">
        <v>26</v>
      </c>
      <c r="G351" t="s">
        <v>43</v>
      </c>
      <c r="H351">
        <v>64.87</v>
      </c>
      <c r="I351">
        <v>29</v>
      </c>
      <c r="J351" s="1">
        <f>(H351*I351)+O351</f>
        <v>1962.1</v>
      </c>
      <c r="K351" s="1">
        <f>(H351*I351)+O351-N351</f>
        <v>1943.9199999999998</v>
      </c>
      <c r="L351">
        <v>1057.8599999999999</v>
      </c>
      <c r="M351" t="s">
        <v>37</v>
      </c>
      <c r="N351">
        <v>18.18</v>
      </c>
      <c r="O351">
        <v>80.87</v>
      </c>
      <c r="P351">
        <v>2</v>
      </c>
      <c r="Q351">
        <v>26</v>
      </c>
      <c r="R351">
        <v>3.01</v>
      </c>
      <c r="U351">
        <f>H351*(1-N351%)</f>
        <v>53.076634000000006</v>
      </c>
      <c r="V351">
        <f>U351*I351</f>
        <v>1539.2223860000001</v>
      </c>
      <c r="W351" t="e">
        <f>#REF!-V351</f>
        <v>#REF!</v>
      </c>
      <c r="X351" t="e">
        <f t="shared" si="5"/>
        <v>#REF!</v>
      </c>
    </row>
    <row r="352" spans="1:24" x14ac:dyDescent="0.3">
      <c r="A352">
        <v>1351</v>
      </c>
      <c r="B352" s="2">
        <v>44547</v>
      </c>
      <c r="C352" t="s">
        <v>38</v>
      </c>
      <c r="D352" t="s">
        <v>49</v>
      </c>
      <c r="E352" t="s">
        <v>42</v>
      </c>
      <c r="F352" t="s">
        <v>32</v>
      </c>
      <c r="G352" t="s">
        <v>50</v>
      </c>
      <c r="H352">
        <v>15.73</v>
      </c>
      <c r="I352">
        <v>92</v>
      </c>
      <c r="J352" s="1">
        <f>(H352*I352)+O352</f>
        <v>1464.63</v>
      </c>
      <c r="K352" s="1">
        <f>(H352*I352)+O352-N352</f>
        <v>1460.1100000000001</v>
      </c>
      <c r="L352">
        <v>1002.92</v>
      </c>
      <c r="M352" t="s">
        <v>44</v>
      </c>
      <c r="N352">
        <v>4.5199999999999996</v>
      </c>
      <c r="O352">
        <v>17.47</v>
      </c>
      <c r="P352">
        <v>4</v>
      </c>
      <c r="Q352">
        <v>8</v>
      </c>
      <c r="R352">
        <v>2.17</v>
      </c>
      <c r="U352">
        <f>H352*(1-N352%)</f>
        <v>15.019004000000001</v>
      </c>
      <c r="V352">
        <f>U352*I352</f>
        <v>1381.748368</v>
      </c>
      <c r="W352" t="e">
        <f>#REF!-V352</f>
        <v>#REF!</v>
      </c>
      <c r="X352" t="e">
        <f t="shared" si="5"/>
        <v>#REF!</v>
      </c>
    </row>
    <row r="353" spans="1:24" x14ac:dyDescent="0.3">
      <c r="A353">
        <v>1352</v>
      </c>
      <c r="B353" s="2">
        <v>44548</v>
      </c>
      <c r="C353" t="s">
        <v>29</v>
      </c>
      <c r="D353" t="s">
        <v>55</v>
      </c>
      <c r="E353" t="s">
        <v>35</v>
      </c>
      <c r="F353" t="s">
        <v>32</v>
      </c>
      <c r="G353" t="s">
        <v>47</v>
      </c>
      <c r="H353">
        <v>43.85</v>
      </c>
      <c r="I353">
        <v>53</v>
      </c>
      <c r="J353" s="1">
        <f>(H353*I353)+O353</f>
        <v>2333.7200000000003</v>
      </c>
      <c r="K353" s="1">
        <f>(H353*I353)+O353-N353</f>
        <v>2329.7600000000002</v>
      </c>
      <c r="L353">
        <v>964.78</v>
      </c>
      <c r="M353" t="s">
        <v>28</v>
      </c>
      <c r="N353">
        <v>3.96</v>
      </c>
      <c r="O353">
        <v>9.67</v>
      </c>
      <c r="P353">
        <v>3</v>
      </c>
      <c r="Q353">
        <v>9</v>
      </c>
      <c r="R353">
        <v>3.79</v>
      </c>
      <c r="U353">
        <f>H353*(1-N353%)</f>
        <v>42.11354</v>
      </c>
      <c r="V353">
        <f>U353*I353</f>
        <v>2232.0176200000001</v>
      </c>
      <c r="W353" t="e">
        <f>#REF!-V353</f>
        <v>#REF!</v>
      </c>
      <c r="X353" t="e">
        <f t="shared" si="5"/>
        <v>#REF!</v>
      </c>
    </row>
    <row r="354" spans="1:24" x14ac:dyDescent="0.3">
      <c r="A354">
        <v>1353</v>
      </c>
      <c r="B354" s="2">
        <v>44549</v>
      </c>
      <c r="C354" t="s">
        <v>52</v>
      </c>
      <c r="D354" t="s">
        <v>46</v>
      </c>
      <c r="E354" t="s">
        <v>42</v>
      </c>
      <c r="F354" t="s">
        <v>32</v>
      </c>
      <c r="G354" t="s">
        <v>47</v>
      </c>
      <c r="H354">
        <v>31.62</v>
      </c>
      <c r="I354">
        <v>41</v>
      </c>
      <c r="J354" s="1">
        <f>(H354*I354)+O354</f>
        <v>1371.24</v>
      </c>
      <c r="K354" s="1">
        <f>(H354*I354)+O354-N354</f>
        <v>1351.6200000000001</v>
      </c>
      <c r="L354">
        <v>1170</v>
      </c>
      <c r="M354" t="s">
        <v>44</v>
      </c>
      <c r="N354">
        <v>19.62</v>
      </c>
      <c r="O354">
        <v>74.819999999999993</v>
      </c>
      <c r="P354">
        <v>3</v>
      </c>
      <c r="Q354">
        <v>19</v>
      </c>
      <c r="R354">
        <v>0.89</v>
      </c>
      <c r="U354">
        <f>H354*(1-N354%)</f>
        <v>25.416156000000001</v>
      </c>
      <c r="V354">
        <f>U354*I354</f>
        <v>1042.062396</v>
      </c>
      <c r="W354" t="e">
        <f>#REF!-V354</f>
        <v>#REF!</v>
      </c>
      <c r="X354" t="e">
        <f t="shared" si="5"/>
        <v>#REF!</v>
      </c>
    </row>
    <row r="355" spans="1:24" x14ac:dyDescent="0.3">
      <c r="A355">
        <v>1354</v>
      </c>
      <c r="B355" s="2">
        <v>44550</v>
      </c>
      <c r="C355" t="s">
        <v>57</v>
      </c>
      <c r="D355" t="s">
        <v>55</v>
      </c>
      <c r="E355" t="s">
        <v>25</v>
      </c>
      <c r="F355" t="s">
        <v>26</v>
      </c>
      <c r="G355" t="s">
        <v>53</v>
      </c>
      <c r="H355">
        <v>80.84</v>
      </c>
      <c r="I355">
        <v>20</v>
      </c>
      <c r="J355" s="1">
        <f>(H355*I355)+O355</f>
        <v>1686.39</v>
      </c>
      <c r="K355" s="1">
        <f>(H355*I355)+O355-N355</f>
        <v>1681.39</v>
      </c>
      <c r="L355">
        <v>1381.87</v>
      </c>
      <c r="M355" t="s">
        <v>44</v>
      </c>
      <c r="N355">
        <v>5</v>
      </c>
      <c r="O355">
        <v>69.59</v>
      </c>
      <c r="P355">
        <v>4</v>
      </c>
      <c r="Q355">
        <v>24</v>
      </c>
      <c r="R355">
        <v>2.52</v>
      </c>
      <c r="U355">
        <f>H355*(1-N355%)</f>
        <v>76.798000000000002</v>
      </c>
      <c r="V355">
        <f>U355*I355</f>
        <v>1535.96</v>
      </c>
      <c r="W355" t="e">
        <f>#REF!-V355</f>
        <v>#REF!</v>
      </c>
      <c r="X355" t="e">
        <f t="shared" si="5"/>
        <v>#REF!</v>
      </c>
    </row>
    <row r="356" spans="1:24" x14ac:dyDescent="0.3">
      <c r="A356">
        <v>1355</v>
      </c>
      <c r="B356" s="2">
        <v>44551</v>
      </c>
      <c r="C356" t="s">
        <v>29</v>
      </c>
      <c r="D356" t="s">
        <v>34</v>
      </c>
      <c r="E356" t="s">
        <v>31</v>
      </c>
      <c r="F356" t="s">
        <v>26</v>
      </c>
      <c r="G356" t="s">
        <v>40</v>
      </c>
      <c r="H356">
        <v>59.33</v>
      </c>
      <c r="I356">
        <v>19</v>
      </c>
      <c r="J356" s="1">
        <f>(H356*I356)+O356</f>
        <v>1193.5</v>
      </c>
      <c r="K356" s="1">
        <f>(H356*I356)+O356-N356</f>
        <v>1177.44</v>
      </c>
      <c r="L356">
        <v>1373.43</v>
      </c>
      <c r="M356" t="s">
        <v>44</v>
      </c>
      <c r="N356">
        <v>16.059999999999999</v>
      </c>
      <c r="O356">
        <v>66.23</v>
      </c>
      <c r="P356">
        <v>5</v>
      </c>
      <c r="Q356">
        <v>23</v>
      </c>
      <c r="R356">
        <v>3.28</v>
      </c>
      <c r="U356">
        <f>H356*(1-N356%)</f>
        <v>49.801602000000003</v>
      </c>
      <c r="V356">
        <f>U356*I356</f>
        <v>946.23043800000005</v>
      </c>
      <c r="W356" t="e">
        <f>#REF!-V356</f>
        <v>#REF!</v>
      </c>
      <c r="X356" t="e">
        <f t="shared" si="5"/>
        <v>#REF!</v>
      </c>
    </row>
    <row r="357" spans="1:24" x14ac:dyDescent="0.3">
      <c r="A357">
        <v>1356</v>
      </c>
      <c r="B357" s="2">
        <v>44552</v>
      </c>
      <c r="C357" t="s">
        <v>51</v>
      </c>
      <c r="D357" t="s">
        <v>55</v>
      </c>
      <c r="E357" t="s">
        <v>35</v>
      </c>
      <c r="F357" t="s">
        <v>39</v>
      </c>
      <c r="G357" t="s">
        <v>45</v>
      </c>
      <c r="H357">
        <v>78.290000000000006</v>
      </c>
      <c r="I357">
        <v>87</v>
      </c>
      <c r="J357" s="1">
        <f>(H357*I357)+O357</f>
        <v>6816.5700000000006</v>
      </c>
      <c r="K357" s="1">
        <f>(H357*I357)+O357-N357</f>
        <v>6804.52</v>
      </c>
      <c r="L357">
        <v>317.23</v>
      </c>
      <c r="M357" t="s">
        <v>37</v>
      </c>
      <c r="N357">
        <v>12.05</v>
      </c>
      <c r="O357">
        <v>5.34</v>
      </c>
      <c r="P357">
        <v>2</v>
      </c>
      <c r="Q357">
        <v>12</v>
      </c>
      <c r="R357">
        <v>5.07</v>
      </c>
      <c r="U357">
        <f>H357*(1-N357%)</f>
        <v>68.856054999999998</v>
      </c>
      <c r="V357">
        <f>U357*I357</f>
        <v>5990.4767849999998</v>
      </c>
      <c r="W357" t="e">
        <f>#REF!-V357</f>
        <v>#REF!</v>
      </c>
      <c r="X357" t="e">
        <f t="shared" si="5"/>
        <v>#REF!</v>
      </c>
    </row>
    <row r="358" spans="1:24" x14ac:dyDescent="0.3">
      <c r="A358">
        <v>1357</v>
      </c>
      <c r="B358" s="2">
        <v>44553</v>
      </c>
      <c r="C358" t="s">
        <v>41</v>
      </c>
      <c r="D358" t="s">
        <v>46</v>
      </c>
      <c r="E358" t="s">
        <v>25</v>
      </c>
      <c r="F358" t="s">
        <v>39</v>
      </c>
      <c r="G358" t="s">
        <v>50</v>
      </c>
      <c r="H358">
        <v>29.8</v>
      </c>
      <c r="I358">
        <v>36</v>
      </c>
      <c r="J358" s="1">
        <f>(H358*I358)+O358</f>
        <v>1092.06</v>
      </c>
      <c r="K358" s="1">
        <f>(H358*I358)+O358-N358</f>
        <v>1091.01</v>
      </c>
      <c r="L358">
        <v>135.94</v>
      </c>
      <c r="M358" t="s">
        <v>37</v>
      </c>
      <c r="N358">
        <v>1.05</v>
      </c>
      <c r="O358">
        <v>19.260000000000002</v>
      </c>
      <c r="P358">
        <v>4</v>
      </c>
      <c r="Q358">
        <v>11</v>
      </c>
      <c r="R358">
        <v>3.85</v>
      </c>
      <c r="U358">
        <f>H358*(1-N358%)</f>
        <v>29.487100000000002</v>
      </c>
      <c r="V358">
        <f>U358*I358</f>
        <v>1061.5356000000002</v>
      </c>
      <c r="W358" t="e">
        <f>#REF!-V358</f>
        <v>#REF!</v>
      </c>
      <c r="X358" t="e">
        <f t="shared" si="5"/>
        <v>#REF!</v>
      </c>
    </row>
    <row r="359" spans="1:24" x14ac:dyDescent="0.3">
      <c r="A359">
        <v>1358</v>
      </c>
      <c r="B359" s="2">
        <v>44554</v>
      </c>
      <c r="C359" t="s">
        <v>41</v>
      </c>
      <c r="D359" t="s">
        <v>54</v>
      </c>
      <c r="E359" t="s">
        <v>31</v>
      </c>
      <c r="F359" t="s">
        <v>26</v>
      </c>
      <c r="G359" t="s">
        <v>27</v>
      </c>
      <c r="H359">
        <v>54.68</v>
      </c>
      <c r="I359">
        <v>66</v>
      </c>
      <c r="J359" s="1">
        <f>(H359*I359)+O359</f>
        <v>3643.4900000000002</v>
      </c>
      <c r="K359" s="1">
        <f>(H359*I359)+O359-N359</f>
        <v>3632.9500000000003</v>
      </c>
      <c r="L359">
        <v>1164.51</v>
      </c>
      <c r="M359" t="s">
        <v>44</v>
      </c>
      <c r="N359">
        <v>10.54</v>
      </c>
      <c r="O359">
        <v>34.61</v>
      </c>
      <c r="P359">
        <v>4</v>
      </c>
      <c r="Q359">
        <v>7</v>
      </c>
      <c r="R359">
        <v>6.26</v>
      </c>
      <c r="U359">
        <f>H359*(1-N359%)</f>
        <v>48.916728000000006</v>
      </c>
      <c r="V359">
        <f>U359*I359</f>
        <v>3228.5040480000002</v>
      </c>
      <c r="W359" t="e">
        <f>#REF!-V359</f>
        <v>#REF!</v>
      </c>
      <c r="X359" t="e">
        <f t="shared" si="5"/>
        <v>#REF!</v>
      </c>
    </row>
    <row r="360" spans="1:24" x14ac:dyDescent="0.3">
      <c r="A360">
        <v>1359</v>
      </c>
      <c r="B360" s="2">
        <v>44555</v>
      </c>
      <c r="C360" t="s">
        <v>51</v>
      </c>
      <c r="D360" t="s">
        <v>46</v>
      </c>
      <c r="E360" t="s">
        <v>25</v>
      </c>
      <c r="F360" t="s">
        <v>32</v>
      </c>
      <c r="G360" t="s">
        <v>45</v>
      </c>
      <c r="H360">
        <v>65.3</v>
      </c>
      <c r="I360">
        <v>43</v>
      </c>
      <c r="J360" s="1">
        <f>(H360*I360)+O360</f>
        <v>2860.08</v>
      </c>
      <c r="K360" s="1">
        <f>(H360*I360)+O360-N360</f>
        <v>2850.17</v>
      </c>
      <c r="L360">
        <v>799.89</v>
      </c>
      <c r="M360" t="s">
        <v>37</v>
      </c>
      <c r="N360">
        <v>9.91</v>
      </c>
      <c r="O360">
        <v>52.18</v>
      </c>
      <c r="P360">
        <v>4</v>
      </c>
      <c r="Q360">
        <v>24</v>
      </c>
      <c r="R360">
        <v>4.93</v>
      </c>
      <c r="U360">
        <f>H360*(1-N360%)</f>
        <v>58.828769999999999</v>
      </c>
      <c r="V360">
        <f>U360*I360</f>
        <v>2529.6371100000001</v>
      </c>
      <c r="W360" t="e">
        <f>#REF!-V360</f>
        <v>#REF!</v>
      </c>
      <c r="X360" t="e">
        <f t="shared" si="5"/>
        <v>#REF!</v>
      </c>
    </row>
    <row r="361" spans="1:24" x14ac:dyDescent="0.3">
      <c r="A361">
        <v>1360</v>
      </c>
      <c r="B361" s="2">
        <v>44556</v>
      </c>
      <c r="C361" t="s">
        <v>52</v>
      </c>
      <c r="D361" t="s">
        <v>49</v>
      </c>
      <c r="E361" t="s">
        <v>42</v>
      </c>
      <c r="F361" t="s">
        <v>32</v>
      </c>
      <c r="G361" t="s">
        <v>36</v>
      </c>
      <c r="H361">
        <v>71.900000000000006</v>
      </c>
      <c r="I361">
        <v>77</v>
      </c>
      <c r="J361" s="1">
        <f>(H361*I361)+O361</f>
        <v>5615.2</v>
      </c>
      <c r="K361" s="1">
        <f>(H361*I361)+O361-N361</f>
        <v>5605.3</v>
      </c>
      <c r="L361">
        <v>1158.5899999999999</v>
      </c>
      <c r="M361" t="s">
        <v>37</v>
      </c>
      <c r="N361">
        <v>9.9</v>
      </c>
      <c r="O361">
        <v>78.900000000000006</v>
      </c>
      <c r="P361">
        <v>4</v>
      </c>
      <c r="Q361">
        <v>10</v>
      </c>
      <c r="R361">
        <v>4.95</v>
      </c>
      <c r="U361">
        <f>H361*(1-N361%)</f>
        <v>64.781900000000007</v>
      </c>
      <c r="V361">
        <f>U361*I361</f>
        <v>4988.2063000000007</v>
      </c>
      <c r="W361" t="e">
        <f>#REF!-V361</f>
        <v>#REF!</v>
      </c>
      <c r="X361" t="e">
        <f t="shared" si="5"/>
        <v>#REF!</v>
      </c>
    </row>
    <row r="362" spans="1:24" x14ac:dyDescent="0.3">
      <c r="A362">
        <v>1361</v>
      </c>
      <c r="B362" s="2">
        <v>44557</v>
      </c>
      <c r="C362" t="s">
        <v>29</v>
      </c>
      <c r="D362" t="s">
        <v>49</v>
      </c>
      <c r="E362" t="s">
        <v>35</v>
      </c>
      <c r="F362" t="s">
        <v>39</v>
      </c>
      <c r="G362" t="s">
        <v>27</v>
      </c>
      <c r="H362">
        <v>76.27</v>
      </c>
      <c r="I362">
        <v>27</v>
      </c>
      <c r="J362" s="1">
        <f>(H362*I362)+O362</f>
        <v>2144.09</v>
      </c>
      <c r="K362" s="1">
        <f>(H362*I362)+O362-N362</f>
        <v>2129.9700000000003</v>
      </c>
      <c r="L362">
        <v>1352.37</v>
      </c>
      <c r="M362" t="s">
        <v>44</v>
      </c>
      <c r="N362">
        <v>14.12</v>
      </c>
      <c r="O362">
        <v>84.8</v>
      </c>
      <c r="P362">
        <v>3</v>
      </c>
      <c r="Q362">
        <v>8</v>
      </c>
      <c r="R362">
        <v>3.94</v>
      </c>
      <c r="U362">
        <f>H362*(1-N362%)</f>
        <v>65.500675999999999</v>
      </c>
      <c r="V362">
        <f>U362*I362</f>
        <v>1768.5182519999998</v>
      </c>
      <c r="W362" t="e">
        <f>#REF!-V362</f>
        <v>#REF!</v>
      </c>
      <c r="X362" t="e">
        <f t="shared" si="5"/>
        <v>#REF!</v>
      </c>
    </row>
    <row r="363" spans="1:24" x14ac:dyDescent="0.3">
      <c r="A363">
        <v>1362</v>
      </c>
      <c r="B363" s="2">
        <v>44558</v>
      </c>
      <c r="C363" t="s">
        <v>41</v>
      </c>
      <c r="D363" t="s">
        <v>54</v>
      </c>
      <c r="E363" t="s">
        <v>25</v>
      </c>
      <c r="F363" t="s">
        <v>32</v>
      </c>
      <c r="G363" t="s">
        <v>45</v>
      </c>
      <c r="H363">
        <v>3.02</v>
      </c>
      <c r="I363">
        <v>34</v>
      </c>
      <c r="J363" s="1">
        <f>(H363*I363)+O363</f>
        <v>162.14000000000001</v>
      </c>
      <c r="K363" s="1">
        <f>(H363*I363)+O363-N363</f>
        <v>159.14000000000001</v>
      </c>
      <c r="L363">
        <v>1107.28</v>
      </c>
      <c r="M363" t="s">
        <v>44</v>
      </c>
      <c r="N363">
        <v>3</v>
      </c>
      <c r="O363">
        <v>59.46</v>
      </c>
      <c r="P363">
        <v>1</v>
      </c>
      <c r="Q363">
        <v>6</v>
      </c>
      <c r="R363">
        <v>3.59</v>
      </c>
      <c r="U363">
        <f>H363*(1-N363%)</f>
        <v>2.9293999999999998</v>
      </c>
      <c r="V363">
        <f>U363*I363</f>
        <v>99.599599999999995</v>
      </c>
      <c r="W363" t="e">
        <f>#REF!-V363</f>
        <v>#REF!</v>
      </c>
      <c r="X363" t="e">
        <f t="shared" si="5"/>
        <v>#REF!</v>
      </c>
    </row>
    <row r="364" spans="1:24" x14ac:dyDescent="0.3">
      <c r="A364">
        <v>1363</v>
      </c>
      <c r="B364" s="2">
        <v>44559</v>
      </c>
      <c r="C364" t="s">
        <v>51</v>
      </c>
      <c r="D364" t="s">
        <v>54</v>
      </c>
      <c r="E364" t="s">
        <v>42</v>
      </c>
      <c r="F364" t="s">
        <v>26</v>
      </c>
      <c r="G364" t="s">
        <v>43</v>
      </c>
      <c r="H364">
        <v>32.28</v>
      </c>
      <c r="I364">
        <v>70</v>
      </c>
      <c r="J364" s="1">
        <f>(H364*I364)+O364</f>
        <v>2342.29</v>
      </c>
      <c r="K364" s="1">
        <f>(H364*I364)+O364-N364</f>
        <v>2325.79</v>
      </c>
      <c r="L364">
        <v>1210.6300000000001</v>
      </c>
      <c r="M364" t="s">
        <v>44</v>
      </c>
      <c r="N364">
        <v>16.5</v>
      </c>
      <c r="O364">
        <v>82.69</v>
      </c>
      <c r="P364">
        <v>3</v>
      </c>
      <c r="Q364">
        <v>19</v>
      </c>
      <c r="R364">
        <v>7.2</v>
      </c>
      <c r="U364">
        <f>H364*(1-N364%)</f>
        <v>26.953800000000001</v>
      </c>
      <c r="V364">
        <f>U364*I364</f>
        <v>1886.7660000000001</v>
      </c>
      <c r="W364" t="e">
        <f>#REF!-V364</f>
        <v>#REF!</v>
      </c>
      <c r="X364" t="e">
        <f t="shared" si="5"/>
        <v>#REF!</v>
      </c>
    </row>
    <row r="365" spans="1:24" x14ac:dyDescent="0.3">
      <c r="A365">
        <v>1364</v>
      </c>
      <c r="B365" s="2">
        <v>44560</v>
      </c>
      <c r="C365" t="s">
        <v>48</v>
      </c>
      <c r="D365" t="s">
        <v>46</v>
      </c>
      <c r="E365" t="s">
        <v>31</v>
      </c>
      <c r="F365" t="s">
        <v>39</v>
      </c>
      <c r="G365" t="s">
        <v>53</v>
      </c>
      <c r="H365">
        <v>42.97</v>
      </c>
      <c r="I365">
        <v>79</v>
      </c>
      <c r="J365" s="1">
        <f>(H365*I365)+O365</f>
        <v>3484.81</v>
      </c>
      <c r="K365" s="1">
        <f>(H365*I365)+O365-N365</f>
        <v>3474.71</v>
      </c>
      <c r="L365">
        <v>738.44</v>
      </c>
      <c r="M365" t="s">
        <v>37</v>
      </c>
      <c r="N365">
        <v>10.1</v>
      </c>
      <c r="O365">
        <v>90.18</v>
      </c>
      <c r="P365">
        <v>3</v>
      </c>
      <c r="Q365">
        <v>24</v>
      </c>
      <c r="R365">
        <v>9.42</v>
      </c>
      <c r="U365">
        <f>H365*(1-N365%)</f>
        <v>38.630029999999998</v>
      </c>
      <c r="V365">
        <f>U365*I365</f>
        <v>3051.7723699999997</v>
      </c>
      <c r="W365" t="e">
        <f>#REF!-V365</f>
        <v>#REF!</v>
      </c>
      <c r="X365" t="e">
        <f t="shared" si="5"/>
        <v>#REF!</v>
      </c>
    </row>
    <row r="366" spans="1:24" x14ac:dyDescent="0.3">
      <c r="A366">
        <v>1365</v>
      </c>
      <c r="B366" s="2">
        <v>44561</v>
      </c>
      <c r="C366" t="s">
        <v>38</v>
      </c>
      <c r="D366" t="s">
        <v>46</v>
      </c>
      <c r="E366" t="s">
        <v>25</v>
      </c>
      <c r="F366" t="s">
        <v>26</v>
      </c>
      <c r="G366" t="s">
        <v>36</v>
      </c>
      <c r="H366">
        <v>36.479999999999997</v>
      </c>
      <c r="I366">
        <v>75</v>
      </c>
      <c r="J366" s="1">
        <f>(H366*I366)+O366</f>
        <v>2824.7199999999993</v>
      </c>
      <c r="K366" s="1">
        <f>(H366*I366)+O366-N366</f>
        <v>2823.0699999999993</v>
      </c>
      <c r="L366">
        <v>758.12</v>
      </c>
      <c r="M366" t="s">
        <v>37</v>
      </c>
      <c r="N366">
        <v>1.65</v>
      </c>
      <c r="O366">
        <v>88.72</v>
      </c>
      <c r="P366">
        <v>1</v>
      </c>
      <c r="Q366">
        <v>27</v>
      </c>
      <c r="R366">
        <v>2.89</v>
      </c>
      <c r="U366">
        <f>H366*(1-N366%)</f>
        <v>35.878079999999997</v>
      </c>
      <c r="V366">
        <f>U366*I366</f>
        <v>2690.8559999999998</v>
      </c>
      <c r="W366" t="e">
        <f>#REF!-V366</f>
        <v>#REF!</v>
      </c>
      <c r="X366" t="e">
        <f t="shared" si="5"/>
        <v>#REF!</v>
      </c>
    </row>
    <row r="367" spans="1:24" x14ac:dyDescent="0.3">
      <c r="A367">
        <v>1366</v>
      </c>
      <c r="B367" s="2">
        <v>44562</v>
      </c>
      <c r="C367" t="s">
        <v>33</v>
      </c>
      <c r="D367" t="s">
        <v>24</v>
      </c>
      <c r="E367" t="s">
        <v>42</v>
      </c>
      <c r="F367" t="s">
        <v>39</v>
      </c>
      <c r="G367" t="s">
        <v>47</v>
      </c>
      <c r="H367">
        <v>47.1</v>
      </c>
      <c r="I367">
        <v>16</v>
      </c>
      <c r="J367" s="1">
        <f>(H367*I367)+O367</f>
        <v>782.24</v>
      </c>
      <c r="K367" s="1">
        <f>(H367*I367)+O367-N367</f>
        <v>777.43000000000006</v>
      </c>
      <c r="L367">
        <v>582.20000000000005</v>
      </c>
      <c r="M367" t="s">
        <v>37</v>
      </c>
      <c r="N367">
        <v>4.8099999999999996</v>
      </c>
      <c r="O367">
        <v>28.64</v>
      </c>
      <c r="P367">
        <v>2</v>
      </c>
      <c r="Q367">
        <v>23</v>
      </c>
      <c r="R367">
        <v>1.1399999999999999</v>
      </c>
      <c r="U367">
        <f>H367*(1-N367%)</f>
        <v>44.834490000000002</v>
      </c>
      <c r="V367">
        <f>U367*I367</f>
        <v>717.35184000000004</v>
      </c>
      <c r="W367" t="e">
        <f>#REF!-V367</f>
        <v>#REF!</v>
      </c>
      <c r="X367" t="e">
        <f t="shared" si="5"/>
        <v>#REF!</v>
      </c>
    </row>
    <row r="368" spans="1:24" x14ac:dyDescent="0.3">
      <c r="A368">
        <v>1367</v>
      </c>
      <c r="B368" s="2">
        <v>44563</v>
      </c>
      <c r="C368" t="s">
        <v>48</v>
      </c>
      <c r="D368" t="s">
        <v>49</v>
      </c>
      <c r="E368" t="s">
        <v>31</v>
      </c>
      <c r="F368" t="s">
        <v>26</v>
      </c>
      <c r="G368" t="s">
        <v>40</v>
      </c>
      <c r="H368">
        <v>56.18</v>
      </c>
      <c r="I368">
        <v>82</v>
      </c>
      <c r="J368" s="1">
        <f>(H368*I368)+O368</f>
        <v>4615.2700000000004</v>
      </c>
      <c r="K368" s="1">
        <f>(H368*I368)+O368-N368</f>
        <v>4601.6900000000005</v>
      </c>
      <c r="L368">
        <v>366.76</v>
      </c>
      <c r="M368" t="s">
        <v>37</v>
      </c>
      <c r="N368">
        <v>13.58</v>
      </c>
      <c r="O368">
        <v>8.51</v>
      </c>
      <c r="P368">
        <v>1</v>
      </c>
      <c r="Q368">
        <v>29</v>
      </c>
      <c r="R368">
        <v>9.94</v>
      </c>
      <c r="U368">
        <f>H368*(1-N368%)</f>
        <v>48.550756</v>
      </c>
      <c r="V368">
        <f>U368*I368</f>
        <v>3981.1619919999998</v>
      </c>
      <c r="W368" t="e">
        <f>#REF!-V368</f>
        <v>#REF!</v>
      </c>
      <c r="X368" t="e">
        <f t="shared" si="5"/>
        <v>#REF!</v>
      </c>
    </row>
    <row r="369" spans="1:24" x14ac:dyDescent="0.3">
      <c r="A369">
        <v>1368</v>
      </c>
      <c r="B369" s="2">
        <v>44564</v>
      </c>
      <c r="C369" t="s">
        <v>51</v>
      </c>
      <c r="D369" t="s">
        <v>34</v>
      </c>
      <c r="E369" t="s">
        <v>42</v>
      </c>
      <c r="F369" t="s">
        <v>32</v>
      </c>
      <c r="G369" t="s">
        <v>40</v>
      </c>
      <c r="H369">
        <v>71.06</v>
      </c>
      <c r="I369">
        <v>62</v>
      </c>
      <c r="J369" s="1">
        <f>(H369*I369)+O369</f>
        <v>4441.8100000000004</v>
      </c>
      <c r="K369" s="1">
        <f>(H369*I369)+O369-N369</f>
        <v>4431.6400000000003</v>
      </c>
      <c r="L369">
        <v>390.57</v>
      </c>
      <c r="M369" t="s">
        <v>28</v>
      </c>
      <c r="N369">
        <v>10.17</v>
      </c>
      <c r="O369">
        <v>36.090000000000003</v>
      </c>
      <c r="P369">
        <v>3</v>
      </c>
      <c r="Q369">
        <v>12</v>
      </c>
      <c r="R369">
        <v>3.41</v>
      </c>
      <c r="U369">
        <f>H369*(1-N369%)</f>
        <v>63.833198000000003</v>
      </c>
      <c r="V369">
        <f>U369*I369</f>
        <v>3957.6582760000001</v>
      </c>
      <c r="W369" t="e">
        <f>#REF!-V369</f>
        <v>#REF!</v>
      </c>
      <c r="X369" t="e">
        <f t="shared" si="5"/>
        <v>#REF!</v>
      </c>
    </row>
    <row r="370" spans="1:24" x14ac:dyDescent="0.3">
      <c r="A370">
        <v>1369</v>
      </c>
      <c r="B370" s="2">
        <v>44565</v>
      </c>
      <c r="C370" t="s">
        <v>48</v>
      </c>
      <c r="D370" t="s">
        <v>49</v>
      </c>
      <c r="E370" t="s">
        <v>31</v>
      </c>
      <c r="F370" t="s">
        <v>39</v>
      </c>
      <c r="G370" t="s">
        <v>47</v>
      </c>
      <c r="H370">
        <v>36.909999999999997</v>
      </c>
      <c r="I370">
        <v>46</v>
      </c>
      <c r="J370" s="1">
        <f>(H370*I370)+O370</f>
        <v>1762.32</v>
      </c>
      <c r="K370" s="1">
        <f>(H370*I370)+O370-N370</f>
        <v>1753</v>
      </c>
      <c r="L370">
        <v>113.45</v>
      </c>
      <c r="M370" t="s">
        <v>28</v>
      </c>
      <c r="N370">
        <v>9.32</v>
      </c>
      <c r="O370">
        <v>64.459999999999994</v>
      </c>
      <c r="P370">
        <v>1</v>
      </c>
      <c r="Q370">
        <v>28</v>
      </c>
      <c r="R370">
        <v>1.81</v>
      </c>
      <c r="U370">
        <f>H370*(1-N370%)</f>
        <v>33.469988000000001</v>
      </c>
      <c r="V370">
        <f>U370*I370</f>
        <v>1539.6194479999999</v>
      </c>
      <c r="W370" t="e">
        <f>#REF!-V370</f>
        <v>#REF!</v>
      </c>
      <c r="X370" t="e">
        <f t="shared" si="5"/>
        <v>#REF!</v>
      </c>
    </row>
    <row r="371" spans="1:24" x14ac:dyDescent="0.3">
      <c r="A371">
        <v>1370</v>
      </c>
      <c r="B371" s="2">
        <v>44566</v>
      </c>
      <c r="C371" t="s">
        <v>52</v>
      </c>
      <c r="D371" t="s">
        <v>24</v>
      </c>
      <c r="E371" t="s">
        <v>35</v>
      </c>
      <c r="F371" t="s">
        <v>26</v>
      </c>
      <c r="G371" t="s">
        <v>47</v>
      </c>
      <c r="H371">
        <v>63.35</v>
      </c>
      <c r="I371">
        <v>50</v>
      </c>
      <c r="J371" s="1">
        <f>(H371*I371)+O371</f>
        <v>3176.38</v>
      </c>
      <c r="K371" s="1">
        <f>(H371*I371)+O371-N371</f>
        <v>3171.55</v>
      </c>
      <c r="L371">
        <v>123.17</v>
      </c>
      <c r="M371" t="s">
        <v>28</v>
      </c>
      <c r="N371">
        <v>4.83</v>
      </c>
      <c r="O371">
        <v>8.8800000000000008</v>
      </c>
      <c r="P371">
        <v>3</v>
      </c>
      <c r="Q371">
        <v>11</v>
      </c>
      <c r="R371">
        <v>7.21</v>
      </c>
      <c r="U371">
        <f>H371*(1-N371%)</f>
        <v>60.290195000000004</v>
      </c>
      <c r="V371">
        <f>U371*I371</f>
        <v>3014.5097500000002</v>
      </c>
      <c r="W371" t="e">
        <f>#REF!-V371</f>
        <v>#REF!</v>
      </c>
      <c r="X371" t="e">
        <f t="shared" si="5"/>
        <v>#REF!</v>
      </c>
    </row>
    <row r="372" spans="1:24" x14ac:dyDescent="0.3">
      <c r="A372">
        <v>1371</v>
      </c>
      <c r="B372" s="2">
        <v>44567</v>
      </c>
      <c r="C372" t="s">
        <v>56</v>
      </c>
      <c r="D372" t="s">
        <v>55</v>
      </c>
      <c r="E372" t="s">
        <v>35</v>
      </c>
      <c r="F372" t="s">
        <v>39</v>
      </c>
      <c r="G372" t="s">
        <v>36</v>
      </c>
      <c r="H372">
        <v>51.84</v>
      </c>
      <c r="I372">
        <v>97</v>
      </c>
      <c r="J372" s="1">
        <f>(H372*I372)+O372</f>
        <v>5056.22</v>
      </c>
      <c r="K372" s="1">
        <f>(H372*I372)+O372-N372</f>
        <v>5051.34</v>
      </c>
      <c r="L372">
        <v>1035.68</v>
      </c>
      <c r="M372" t="s">
        <v>44</v>
      </c>
      <c r="N372">
        <v>4.88</v>
      </c>
      <c r="O372">
        <v>27.74</v>
      </c>
      <c r="P372">
        <v>3</v>
      </c>
      <c r="Q372">
        <v>15</v>
      </c>
      <c r="R372">
        <v>9.99</v>
      </c>
      <c r="U372">
        <f>H372*(1-N372%)</f>
        <v>49.310208000000003</v>
      </c>
      <c r="V372">
        <f>U372*I372</f>
        <v>4783.0901760000006</v>
      </c>
      <c r="W372" t="e">
        <f>#REF!-V372</f>
        <v>#REF!</v>
      </c>
      <c r="X372" t="e">
        <f t="shared" si="5"/>
        <v>#REF!</v>
      </c>
    </row>
    <row r="373" spans="1:24" x14ac:dyDescent="0.3">
      <c r="A373">
        <v>1372</v>
      </c>
      <c r="B373" s="2">
        <v>44568</v>
      </c>
      <c r="C373" t="s">
        <v>38</v>
      </c>
      <c r="D373" t="s">
        <v>54</v>
      </c>
      <c r="E373" t="s">
        <v>31</v>
      </c>
      <c r="F373" t="s">
        <v>26</v>
      </c>
      <c r="G373" t="s">
        <v>47</v>
      </c>
      <c r="H373">
        <v>40.32</v>
      </c>
      <c r="I373">
        <v>46</v>
      </c>
      <c r="J373" s="1">
        <f>(H373*I373)+O373</f>
        <v>1935.32</v>
      </c>
      <c r="K373" s="1">
        <f>(H373*I373)+O373-N373</f>
        <v>1924.37</v>
      </c>
      <c r="L373">
        <v>426.73</v>
      </c>
      <c r="M373" t="s">
        <v>37</v>
      </c>
      <c r="N373">
        <v>10.95</v>
      </c>
      <c r="O373">
        <v>80.599999999999994</v>
      </c>
      <c r="P373">
        <v>4</v>
      </c>
      <c r="Q373">
        <v>30</v>
      </c>
      <c r="R373">
        <v>1.31</v>
      </c>
      <c r="U373">
        <f>H373*(1-N373%)</f>
        <v>35.904960000000003</v>
      </c>
      <c r="V373">
        <f>U373*I373</f>
        <v>1651.6281600000002</v>
      </c>
      <c r="W373" t="e">
        <f>#REF!-V373</f>
        <v>#REF!</v>
      </c>
      <c r="X373" t="e">
        <f t="shared" si="5"/>
        <v>#REF!</v>
      </c>
    </row>
    <row r="374" spans="1:24" x14ac:dyDescent="0.3">
      <c r="A374">
        <v>1373</v>
      </c>
      <c r="B374" s="2">
        <v>44569</v>
      </c>
      <c r="C374" t="s">
        <v>56</v>
      </c>
      <c r="D374" t="s">
        <v>30</v>
      </c>
      <c r="E374" t="s">
        <v>25</v>
      </c>
      <c r="F374" t="s">
        <v>39</v>
      </c>
      <c r="G374" t="s">
        <v>53</v>
      </c>
      <c r="H374">
        <v>55.45</v>
      </c>
      <c r="I374">
        <v>69</v>
      </c>
      <c r="J374" s="1">
        <f>(H374*I374)+O374</f>
        <v>3896.8500000000004</v>
      </c>
      <c r="K374" s="1">
        <f>(H374*I374)+O374-N374</f>
        <v>3887.7000000000003</v>
      </c>
      <c r="L374">
        <v>997.65</v>
      </c>
      <c r="M374" t="s">
        <v>37</v>
      </c>
      <c r="N374">
        <v>9.15</v>
      </c>
      <c r="O374">
        <v>70.8</v>
      </c>
      <c r="P374">
        <v>2</v>
      </c>
      <c r="Q374">
        <v>26</v>
      </c>
      <c r="R374">
        <v>9.25</v>
      </c>
      <c r="U374">
        <f>H374*(1-N374%)</f>
        <v>50.376325000000001</v>
      </c>
      <c r="V374">
        <f>U374*I374</f>
        <v>3475.9664250000001</v>
      </c>
      <c r="W374" t="e">
        <f>#REF!-V374</f>
        <v>#REF!</v>
      </c>
      <c r="X374" t="e">
        <f t="shared" si="5"/>
        <v>#REF!</v>
      </c>
    </row>
    <row r="375" spans="1:24" x14ac:dyDescent="0.3">
      <c r="A375">
        <v>1374</v>
      </c>
      <c r="B375" s="2">
        <v>44570</v>
      </c>
      <c r="C375" t="s">
        <v>52</v>
      </c>
      <c r="D375" t="s">
        <v>49</v>
      </c>
      <c r="E375" t="s">
        <v>42</v>
      </c>
      <c r="F375" t="s">
        <v>26</v>
      </c>
      <c r="G375" t="s">
        <v>27</v>
      </c>
      <c r="H375">
        <v>50.44</v>
      </c>
      <c r="I375">
        <v>43</v>
      </c>
      <c r="J375" s="1">
        <f>(H375*I375)+O375</f>
        <v>2248.7400000000002</v>
      </c>
      <c r="K375" s="1">
        <f>(H375*I375)+O375-N375</f>
        <v>2228.9300000000003</v>
      </c>
      <c r="L375">
        <v>1128.05</v>
      </c>
      <c r="M375" t="s">
        <v>37</v>
      </c>
      <c r="N375">
        <v>19.809999999999999</v>
      </c>
      <c r="O375">
        <v>79.819999999999993</v>
      </c>
      <c r="P375">
        <v>4</v>
      </c>
      <c r="Q375">
        <v>13</v>
      </c>
      <c r="R375">
        <v>8.5500000000000007</v>
      </c>
      <c r="U375">
        <f>H375*(1-N375%)</f>
        <v>40.447836000000002</v>
      </c>
      <c r="V375">
        <f>U375*I375</f>
        <v>1739.2569480000002</v>
      </c>
      <c r="W375" t="e">
        <f>#REF!-V375</f>
        <v>#REF!</v>
      </c>
      <c r="X375" t="e">
        <f t="shared" si="5"/>
        <v>#REF!</v>
      </c>
    </row>
    <row r="376" spans="1:24" x14ac:dyDescent="0.3">
      <c r="A376">
        <v>1375</v>
      </c>
      <c r="B376" s="2">
        <v>44571</v>
      </c>
      <c r="C376" t="s">
        <v>41</v>
      </c>
      <c r="D376" t="s">
        <v>24</v>
      </c>
      <c r="E376" t="s">
        <v>42</v>
      </c>
      <c r="F376" t="s">
        <v>32</v>
      </c>
      <c r="G376" t="s">
        <v>47</v>
      </c>
      <c r="H376">
        <v>50.97</v>
      </c>
      <c r="I376">
        <v>14</v>
      </c>
      <c r="J376" s="1">
        <f>(H376*I376)+O376</f>
        <v>789.3599999999999</v>
      </c>
      <c r="K376" s="1">
        <f>(H376*I376)+O376-N376</f>
        <v>776.26999999999987</v>
      </c>
      <c r="L376">
        <v>478.57</v>
      </c>
      <c r="M376" t="s">
        <v>44</v>
      </c>
      <c r="N376">
        <v>13.09</v>
      </c>
      <c r="O376">
        <v>75.78</v>
      </c>
      <c r="P376">
        <v>1</v>
      </c>
      <c r="Q376">
        <v>8</v>
      </c>
      <c r="R376">
        <v>4.93</v>
      </c>
      <c r="U376">
        <f>H376*(1-N376%)</f>
        <v>44.298026999999998</v>
      </c>
      <c r="V376">
        <f>U376*I376</f>
        <v>620.17237799999998</v>
      </c>
      <c r="W376" t="e">
        <f>#REF!-V376</f>
        <v>#REF!</v>
      </c>
      <c r="X376" t="e">
        <f t="shared" si="5"/>
        <v>#REF!</v>
      </c>
    </row>
    <row r="377" spans="1:24" x14ac:dyDescent="0.3">
      <c r="A377">
        <v>1376</v>
      </c>
      <c r="B377" s="2">
        <v>44572</v>
      </c>
      <c r="C377" t="s">
        <v>51</v>
      </c>
      <c r="D377" t="s">
        <v>30</v>
      </c>
      <c r="E377" t="s">
        <v>42</v>
      </c>
      <c r="F377" t="s">
        <v>39</v>
      </c>
      <c r="G377" t="s">
        <v>45</v>
      </c>
      <c r="H377">
        <v>54.22</v>
      </c>
      <c r="I377">
        <v>37</v>
      </c>
      <c r="J377" s="1">
        <f>(H377*I377)+O377</f>
        <v>2064.7199999999998</v>
      </c>
      <c r="K377" s="1">
        <f>(H377*I377)+O377-N377</f>
        <v>2064.27</v>
      </c>
      <c r="L377">
        <v>1144.42</v>
      </c>
      <c r="M377" t="s">
        <v>28</v>
      </c>
      <c r="N377">
        <v>0.45</v>
      </c>
      <c r="O377">
        <v>58.58</v>
      </c>
      <c r="P377">
        <v>5</v>
      </c>
      <c r="Q377">
        <v>18</v>
      </c>
      <c r="R377">
        <v>9.81</v>
      </c>
      <c r="U377">
        <f>H377*(1-N377%)</f>
        <v>53.976010000000002</v>
      </c>
      <c r="V377">
        <f>U377*I377</f>
        <v>1997.1123700000001</v>
      </c>
      <c r="W377" t="e">
        <f>#REF!-V377</f>
        <v>#REF!</v>
      </c>
      <c r="X377" t="e">
        <f t="shared" si="5"/>
        <v>#REF!</v>
      </c>
    </row>
    <row r="378" spans="1:24" x14ac:dyDescent="0.3">
      <c r="A378">
        <v>1377</v>
      </c>
      <c r="B378" s="2">
        <v>44573</v>
      </c>
      <c r="C378" t="s">
        <v>29</v>
      </c>
      <c r="D378" t="s">
        <v>34</v>
      </c>
      <c r="E378" t="s">
        <v>42</v>
      </c>
      <c r="F378" t="s">
        <v>39</v>
      </c>
      <c r="G378" t="s">
        <v>45</v>
      </c>
      <c r="H378">
        <v>78.849999999999994</v>
      </c>
      <c r="I378">
        <v>48</v>
      </c>
      <c r="J378" s="1">
        <f>(H378*I378)+O378</f>
        <v>3843.87</v>
      </c>
      <c r="K378" s="1">
        <f>(H378*I378)+O378-N378</f>
        <v>3834.3399999999997</v>
      </c>
      <c r="L378">
        <v>1141.55</v>
      </c>
      <c r="M378" t="s">
        <v>37</v>
      </c>
      <c r="N378">
        <v>9.5299999999999994</v>
      </c>
      <c r="O378">
        <v>59.07</v>
      </c>
      <c r="P378">
        <v>1</v>
      </c>
      <c r="Q378">
        <v>18</v>
      </c>
      <c r="R378">
        <v>5.63</v>
      </c>
      <c r="U378">
        <f>H378*(1-N378%)</f>
        <v>71.335594999999998</v>
      </c>
      <c r="V378">
        <f>U378*I378</f>
        <v>3424.1085599999997</v>
      </c>
      <c r="W378" t="e">
        <f>#REF!-V378</f>
        <v>#REF!</v>
      </c>
      <c r="X378" t="e">
        <f t="shared" si="5"/>
        <v>#REF!</v>
      </c>
    </row>
    <row r="379" spans="1:24" x14ac:dyDescent="0.3">
      <c r="A379">
        <v>1378</v>
      </c>
      <c r="B379" s="2">
        <v>44574</v>
      </c>
      <c r="C379" t="s">
        <v>23</v>
      </c>
      <c r="D379" t="s">
        <v>49</v>
      </c>
      <c r="E379" t="s">
        <v>42</v>
      </c>
      <c r="F379" t="s">
        <v>26</v>
      </c>
      <c r="G379" t="s">
        <v>36</v>
      </c>
      <c r="H379">
        <v>51.75</v>
      </c>
      <c r="I379">
        <v>45</v>
      </c>
      <c r="J379" s="1">
        <f>(H379*I379)+O379</f>
        <v>2340.91</v>
      </c>
      <c r="K379" s="1">
        <f>(H379*I379)+O379-N379</f>
        <v>2339.4299999999998</v>
      </c>
      <c r="L379">
        <v>1274.76</v>
      </c>
      <c r="M379" t="s">
        <v>37</v>
      </c>
      <c r="N379">
        <v>1.48</v>
      </c>
      <c r="O379">
        <v>12.16</v>
      </c>
      <c r="P379">
        <v>1</v>
      </c>
      <c r="Q379">
        <v>22</v>
      </c>
      <c r="R379">
        <v>5.47</v>
      </c>
      <c r="U379">
        <f>H379*(1-N379%)</f>
        <v>50.984099999999998</v>
      </c>
      <c r="V379">
        <f>U379*I379</f>
        <v>2294.2844999999998</v>
      </c>
      <c r="W379" t="e">
        <f>#REF!-V379</f>
        <v>#REF!</v>
      </c>
      <c r="X379" t="e">
        <f t="shared" si="5"/>
        <v>#REF!</v>
      </c>
    </row>
    <row r="380" spans="1:24" x14ac:dyDescent="0.3">
      <c r="A380">
        <v>1379</v>
      </c>
      <c r="B380" s="2">
        <v>44575</v>
      </c>
      <c r="C380" t="s">
        <v>41</v>
      </c>
      <c r="D380" t="s">
        <v>55</v>
      </c>
      <c r="E380" t="s">
        <v>35</v>
      </c>
      <c r="F380" t="s">
        <v>39</v>
      </c>
      <c r="G380" t="s">
        <v>27</v>
      </c>
      <c r="H380">
        <v>55.35</v>
      </c>
      <c r="I380">
        <v>91</v>
      </c>
      <c r="J380" s="1">
        <f>(H380*I380)+O380</f>
        <v>5134.63</v>
      </c>
      <c r="K380" s="1">
        <f>(H380*I380)+O380-N380</f>
        <v>5125.01</v>
      </c>
      <c r="L380">
        <v>908.13</v>
      </c>
      <c r="M380" t="s">
        <v>37</v>
      </c>
      <c r="N380">
        <v>9.6199999999999992</v>
      </c>
      <c r="O380">
        <v>97.78</v>
      </c>
      <c r="P380">
        <v>5</v>
      </c>
      <c r="Q380">
        <v>27</v>
      </c>
      <c r="R380">
        <v>2.11</v>
      </c>
      <c r="U380">
        <f>H380*(1-N380%)</f>
        <v>50.025330000000004</v>
      </c>
      <c r="V380">
        <f>U380*I380</f>
        <v>4552.3050300000004</v>
      </c>
      <c r="W380" t="e">
        <f>#REF!-V380</f>
        <v>#REF!</v>
      </c>
      <c r="X380" t="e">
        <f t="shared" si="5"/>
        <v>#REF!</v>
      </c>
    </row>
    <row r="381" spans="1:24" x14ac:dyDescent="0.3">
      <c r="A381">
        <v>1380</v>
      </c>
      <c r="B381" s="2">
        <v>44576</v>
      </c>
      <c r="C381" t="s">
        <v>33</v>
      </c>
      <c r="D381" t="s">
        <v>46</v>
      </c>
      <c r="E381" t="s">
        <v>25</v>
      </c>
      <c r="F381" t="s">
        <v>39</v>
      </c>
      <c r="G381" t="s">
        <v>43</v>
      </c>
      <c r="H381">
        <v>36.58</v>
      </c>
      <c r="I381">
        <v>74</v>
      </c>
      <c r="J381" s="1">
        <f>(H381*I381)+O381</f>
        <v>2782.12</v>
      </c>
      <c r="K381" s="1">
        <f>(H381*I381)+O381-N381</f>
        <v>2775.63</v>
      </c>
      <c r="L381">
        <v>98.71</v>
      </c>
      <c r="M381" t="s">
        <v>44</v>
      </c>
      <c r="N381">
        <v>6.49</v>
      </c>
      <c r="O381">
        <v>75.2</v>
      </c>
      <c r="P381">
        <v>4</v>
      </c>
      <c r="Q381">
        <v>11</v>
      </c>
      <c r="R381">
        <v>9.34</v>
      </c>
      <c r="U381">
        <f>H381*(1-N381%)</f>
        <v>34.205958000000003</v>
      </c>
      <c r="V381">
        <f>U381*I381</f>
        <v>2531.2408920000003</v>
      </c>
      <c r="W381" t="e">
        <f>#REF!-V381</f>
        <v>#REF!</v>
      </c>
      <c r="X381" t="e">
        <f t="shared" si="5"/>
        <v>#REF!</v>
      </c>
    </row>
    <row r="382" spans="1:24" x14ac:dyDescent="0.3">
      <c r="A382">
        <v>1381</v>
      </c>
      <c r="B382" s="2">
        <v>44577</v>
      </c>
      <c r="C382" t="s">
        <v>51</v>
      </c>
      <c r="D382" t="s">
        <v>58</v>
      </c>
      <c r="E382" t="s">
        <v>35</v>
      </c>
      <c r="F382" t="s">
        <v>39</v>
      </c>
      <c r="G382" t="s">
        <v>47</v>
      </c>
      <c r="H382">
        <v>79.819999999999993</v>
      </c>
      <c r="I382">
        <v>98</v>
      </c>
      <c r="J382" s="1">
        <f>(H382*I382)+O382</f>
        <v>7918.57</v>
      </c>
      <c r="K382" s="1">
        <f>(H382*I382)+O382-N382</f>
        <v>7909.21</v>
      </c>
      <c r="L382">
        <v>102.41</v>
      </c>
      <c r="M382" t="s">
        <v>44</v>
      </c>
      <c r="N382">
        <v>9.36</v>
      </c>
      <c r="O382">
        <v>96.21</v>
      </c>
      <c r="P382">
        <v>1</v>
      </c>
      <c r="Q382">
        <v>14</v>
      </c>
      <c r="R382">
        <v>5.35</v>
      </c>
      <c r="U382">
        <f>H382*(1-N382%)</f>
        <v>72.34884799999999</v>
      </c>
      <c r="V382">
        <f>U382*I382</f>
        <v>7090.1871039999987</v>
      </c>
      <c r="W382" t="e">
        <f>#REF!-V382</f>
        <v>#REF!</v>
      </c>
      <c r="X382" t="e">
        <f t="shared" si="5"/>
        <v>#REF!</v>
      </c>
    </row>
    <row r="383" spans="1:24" x14ac:dyDescent="0.3">
      <c r="A383">
        <v>1382</v>
      </c>
      <c r="B383" s="2">
        <v>44578</v>
      </c>
      <c r="C383" t="s">
        <v>51</v>
      </c>
      <c r="D383" t="s">
        <v>55</v>
      </c>
      <c r="E383" t="s">
        <v>25</v>
      </c>
      <c r="F383" t="s">
        <v>26</v>
      </c>
      <c r="G383" t="s">
        <v>27</v>
      </c>
      <c r="H383">
        <v>37.369999999999997</v>
      </c>
      <c r="I383">
        <v>74</v>
      </c>
      <c r="J383" s="1">
        <f>(H383*I383)+O383</f>
        <v>2804.0799999999995</v>
      </c>
      <c r="K383" s="1">
        <f>(H383*I383)+O383-N383</f>
        <v>2794.2299999999996</v>
      </c>
      <c r="L383">
        <v>1055.47</v>
      </c>
      <c r="M383" t="s">
        <v>44</v>
      </c>
      <c r="N383">
        <v>9.85</v>
      </c>
      <c r="O383">
        <v>38.700000000000003</v>
      </c>
      <c r="P383">
        <v>4</v>
      </c>
      <c r="Q383">
        <v>14</v>
      </c>
      <c r="R383">
        <v>0.59</v>
      </c>
      <c r="U383">
        <f>H383*(1-N383%)</f>
        <v>33.689054999999996</v>
      </c>
      <c r="V383">
        <f>U383*I383</f>
        <v>2492.9900699999998</v>
      </c>
      <c r="W383" t="e">
        <f>#REF!-V383</f>
        <v>#REF!</v>
      </c>
      <c r="X383" t="e">
        <f t="shared" si="5"/>
        <v>#REF!</v>
      </c>
    </row>
    <row r="384" spans="1:24" x14ac:dyDescent="0.3">
      <c r="A384">
        <v>1383</v>
      </c>
      <c r="B384" s="2">
        <v>44579</v>
      </c>
      <c r="C384" t="s">
        <v>23</v>
      </c>
      <c r="D384" t="s">
        <v>34</v>
      </c>
      <c r="E384" t="s">
        <v>25</v>
      </c>
      <c r="F384" t="s">
        <v>26</v>
      </c>
      <c r="G384" t="s">
        <v>36</v>
      </c>
      <c r="H384">
        <v>54.41</v>
      </c>
      <c r="I384">
        <v>17</v>
      </c>
      <c r="J384" s="1">
        <f>(H384*I384)+O384</f>
        <v>988.49999999999989</v>
      </c>
      <c r="K384" s="1">
        <f>(H384*I384)+O384-N384</f>
        <v>976.53999999999985</v>
      </c>
      <c r="L384">
        <v>484.86</v>
      </c>
      <c r="M384" t="s">
        <v>44</v>
      </c>
      <c r="N384">
        <v>11.96</v>
      </c>
      <c r="O384">
        <v>63.53</v>
      </c>
      <c r="P384">
        <v>3</v>
      </c>
      <c r="Q384">
        <v>30</v>
      </c>
      <c r="R384">
        <v>4.92</v>
      </c>
      <c r="U384">
        <f>H384*(1-N384%)</f>
        <v>47.902563999999998</v>
      </c>
      <c r="V384">
        <f>U384*I384</f>
        <v>814.34358799999995</v>
      </c>
      <c r="W384" t="e">
        <f>#REF!-V384</f>
        <v>#REF!</v>
      </c>
      <c r="X384" t="e">
        <f t="shared" si="5"/>
        <v>#REF!</v>
      </c>
    </row>
    <row r="385" spans="1:24" x14ac:dyDescent="0.3">
      <c r="A385">
        <v>1384</v>
      </c>
      <c r="B385" s="2">
        <v>44580</v>
      </c>
      <c r="C385" t="s">
        <v>57</v>
      </c>
      <c r="D385" t="s">
        <v>54</v>
      </c>
      <c r="E385" t="s">
        <v>35</v>
      </c>
      <c r="F385" t="s">
        <v>39</v>
      </c>
      <c r="G385" t="s">
        <v>40</v>
      </c>
      <c r="H385">
        <v>27.73</v>
      </c>
      <c r="I385">
        <v>62</v>
      </c>
      <c r="J385" s="1">
        <f>(H385*I385)+O385</f>
        <v>1758.27</v>
      </c>
      <c r="K385" s="1">
        <f>(H385*I385)+O385-N385</f>
        <v>1751.46</v>
      </c>
      <c r="L385">
        <v>849.08</v>
      </c>
      <c r="M385" t="s">
        <v>37</v>
      </c>
      <c r="N385">
        <v>6.81</v>
      </c>
      <c r="O385">
        <v>39.01</v>
      </c>
      <c r="P385">
        <v>5</v>
      </c>
      <c r="Q385">
        <v>7</v>
      </c>
      <c r="R385">
        <v>1.88</v>
      </c>
      <c r="U385">
        <f>H385*(1-N385%)</f>
        <v>25.841587000000001</v>
      </c>
      <c r="V385">
        <f>U385*I385</f>
        <v>1602.178394</v>
      </c>
      <c r="W385" t="e">
        <f>#REF!-V385</f>
        <v>#REF!</v>
      </c>
      <c r="X385" t="e">
        <f t="shared" si="5"/>
        <v>#REF!</v>
      </c>
    </row>
    <row r="386" spans="1:24" x14ac:dyDescent="0.3">
      <c r="A386">
        <v>1385</v>
      </c>
      <c r="B386" s="2">
        <v>44581</v>
      </c>
      <c r="C386" t="s">
        <v>48</v>
      </c>
      <c r="D386" t="s">
        <v>24</v>
      </c>
      <c r="E386" t="s">
        <v>31</v>
      </c>
      <c r="F386" t="s">
        <v>32</v>
      </c>
      <c r="G386" t="s">
        <v>36</v>
      </c>
      <c r="H386">
        <v>15.37</v>
      </c>
      <c r="I386">
        <v>76</v>
      </c>
      <c r="J386" s="1">
        <f>(H386*I386)+O386</f>
        <v>1255.8899999999999</v>
      </c>
      <c r="K386" s="1">
        <f>(H386*I386)+O386-N386</f>
        <v>1249.9599999999998</v>
      </c>
      <c r="L386">
        <v>582.19000000000005</v>
      </c>
      <c r="M386" t="s">
        <v>37</v>
      </c>
      <c r="N386">
        <v>5.93</v>
      </c>
      <c r="O386">
        <v>87.77</v>
      </c>
      <c r="P386">
        <v>2</v>
      </c>
      <c r="Q386">
        <v>26</v>
      </c>
      <c r="R386">
        <v>2.42</v>
      </c>
      <c r="U386">
        <f>H386*(1-N386%)</f>
        <v>14.458558999999999</v>
      </c>
      <c r="V386">
        <f>U386*I386</f>
        <v>1098.8504840000001</v>
      </c>
      <c r="W386" t="e">
        <f>#REF!-V386</f>
        <v>#REF!</v>
      </c>
      <c r="X386" t="e">
        <f t="shared" si="5"/>
        <v>#REF!</v>
      </c>
    </row>
    <row r="387" spans="1:24" x14ac:dyDescent="0.3">
      <c r="A387">
        <v>1386</v>
      </c>
      <c r="B387" s="2">
        <v>44582</v>
      </c>
      <c r="C387" t="s">
        <v>23</v>
      </c>
      <c r="D387" t="s">
        <v>49</v>
      </c>
      <c r="E387" t="s">
        <v>35</v>
      </c>
      <c r="F387" t="s">
        <v>26</v>
      </c>
      <c r="G387" t="s">
        <v>36</v>
      </c>
      <c r="H387">
        <v>56.2</v>
      </c>
      <c r="I387">
        <v>48</v>
      </c>
      <c r="J387" s="1">
        <f>(H387*I387)+O387</f>
        <v>2782.3800000000006</v>
      </c>
      <c r="K387" s="1">
        <f>(H387*I387)+O387-N387</f>
        <v>2771.1300000000006</v>
      </c>
      <c r="L387">
        <v>800.39</v>
      </c>
      <c r="M387" t="s">
        <v>37</v>
      </c>
      <c r="N387">
        <v>11.25</v>
      </c>
      <c r="O387">
        <v>84.78</v>
      </c>
      <c r="P387">
        <v>4</v>
      </c>
      <c r="Q387">
        <v>1</v>
      </c>
      <c r="R387">
        <v>1.6</v>
      </c>
      <c r="U387">
        <f>H387*(1-N387%)</f>
        <v>49.877499999999998</v>
      </c>
      <c r="V387">
        <f>U387*I387</f>
        <v>2394.12</v>
      </c>
      <c r="W387" t="e">
        <f>#REF!-V387</f>
        <v>#REF!</v>
      </c>
      <c r="X387" t="e">
        <f t="shared" ref="X387:X450" si="6">(L387/W387)*100</f>
        <v>#REF!</v>
      </c>
    </row>
    <row r="388" spans="1:24" x14ac:dyDescent="0.3">
      <c r="A388">
        <v>1387</v>
      </c>
      <c r="B388" s="2">
        <v>44583</v>
      </c>
      <c r="C388" t="s">
        <v>41</v>
      </c>
      <c r="D388" t="s">
        <v>54</v>
      </c>
      <c r="E388" t="s">
        <v>31</v>
      </c>
      <c r="F388" t="s">
        <v>39</v>
      </c>
      <c r="G388" t="s">
        <v>27</v>
      </c>
      <c r="H388">
        <v>8.82</v>
      </c>
      <c r="I388">
        <v>95</v>
      </c>
      <c r="J388" s="1">
        <f>(H388*I388)+O388</f>
        <v>886.39</v>
      </c>
      <c r="K388" s="1">
        <f>(H388*I388)+O388-N388</f>
        <v>870.12</v>
      </c>
      <c r="L388">
        <v>878.38</v>
      </c>
      <c r="M388" t="s">
        <v>37</v>
      </c>
      <c r="N388">
        <v>16.27</v>
      </c>
      <c r="O388">
        <v>48.49</v>
      </c>
      <c r="P388">
        <v>5</v>
      </c>
      <c r="Q388">
        <v>12</v>
      </c>
      <c r="R388">
        <v>6.25</v>
      </c>
      <c r="U388">
        <f>H388*(1-N388%)</f>
        <v>7.3849860000000005</v>
      </c>
      <c r="V388">
        <f>U388*I388</f>
        <v>701.57366999999999</v>
      </c>
      <c r="W388" t="e">
        <f>#REF!-V388</f>
        <v>#REF!</v>
      </c>
      <c r="X388" t="e">
        <f t="shared" si="6"/>
        <v>#REF!</v>
      </c>
    </row>
    <row r="389" spans="1:24" x14ac:dyDescent="0.3">
      <c r="A389">
        <v>1388</v>
      </c>
      <c r="B389" s="2">
        <v>44584</v>
      </c>
      <c r="C389" t="s">
        <v>56</v>
      </c>
      <c r="D389" t="s">
        <v>55</v>
      </c>
      <c r="E389" t="s">
        <v>42</v>
      </c>
      <c r="F389" t="s">
        <v>32</v>
      </c>
      <c r="G389" t="s">
        <v>40</v>
      </c>
      <c r="H389">
        <v>27.45</v>
      </c>
      <c r="I389">
        <v>97</v>
      </c>
      <c r="J389" s="1">
        <f>(H389*I389)+O389</f>
        <v>2735.98</v>
      </c>
      <c r="K389" s="1">
        <f>(H389*I389)+O389-N389</f>
        <v>2720.79</v>
      </c>
      <c r="L389">
        <v>515.57000000000005</v>
      </c>
      <c r="M389" t="s">
        <v>37</v>
      </c>
      <c r="N389">
        <v>15.19</v>
      </c>
      <c r="O389">
        <v>73.33</v>
      </c>
      <c r="P389">
        <v>3</v>
      </c>
      <c r="Q389">
        <v>29</v>
      </c>
      <c r="R389">
        <v>3.38</v>
      </c>
      <c r="U389">
        <f>H389*(1-N389%)</f>
        <v>23.280344999999997</v>
      </c>
      <c r="V389">
        <f>U389*I389</f>
        <v>2258.1934649999998</v>
      </c>
      <c r="W389" t="e">
        <f>#REF!-V389</f>
        <v>#REF!</v>
      </c>
      <c r="X389" t="e">
        <f t="shared" si="6"/>
        <v>#REF!</v>
      </c>
    </row>
    <row r="390" spans="1:24" x14ac:dyDescent="0.3">
      <c r="A390">
        <v>1389</v>
      </c>
      <c r="B390" s="2">
        <v>44585</v>
      </c>
      <c r="C390" t="s">
        <v>29</v>
      </c>
      <c r="D390" t="s">
        <v>34</v>
      </c>
      <c r="E390" t="s">
        <v>42</v>
      </c>
      <c r="F390" t="s">
        <v>32</v>
      </c>
      <c r="G390" t="s">
        <v>53</v>
      </c>
      <c r="H390">
        <v>32.97</v>
      </c>
      <c r="I390">
        <v>55</v>
      </c>
      <c r="J390" s="1">
        <f>(H390*I390)+O390</f>
        <v>1912.12</v>
      </c>
      <c r="K390" s="1">
        <f>(H390*I390)+O390-N390</f>
        <v>1896.25</v>
      </c>
      <c r="L390">
        <v>1209.67</v>
      </c>
      <c r="M390" t="s">
        <v>28</v>
      </c>
      <c r="N390">
        <v>15.87</v>
      </c>
      <c r="O390">
        <v>98.77</v>
      </c>
      <c r="P390">
        <v>3</v>
      </c>
      <c r="Q390">
        <v>26</v>
      </c>
      <c r="R390">
        <v>8.19</v>
      </c>
      <c r="U390">
        <f>H390*(1-N390%)</f>
        <v>27.737660999999999</v>
      </c>
      <c r="V390">
        <f>U390*I390</f>
        <v>1525.571355</v>
      </c>
      <c r="W390" t="e">
        <f>#REF!-V390</f>
        <v>#REF!</v>
      </c>
      <c r="X390" t="e">
        <f t="shared" si="6"/>
        <v>#REF!</v>
      </c>
    </row>
    <row r="391" spans="1:24" x14ac:dyDescent="0.3">
      <c r="A391">
        <v>1390</v>
      </c>
      <c r="B391" s="2">
        <v>44586</v>
      </c>
      <c r="C391" t="s">
        <v>52</v>
      </c>
      <c r="D391" t="s">
        <v>46</v>
      </c>
      <c r="E391" t="s">
        <v>42</v>
      </c>
      <c r="F391" t="s">
        <v>32</v>
      </c>
      <c r="G391" t="s">
        <v>27</v>
      </c>
      <c r="H391">
        <v>24.59</v>
      </c>
      <c r="I391">
        <v>70</v>
      </c>
      <c r="J391" s="1">
        <f>(H391*I391)+O391</f>
        <v>1765.6599999999999</v>
      </c>
      <c r="K391" s="1">
        <f>(H391*I391)+O391-N391</f>
        <v>1749.4899999999998</v>
      </c>
      <c r="L391">
        <v>1474.26</v>
      </c>
      <c r="M391" t="s">
        <v>44</v>
      </c>
      <c r="N391">
        <v>16.170000000000002</v>
      </c>
      <c r="O391">
        <v>44.36</v>
      </c>
      <c r="P391">
        <v>3</v>
      </c>
      <c r="Q391">
        <v>17</v>
      </c>
      <c r="R391">
        <v>5.65</v>
      </c>
      <c r="U391">
        <f>H391*(1-N391%)</f>
        <v>20.613797000000002</v>
      </c>
      <c r="V391">
        <f>U391*I391</f>
        <v>1442.9657900000002</v>
      </c>
      <c r="W391" t="e">
        <f>#REF!-V391</f>
        <v>#REF!</v>
      </c>
      <c r="X391" t="e">
        <f t="shared" si="6"/>
        <v>#REF!</v>
      </c>
    </row>
    <row r="392" spans="1:24" x14ac:dyDescent="0.3">
      <c r="A392">
        <v>1391</v>
      </c>
      <c r="B392" s="2">
        <v>44587</v>
      </c>
      <c r="C392" t="s">
        <v>23</v>
      </c>
      <c r="D392" t="s">
        <v>30</v>
      </c>
      <c r="E392" t="s">
        <v>35</v>
      </c>
      <c r="F392" t="s">
        <v>26</v>
      </c>
      <c r="G392" t="s">
        <v>47</v>
      </c>
      <c r="H392">
        <v>39.74</v>
      </c>
      <c r="I392">
        <v>50</v>
      </c>
      <c r="J392" s="1">
        <f>(H392*I392)+O392</f>
        <v>2044.04</v>
      </c>
      <c r="K392" s="1">
        <f>(H392*I392)+O392-N392</f>
        <v>2035.12</v>
      </c>
      <c r="L392">
        <v>566.89</v>
      </c>
      <c r="M392" t="s">
        <v>37</v>
      </c>
      <c r="N392">
        <v>8.92</v>
      </c>
      <c r="O392">
        <v>57.04</v>
      </c>
      <c r="P392">
        <v>4</v>
      </c>
      <c r="Q392">
        <v>12</v>
      </c>
      <c r="R392">
        <v>5.24</v>
      </c>
      <c r="U392">
        <f>H392*(1-N392%)</f>
        <v>36.195192000000006</v>
      </c>
      <c r="V392">
        <f>U392*I392</f>
        <v>1809.7596000000003</v>
      </c>
      <c r="W392" t="e">
        <f>#REF!-V392</f>
        <v>#REF!</v>
      </c>
      <c r="X392" t="e">
        <f t="shared" si="6"/>
        <v>#REF!</v>
      </c>
    </row>
    <row r="393" spans="1:24" x14ac:dyDescent="0.3">
      <c r="A393">
        <v>1392</v>
      </c>
      <c r="B393" s="2">
        <v>44588</v>
      </c>
      <c r="C393" t="s">
        <v>56</v>
      </c>
      <c r="D393" t="s">
        <v>46</v>
      </c>
      <c r="E393" t="s">
        <v>42</v>
      </c>
      <c r="F393" t="s">
        <v>26</v>
      </c>
      <c r="G393" t="s">
        <v>47</v>
      </c>
      <c r="H393">
        <v>51.87</v>
      </c>
      <c r="I393">
        <v>96</v>
      </c>
      <c r="J393" s="1">
        <f>(H393*I393)+O393</f>
        <v>5000.6499999999996</v>
      </c>
      <c r="K393" s="1">
        <f>(H393*I393)+O393-N393</f>
        <v>4995.6499999999996</v>
      </c>
      <c r="L393">
        <v>683.79</v>
      </c>
      <c r="M393" t="s">
        <v>37</v>
      </c>
      <c r="N393">
        <v>5</v>
      </c>
      <c r="O393">
        <v>21.13</v>
      </c>
      <c r="P393">
        <v>3</v>
      </c>
      <c r="Q393">
        <v>27</v>
      </c>
      <c r="R393">
        <v>3.43</v>
      </c>
      <c r="U393">
        <f>H393*(1-N393%)</f>
        <v>49.276499999999999</v>
      </c>
      <c r="V393">
        <f>U393*I393</f>
        <v>4730.5439999999999</v>
      </c>
      <c r="W393" t="e">
        <f>#REF!-V393</f>
        <v>#REF!</v>
      </c>
      <c r="X393" t="e">
        <f t="shared" si="6"/>
        <v>#REF!</v>
      </c>
    </row>
    <row r="394" spans="1:24" x14ac:dyDescent="0.3">
      <c r="A394">
        <v>1393</v>
      </c>
      <c r="B394" s="2">
        <v>44589</v>
      </c>
      <c r="C394" t="s">
        <v>57</v>
      </c>
      <c r="D394" t="s">
        <v>24</v>
      </c>
      <c r="E394" t="s">
        <v>35</v>
      </c>
      <c r="F394" t="s">
        <v>32</v>
      </c>
      <c r="G394" t="s">
        <v>43</v>
      </c>
      <c r="H394">
        <v>10.38</v>
      </c>
      <c r="I394">
        <v>75</v>
      </c>
      <c r="J394" s="1">
        <f>(H394*I394)+O394</f>
        <v>849.45000000000016</v>
      </c>
      <c r="K394" s="1">
        <f>(H394*I394)+O394-N394</f>
        <v>832.27000000000021</v>
      </c>
      <c r="L394">
        <v>1123.6199999999999</v>
      </c>
      <c r="M394" t="s">
        <v>28</v>
      </c>
      <c r="N394">
        <v>17.18</v>
      </c>
      <c r="O394">
        <v>70.95</v>
      </c>
      <c r="P394">
        <v>5</v>
      </c>
      <c r="Q394">
        <v>13</v>
      </c>
      <c r="R394">
        <v>5.64</v>
      </c>
      <c r="U394">
        <f>H394*(1-N394%)</f>
        <v>8.5967160000000007</v>
      </c>
      <c r="V394">
        <f>U394*I394</f>
        <v>644.75370000000009</v>
      </c>
      <c r="W394" t="e">
        <f>#REF!-V394</f>
        <v>#REF!</v>
      </c>
      <c r="X394" t="e">
        <f t="shared" si="6"/>
        <v>#REF!</v>
      </c>
    </row>
    <row r="395" spans="1:24" x14ac:dyDescent="0.3">
      <c r="A395">
        <v>1394</v>
      </c>
      <c r="B395" s="2">
        <v>44590</v>
      </c>
      <c r="C395" t="s">
        <v>57</v>
      </c>
      <c r="D395" t="s">
        <v>54</v>
      </c>
      <c r="E395" t="s">
        <v>42</v>
      </c>
      <c r="F395" t="s">
        <v>39</v>
      </c>
      <c r="G395" t="s">
        <v>36</v>
      </c>
      <c r="H395">
        <v>36.81</v>
      </c>
      <c r="I395">
        <v>35</v>
      </c>
      <c r="J395" s="1">
        <f>(H395*I395)+O395</f>
        <v>1386.4</v>
      </c>
      <c r="K395" s="1">
        <f>(H395*I395)+O395-N395</f>
        <v>1374.42</v>
      </c>
      <c r="L395">
        <v>1388.28</v>
      </c>
      <c r="M395" t="s">
        <v>37</v>
      </c>
      <c r="N395">
        <v>11.98</v>
      </c>
      <c r="O395">
        <v>98.05</v>
      </c>
      <c r="P395">
        <v>4</v>
      </c>
      <c r="Q395">
        <v>13</v>
      </c>
      <c r="R395">
        <v>5.49</v>
      </c>
      <c r="U395">
        <f>H395*(1-N395%)</f>
        <v>32.400162000000002</v>
      </c>
      <c r="V395">
        <f>U395*I395</f>
        <v>1134.00567</v>
      </c>
      <c r="W395" t="e">
        <f>#REF!-V395</f>
        <v>#REF!</v>
      </c>
      <c r="X395" t="e">
        <f t="shared" si="6"/>
        <v>#REF!</v>
      </c>
    </row>
    <row r="396" spans="1:24" x14ac:dyDescent="0.3">
      <c r="A396">
        <v>1395</v>
      </c>
      <c r="B396" s="2">
        <v>44591</v>
      </c>
      <c r="C396" t="s">
        <v>48</v>
      </c>
      <c r="D396" t="s">
        <v>30</v>
      </c>
      <c r="E396" t="s">
        <v>42</v>
      </c>
      <c r="F396" t="s">
        <v>39</v>
      </c>
      <c r="G396" t="s">
        <v>45</v>
      </c>
      <c r="H396">
        <v>21.06</v>
      </c>
      <c r="I396">
        <v>72</v>
      </c>
      <c r="J396" s="1">
        <f>(H396*I396)+O396</f>
        <v>1601.62</v>
      </c>
      <c r="K396" s="1">
        <f>(H396*I396)+O396-N396</f>
        <v>1585.8</v>
      </c>
      <c r="L396">
        <v>234.36</v>
      </c>
      <c r="M396" t="s">
        <v>37</v>
      </c>
      <c r="N396">
        <v>15.82</v>
      </c>
      <c r="O396">
        <v>85.3</v>
      </c>
      <c r="P396">
        <v>2</v>
      </c>
      <c r="Q396">
        <v>28</v>
      </c>
      <c r="R396">
        <v>6.02</v>
      </c>
      <c r="U396">
        <f>H396*(1-N396%)</f>
        <v>17.728307999999998</v>
      </c>
      <c r="V396">
        <f>U396*I396</f>
        <v>1276.4381759999999</v>
      </c>
      <c r="W396" t="e">
        <f>#REF!-V396</f>
        <v>#REF!</v>
      </c>
      <c r="X396" t="e">
        <f t="shared" si="6"/>
        <v>#REF!</v>
      </c>
    </row>
    <row r="397" spans="1:24" x14ac:dyDescent="0.3">
      <c r="A397">
        <v>1396</v>
      </c>
      <c r="B397" s="2">
        <v>44592</v>
      </c>
      <c r="C397" t="s">
        <v>57</v>
      </c>
      <c r="D397" t="s">
        <v>24</v>
      </c>
      <c r="E397" t="s">
        <v>25</v>
      </c>
      <c r="F397" t="s">
        <v>39</v>
      </c>
      <c r="G397" t="s">
        <v>50</v>
      </c>
      <c r="H397">
        <v>22.19</v>
      </c>
      <c r="I397">
        <v>23</v>
      </c>
      <c r="J397" s="1">
        <f>(H397*I397)+O397</f>
        <v>555.41999999999996</v>
      </c>
      <c r="K397" s="1">
        <f>(H397*I397)+O397-N397</f>
        <v>547.58999999999992</v>
      </c>
      <c r="L397">
        <v>456.31</v>
      </c>
      <c r="M397" t="s">
        <v>44</v>
      </c>
      <c r="N397">
        <v>7.83</v>
      </c>
      <c r="O397">
        <v>45.05</v>
      </c>
      <c r="P397">
        <v>4</v>
      </c>
      <c r="Q397">
        <v>2</v>
      </c>
      <c r="R397">
        <v>5.27</v>
      </c>
      <c r="U397">
        <f>H397*(1-N397%)</f>
        <v>20.452522999999999</v>
      </c>
      <c r="V397">
        <f>U397*I397</f>
        <v>470.408029</v>
      </c>
      <c r="W397" t="e">
        <f>#REF!-V397</f>
        <v>#REF!</v>
      </c>
      <c r="X397" t="e">
        <f t="shared" si="6"/>
        <v>#REF!</v>
      </c>
    </row>
    <row r="398" spans="1:24" x14ac:dyDescent="0.3">
      <c r="A398">
        <v>1397</v>
      </c>
      <c r="B398" s="2">
        <v>44593</v>
      </c>
      <c r="C398" t="s">
        <v>48</v>
      </c>
      <c r="D398" t="s">
        <v>58</v>
      </c>
      <c r="E398" t="s">
        <v>31</v>
      </c>
      <c r="F398" t="s">
        <v>26</v>
      </c>
      <c r="G398" t="s">
        <v>47</v>
      </c>
      <c r="H398">
        <v>24.23</v>
      </c>
      <c r="I398">
        <v>16</v>
      </c>
      <c r="J398" s="1">
        <f>(H398*I398)+O398</f>
        <v>393.14</v>
      </c>
      <c r="K398" s="1">
        <f>(H398*I398)+O398-N398</f>
        <v>377.65</v>
      </c>
      <c r="L398">
        <v>411.72</v>
      </c>
      <c r="M398" t="s">
        <v>44</v>
      </c>
      <c r="N398">
        <v>15.49</v>
      </c>
      <c r="O398">
        <v>5.46</v>
      </c>
      <c r="P398">
        <v>2</v>
      </c>
      <c r="Q398">
        <v>12</v>
      </c>
      <c r="R398">
        <v>4.99</v>
      </c>
      <c r="U398">
        <f>H398*(1-N398%)</f>
        <v>20.476772999999998</v>
      </c>
      <c r="V398">
        <f>U398*I398</f>
        <v>327.62836799999997</v>
      </c>
      <c r="W398" t="e">
        <f>#REF!-V398</f>
        <v>#REF!</v>
      </c>
      <c r="X398" t="e">
        <f t="shared" si="6"/>
        <v>#REF!</v>
      </c>
    </row>
    <row r="399" spans="1:24" x14ac:dyDescent="0.3">
      <c r="A399">
        <v>1398</v>
      </c>
      <c r="B399" s="2">
        <v>44594</v>
      </c>
      <c r="C399" t="s">
        <v>33</v>
      </c>
      <c r="D399" t="s">
        <v>30</v>
      </c>
      <c r="E399" t="s">
        <v>25</v>
      </c>
      <c r="F399" t="s">
        <v>39</v>
      </c>
      <c r="G399" t="s">
        <v>45</v>
      </c>
      <c r="H399">
        <v>38.94</v>
      </c>
      <c r="I399">
        <v>31</v>
      </c>
      <c r="J399" s="1">
        <f>(H399*I399)+O399</f>
        <v>1285.2599999999998</v>
      </c>
      <c r="K399" s="1">
        <f>(H399*I399)+O399-N399</f>
        <v>1278.6699999999998</v>
      </c>
      <c r="L399">
        <v>1233.82</v>
      </c>
      <c r="M399" t="s">
        <v>28</v>
      </c>
      <c r="N399">
        <v>6.59</v>
      </c>
      <c r="O399">
        <v>78.12</v>
      </c>
      <c r="P399">
        <v>5</v>
      </c>
      <c r="Q399">
        <v>25</v>
      </c>
      <c r="R399">
        <v>6.67</v>
      </c>
      <c r="U399">
        <f>H399*(1-N399%)</f>
        <v>36.373854000000001</v>
      </c>
      <c r="V399">
        <f>U399*I399</f>
        <v>1127.5894740000001</v>
      </c>
      <c r="W399" t="e">
        <f>#REF!-V399</f>
        <v>#REF!</v>
      </c>
      <c r="X399" t="e">
        <f t="shared" si="6"/>
        <v>#REF!</v>
      </c>
    </row>
    <row r="400" spans="1:24" x14ac:dyDescent="0.3">
      <c r="A400">
        <v>1399</v>
      </c>
      <c r="B400" s="2">
        <v>44595</v>
      </c>
      <c r="C400" t="s">
        <v>56</v>
      </c>
      <c r="D400" t="s">
        <v>55</v>
      </c>
      <c r="E400" t="s">
        <v>42</v>
      </c>
      <c r="F400" t="s">
        <v>26</v>
      </c>
      <c r="G400" t="s">
        <v>53</v>
      </c>
      <c r="H400">
        <v>60.82</v>
      </c>
      <c r="I400">
        <v>18</v>
      </c>
      <c r="J400" s="1">
        <f>(H400*I400)+O400</f>
        <v>1137.68</v>
      </c>
      <c r="K400" s="1">
        <f>(H400*I400)+O400-N400</f>
        <v>1129.23</v>
      </c>
      <c r="L400">
        <v>1080.31</v>
      </c>
      <c r="M400" t="s">
        <v>28</v>
      </c>
      <c r="N400">
        <v>8.4499999999999993</v>
      </c>
      <c r="O400">
        <v>42.92</v>
      </c>
      <c r="P400">
        <v>1</v>
      </c>
      <c r="Q400">
        <v>5</v>
      </c>
      <c r="R400">
        <v>4.8899999999999997</v>
      </c>
      <c r="U400">
        <f>H400*(1-N400%)</f>
        <v>55.680709999999998</v>
      </c>
      <c r="V400">
        <f>U400*I400</f>
        <v>1002.2527799999999</v>
      </c>
      <c r="W400" t="e">
        <f>#REF!-V400</f>
        <v>#REF!</v>
      </c>
      <c r="X400" t="e">
        <f t="shared" si="6"/>
        <v>#REF!</v>
      </c>
    </row>
    <row r="401" spans="1:24" x14ac:dyDescent="0.3">
      <c r="A401">
        <v>1400</v>
      </c>
      <c r="B401" s="2">
        <v>44596</v>
      </c>
      <c r="C401" t="s">
        <v>56</v>
      </c>
      <c r="D401" t="s">
        <v>30</v>
      </c>
      <c r="E401" t="s">
        <v>31</v>
      </c>
      <c r="F401" t="s">
        <v>26</v>
      </c>
      <c r="G401" t="s">
        <v>27</v>
      </c>
      <c r="H401">
        <v>60.49</v>
      </c>
      <c r="I401">
        <v>24</v>
      </c>
      <c r="J401" s="1">
        <f>(H401*I401)+O401</f>
        <v>1487.64</v>
      </c>
      <c r="K401" s="1">
        <f>(H401*I401)+O401-N401</f>
        <v>1483.8400000000001</v>
      </c>
      <c r="L401">
        <v>481.61</v>
      </c>
      <c r="M401" t="s">
        <v>28</v>
      </c>
      <c r="N401">
        <v>3.8</v>
      </c>
      <c r="O401">
        <v>35.880000000000003</v>
      </c>
      <c r="P401">
        <v>3</v>
      </c>
      <c r="Q401">
        <v>27</v>
      </c>
      <c r="R401">
        <v>0.36</v>
      </c>
      <c r="U401">
        <f>H401*(1-N401%)</f>
        <v>58.191380000000002</v>
      </c>
      <c r="V401">
        <f>U401*I401</f>
        <v>1396.59312</v>
      </c>
      <c r="W401" t="e">
        <f>#REF!-V401</f>
        <v>#REF!</v>
      </c>
      <c r="X401" t="e">
        <f t="shared" si="6"/>
        <v>#REF!</v>
      </c>
    </row>
    <row r="402" spans="1:24" x14ac:dyDescent="0.3">
      <c r="A402">
        <v>1401</v>
      </c>
      <c r="B402" s="2">
        <v>44597</v>
      </c>
      <c r="C402" t="s">
        <v>23</v>
      </c>
      <c r="D402" t="s">
        <v>24</v>
      </c>
      <c r="E402" t="s">
        <v>25</v>
      </c>
      <c r="F402" t="s">
        <v>26</v>
      </c>
      <c r="G402" t="s">
        <v>43</v>
      </c>
      <c r="H402">
        <v>9.9700000000000006</v>
      </c>
      <c r="I402">
        <v>47</v>
      </c>
      <c r="J402" s="1">
        <f>(H402*I402)+O402</f>
        <v>538.38</v>
      </c>
      <c r="K402" s="1">
        <f>(H402*I402)+O402-N402</f>
        <v>533.87</v>
      </c>
      <c r="L402">
        <v>223.8</v>
      </c>
      <c r="M402" t="s">
        <v>28</v>
      </c>
      <c r="N402">
        <v>4.51</v>
      </c>
      <c r="O402">
        <v>69.790000000000006</v>
      </c>
      <c r="P402">
        <v>1</v>
      </c>
      <c r="Q402">
        <v>17</v>
      </c>
      <c r="R402">
        <v>4.45</v>
      </c>
      <c r="U402">
        <f>H402*(1-N402%)</f>
        <v>9.5203530000000001</v>
      </c>
      <c r="V402">
        <f>U402*I402</f>
        <v>447.456591</v>
      </c>
      <c r="W402" t="e">
        <f>#REF!-V402</f>
        <v>#REF!</v>
      </c>
      <c r="X402" t="e">
        <f t="shared" si="6"/>
        <v>#REF!</v>
      </c>
    </row>
    <row r="403" spans="1:24" x14ac:dyDescent="0.3">
      <c r="A403">
        <v>1402</v>
      </c>
      <c r="B403" s="2">
        <v>44598</v>
      </c>
      <c r="C403" t="s">
        <v>51</v>
      </c>
      <c r="D403" t="s">
        <v>24</v>
      </c>
      <c r="E403" t="s">
        <v>31</v>
      </c>
      <c r="F403" t="s">
        <v>32</v>
      </c>
      <c r="G403" t="s">
        <v>36</v>
      </c>
      <c r="H403">
        <v>7.41</v>
      </c>
      <c r="I403">
        <v>39</v>
      </c>
      <c r="J403" s="1">
        <f>(H403*I403)+O403</f>
        <v>294.22000000000003</v>
      </c>
      <c r="K403" s="1">
        <f>(H403*I403)+O403-N403</f>
        <v>278.09000000000003</v>
      </c>
      <c r="L403">
        <v>904.01</v>
      </c>
      <c r="M403" t="s">
        <v>37</v>
      </c>
      <c r="N403">
        <v>16.13</v>
      </c>
      <c r="O403">
        <v>5.23</v>
      </c>
      <c r="P403">
        <v>3</v>
      </c>
      <c r="Q403">
        <v>11</v>
      </c>
      <c r="R403">
        <v>4.96</v>
      </c>
      <c r="U403">
        <f>H403*(1-N403%)</f>
        <v>6.2147670000000002</v>
      </c>
      <c r="V403">
        <f>U403*I403</f>
        <v>242.375913</v>
      </c>
      <c r="W403" t="e">
        <f>#REF!-V403</f>
        <v>#REF!</v>
      </c>
      <c r="X403" t="e">
        <f t="shared" si="6"/>
        <v>#REF!</v>
      </c>
    </row>
    <row r="404" spans="1:24" x14ac:dyDescent="0.3">
      <c r="A404">
        <v>1403</v>
      </c>
      <c r="B404" s="2">
        <v>44599</v>
      </c>
      <c r="C404" t="s">
        <v>38</v>
      </c>
      <c r="D404" t="s">
        <v>34</v>
      </c>
      <c r="E404" t="s">
        <v>31</v>
      </c>
      <c r="F404" t="s">
        <v>32</v>
      </c>
      <c r="G404" t="s">
        <v>53</v>
      </c>
      <c r="H404">
        <v>19.11</v>
      </c>
      <c r="I404">
        <v>35</v>
      </c>
      <c r="J404" s="1">
        <f>(H404*I404)+O404</f>
        <v>684.59</v>
      </c>
      <c r="K404" s="1">
        <f>(H404*I404)+O404-N404</f>
        <v>674.31000000000006</v>
      </c>
      <c r="L404">
        <v>1082.8699999999999</v>
      </c>
      <c r="M404" t="s">
        <v>44</v>
      </c>
      <c r="N404">
        <v>10.28</v>
      </c>
      <c r="O404">
        <v>15.74</v>
      </c>
      <c r="P404">
        <v>3</v>
      </c>
      <c r="Q404">
        <v>16</v>
      </c>
      <c r="R404">
        <v>8.44</v>
      </c>
      <c r="U404">
        <f>H404*(1-N404%)</f>
        <v>17.145492000000001</v>
      </c>
      <c r="V404">
        <f>U404*I404</f>
        <v>600.09222</v>
      </c>
      <c r="W404" t="e">
        <f>#REF!-V404</f>
        <v>#REF!</v>
      </c>
      <c r="X404" t="e">
        <f t="shared" si="6"/>
        <v>#REF!</v>
      </c>
    </row>
    <row r="405" spans="1:24" x14ac:dyDescent="0.3">
      <c r="A405">
        <v>1404</v>
      </c>
      <c r="B405" s="2">
        <v>44600</v>
      </c>
      <c r="C405" t="s">
        <v>33</v>
      </c>
      <c r="D405" t="s">
        <v>34</v>
      </c>
      <c r="E405" t="s">
        <v>25</v>
      </c>
      <c r="F405" t="s">
        <v>39</v>
      </c>
      <c r="G405" t="s">
        <v>43</v>
      </c>
      <c r="H405">
        <v>6.94</v>
      </c>
      <c r="I405">
        <v>97</v>
      </c>
      <c r="J405" s="1">
        <f>(H405*I405)+O405</f>
        <v>746.59</v>
      </c>
      <c r="K405" s="1">
        <f>(H405*I405)+O405-N405</f>
        <v>742.22</v>
      </c>
      <c r="L405">
        <v>1019.3</v>
      </c>
      <c r="M405" t="s">
        <v>37</v>
      </c>
      <c r="N405">
        <v>4.37</v>
      </c>
      <c r="O405">
        <v>73.41</v>
      </c>
      <c r="P405">
        <v>1</v>
      </c>
      <c r="Q405">
        <v>20</v>
      </c>
      <c r="R405">
        <v>1.87</v>
      </c>
      <c r="U405">
        <f>H405*(1-N405%)</f>
        <v>6.6367220000000007</v>
      </c>
      <c r="V405">
        <f>U405*I405</f>
        <v>643.76203400000009</v>
      </c>
      <c r="W405" t="e">
        <f>#REF!-V405</f>
        <v>#REF!</v>
      </c>
      <c r="X405" t="e">
        <f t="shared" si="6"/>
        <v>#REF!</v>
      </c>
    </row>
    <row r="406" spans="1:24" x14ac:dyDescent="0.3">
      <c r="A406">
        <v>1405</v>
      </c>
      <c r="B406" s="2">
        <v>44601</v>
      </c>
      <c r="C406" t="s">
        <v>56</v>
      </c>
      <c r="D406" t="s">
        <v>46</v>
      </c>
      <c r="E406" t="s">
        <v>31</v>
      </c>
      <c r="F406" t="s">
        <v>26</v>
      </c>
      <c r="G406" t="s">
        <v>50</v>
      </c>
      <c r="H406">
        <v>41.56</v>
      </c>
      <c r="I406">
        <v>69</v>
      </c>
      <c r="J406" s="1">
        <f>(H406*I406)+O406</f>
        <v>2915.1200000000003</v>
      </c>
      <c r="K406" s="1">
        <f>(H406*I406)+O406-N406</f>
        <v>2895.8800000000006</v>
      </c>
      <c r="L406">
        <v>803.67</v>
      </c>
      <c r="M406" t="s">
        <v>44</v>
      </c>
      <c r="N406">
        <v>19.239999999999998</v>
      </c>
      <c r="O406">
        <v>47.48</v>
      </c>
      <c r="P406">
        <v>1</v>
      </c>
      <c r="Q406">
        <v>21</v>
      </c>
      <c r="R406">
        <v>4.3600000000000003</v>
      </c>
      <c r="U406">
        <f>H406*(1-N406%)</f>
        <v>33.563856000000001</v>
      </c>
      <c r="V406">
        <f>U406*I406</f>
        <v>2315.9060640000002</v>
      </c>
      <c r="W406" t="e">
        <f>#REF!-V406</f>
        <v>#REF!</v>
      </c>
      <c r="X406" t="e">
        <f t="shared" si="6"/>
        <v>#REF!</v>
      </c>
    </row>
    <row r="407" spans="1:24" x14ac:dyDescent="0.3">
      <c r="A407">
        <v>1406</v>
      </c>
      <c r="B407" s="2">
        <v>44602</v>
      </c>
      <c r="C407" t="s">
        <v>56</v>
      </c>
      <c r="D407" t="s">
        <v>49</v>
      </c>
      <c r="E407" t="s">
        <v>25</v>
      </c>
      <c r="F407" t="s">
        <v>26</v>
      </c>
      <c r="G407" t="s">
        <v>45</v>
      </c>
      <c r="H407">
        <v>79.099999999999994</v>
      </c>
      <c r="I407">
        <v>43</v>
      </c>
      <c r="J407" s="1">
        <f>(H407*I407)+O407</f>
        <v>3458.6499999999996</v>
      </c>
      <c r="K407" s="1">
        <f>(H407*I407)+O407-N407</f>
        <v>3457.2299999999996</v>
      </c>
      <c r="L407">
        <v>680.22</v>
      </c>
      <c r="M407" t="s">
        <v>44</v>
      </c>
      <c r="N407">
        <v>1.42</v>
      </c>
      <c r="O407">
        <v>57.35</v>
      </c>
      <c r="P407">
        <v>2</v>
      </c>
      <c r="Q407">
        <v>29</v>
      </c>
      <c r="R407">
        <v>2.52</v>
      </c>
      <c r="U407">
        <f>H407*(1-N407%)</f>
        <v>77.976779999999991</v>
      </c>
      <c r="V407">
        <f>U407*I407</f>
        <v>3353.0015399999997</v>
      </c>
      <c r="W407" t="e">
        <f>#REF!-V407</f>
        <v>#REF!</v>
      </c>
      <c r="X407" t="e">
        <f t="shared" si="6"/>
        <v>#REF!</v>
      </c>
    </row>
    <row r="408" spans="1:24" x14ac:dyDescent="0.3">
      <c r="A408">
        <v>1407</v>
      </c>
      <c r="B408" s="2">
        <v>44603</v>
      </c>
      <c r="C408" t="s">
        <v>57</v>
      </c>
      <c r="D408" t="s">
        <v>55</v>
      </c>
      <c r="E408" t="s">
        <v>31</v>
      </c>
      <c r="F408" t="s">
        <v>32</v>
      </c>
      <c r="G408" t="s">
        <v>45</v>
      </c>
      <c r="H408">
        <v>41.32</v>
      </c>
      <c r="I408">
        <v>62</v>
      </c>
      <c r="J408" s="1">
        <f>(H408*I408)+O408</f>
        <v>2612.31</v>
      </c>
      <c r="K408" s="1">
        <f>(H408*I408)+O408-N408</f>
        <v>2593.2599999999998</v>
      </c>
      <c r="L408">
        <v>969.86</v>
      </c>
      <c r="M408" t="s">
        <v>44</v>
      </c>
      <c r="N408">
        <v>19.05</v>
      </c>
      <c r="O408">
        <v>50.47</v>
      </c>
      <c r="P408">
        <v>3</v>
      </c>
      <c r="Q408">
        <v>17</v>
      </c>
      <c r="R408">
        <v>0.89</v>
      </c>
      <c r="U408">
        <f>H408*(1-N408%)</f>
        <v>33.448540000000001</v>
      </c>
      <c r="V408">
        <f>U408*I408</f>
        <v>2073.8094799999999</v>
      </c>
      <c r="W408" t="e">
        <f>#REF!-V408</f>
        <v>#REF!</v>
      </c>
      <c r="X408" t="e">
        <f t="shared" si="6"/>
        <v>#REF!</v>
      </c>
    </row>
    <row r="409" spans="1:24" x14ac:dyDescent="0.3">
      <c r="A409">
        <v>1408</v>
      </c>
      <c r="B409" s="2">
        <v>44604</v>
      </c>
      <c r="C409" t="s">
        <v>51</v>
      </c>
      <c r="D409" t="s">
        <v>30</v>
      </c>
      <c r="E409" t="s">
        <v>31</v>
      </c>
      <c r="F409" t="s">
        <v>26</v>
      </c>
      <c r="G409" t="s">
        <v>47</v>
      </c>
      <c r="H409">
        <v>34.020000000000003</v>
      </c>
      <c r="I409">
        <v>24</v>
      </c>
      <c r="J409" s="1">
        <f>(H409*I409)+O409</f>
        <v>844.96</v>
      </c>
      <c r="K409" s="1">
        <f>(H409*I409)+O409-N409</f>
        <v>828.46</v>
      </c>
      <c r="L409">
        <v>401.21</v>
      </c>
      <c r="M409" t="s">
        <v>28</v>
      </c>
      <c r="N409">
        <v>16.5</v>
      </c>
      <c r="O409">
        <v>28.48</v>
      </c>
      <c r="P409">
        <v>4</v>
      </c>
      <c r="Q409">
        <v>26</v>
      </c>
      <c r="R409">
        <v>5.32</v>
      </c>
      <c r="U409">
        <f>H409*(1-N409%)</f>
        <v>28.406700000000001</v>
      </c>
      <c r="V409">
        <f>U409*I409</f>
        <v>681.76080000000002</v>
      </c>
      <c r="W409" t="e">
        <f>#REF!-V409</f>
        <v>#REF!</v>
      </c>
      <c r="X409" t="e">
        <f t="shared" si="6"/>
        <v>#REF!</v>
      </c>
    </row>
    <row r="410" spans="1:24" x14ac:dyDescent="0.3">
      <c r="A410">
        <v>1409</v>
      </c>
      <c r="B410" s="2">
        <v>44605</v>
      </c>
      <c r="C410" t="s">
        <v>51</v>
      </c>
      <c r="D410" t="s">
        <v>55</v>
      </c>
      <c r="E410" t="s">
        <v>25</v>
      </c>
      <c r="F410" t="s">
        <v>32</v>
      </c>
      <c r="G410" t="s">
        <v>47</v>
      </c>
      <c r="H410">
        <v>44.04</v>
      </c>
      <c r="I410">
        <v>26</v>
      </c>
      <c r="J410" s="1">
        <f>(H410*I410)+O410</f>
        <v>1237.7</v>
      </c>
      <c r="K410" s="1">
        <f>(H410*I410)+O410-N410</f>
        <v>1234.28</v>
      </c>
      <c r="L410">
        <v>1331.76</v>
      </c>
      <c r="M410" t="s">
        <v>28</v>
      </c>
      <c r="N410">
        <v>3.42</v>
      </c>
      <c r="O410">
        <v>92.66</v>
      </c>
      <c r="P410">
        <v>5</v>
      </c>
      <c r="Q410">
        <v>7</v>
      </c>
      <c r="R410">
        <v>5.93</v>
      </c>
      <c r="U410">
        <f>H410*(1-N410%)</f>
        <v>42.533831999999997</v>
      </c>
      <c r="V410">
        <f>U410*I410</f>
        <v>1105.8796319999999</v>
      </c>
      <c r="W410" t="e">
        <f>#REF!-V410</f>
        <v>#REF!</v>
      </c>
      <c r="X410" t="e">
        <f t="shared" si="6"/>
        <v>#REF!</v>
      </c>
    </row>
    <row r="411" spans="1:24" x14ac:dyDescent="0.3">
      <c r="A411">
        <v>1410</v>
      </c>
      <c r="B411" s="2">
        <v>44606</v>
      </c>
      <c r="C411" t="s">
        <v>38</v>
      </c>
      <c r="D411" t="s">
        <v>30</v>
      </c>
      <c r="E411" t="s">
        <v>31</v>
      </c>
      <c r="F411" t="s">
        <v>32</v>
      </c>
      <c r="G411" t="s">
        <v>43</v>
      </c>
      <c r="H411">
        <v>7.81</v>
      </c>
      <c r="I411">
        <v>72</v>
      </c>
      <c r="J411" s="1">
        <f>(H411*I411)+O411</f>
        <v>594.99999999999989</v>
      </c>
      <c r="K411" s="1">
        <f>(H411*I411)+O411-N411</f>
        <v>576.21999999999991</v>
      </c>
      <c r="L411">
        <v>700.53</v>
      </c>
      <c r="M411" t="s">
        <v>44</v>
      </c>
      <c r="N411">
        <v>18.78</v>
      </c>
      <c r="O411">
        <v>32.68</v>
      </c>
      <c r="P411">
        <v>2</v>
      </c>
      <c r="Q411">
        <v>13</v>
      </c>
      <c r="R411">
        <v>7.38</v>
      </c>
      <c r="U411">
        <f>H411*(1-N411%)</f>
        <v>6.3432820000000003</v>
      </c>
      <c r="V411">
        <f>U411*I411</f>
        <v>456.71630400000004</v>
      </c>
      <c r="W411" t="e">
        <f>#REF!-V411</f>
        <v>#REF!</v>
      </c>
      <c r="X411" t="e">
        <f t="shared" si="6"/>
        <v>#REF!</v>
      </c>
    </row>
    <row r="412" spans="1:24" x14ac:dyDescent="0.3">
      <c r="A412">
        <v>1411</v>
      </c>
      <c r="B412" s="2">
        <v>44607</v>
      </c>
      <c r="C412" t="s">
        <v>33</v>
      </c>
      <c r="D412" t="s">
        <v>34</v>
      </c>
      <c r="E412" t="s">
        <v>25</v>
      </c>
      <c r="F412" t="s">
        <v>26</v>
      </c>
      <c r="G412" t="s">
        <v>53</v>
      </c>
      <c r="H412">
        <v>13.57</v>
      </c>
      <c r="I412">
        <v>22</v>
      </c>
      <c r="J412" s="1">
        <f>(H412*I412)+O412</f>
        <v>350.61</v>
      </c>
      <c r="K412" s="1">
        <f>(H412*I412)+O412-N412</f>
        <v>345.64</v>
      </c>
      <c r="L412">
        <v>362.5</v>
      </c>
      <c r="M412" t="s">
        <v>44</v>
      </c>
      <c r="N412">
        <v>4.97</v>
      </c>
      <c r="O412">
        <v>52.07</v>
      </c>
      <c r="P412">
        <v>5</v>
      </c>
      <c r="Q412">
        <v>15</v>
      </c>
      <c r="R412">
        <v>1.18</v>
      </c>
      <c r="U412">
        <f>H412*(1-N412%)</f>
        <v>12.895571</v>
      </c>
      <c r="V412">
        <f>U412*I412</f>
        <v>283.702562</v>
      </c>
      <c r="W412" t="e">
        <f>#REF!-V412</f>
        <v>#REF!</v>
      </c>
      <c r="X412" t="e">
        <f t="shared" si="6"/>
        <v>#REF!</v>
      </c>
    </row>
    <row r="413" spans="1:24" x14ac:dyDescent="0.3">
      <c r="A413">
        <v>1412</v>
      </c>
      <c r="B413" s="2">
        <v>44608</v>
      </c>
      <c r="C413" t="s">
        <v>33</v>
      </c>
      <c r="D413" t="s">
        <v>55</v>
      </c>
      <c r="E413" t="s">
        <v>31</v>
      </c>
      <c r="F413" t="s">
        <v>39</v>
      </c>
      <c r="G413" t="s">
        <v>53</v>
      </c>
      <c r="H413">
        <v>73.42</v>
      </c>
      <c r="I413">
        <v>43</v>
      </c>
      <c r="J413" s="1">
        <f>(H413*I413)+O413</f>
        <v>3206.95</v>
      </c>
      <c r="K413" s="1">
        <f>(H413*I413)+O413-N413</f>
        <v>3204.8599999999997</v>
      </c>
      <c r="L413">
        <v>474.25</v>
      </c>
      <c r="M413" t="s">
        <v>37</v>
      </c>
      <c r="N413">
        <v>2.09</v>
      </c>
      <c r="O413">
        <v>49.89</v>
      </c>
      <c r="P413">
        <v>1</v>
      </c>
      <c r="Q413">
        <v>20</v>
      </c>
      <c r="R413">
        <v>4.1500000000000004</v>
      </c>
      <c r="U413">
        <f>H413*(1-N413%)</f>
        <v>71.885521999999995</v>
      </c>
      <c r="V413">
        <f>U413*I413</f>
        <v>3091.0774459999998</v>
      </c>
      <c r="W413" t="e">
        <f>#REF!-V413</f>
        <v>#REF!</v>
      </c>
      <c r="X413" t="e">
        <f t="shared" si="6"/>
        <v>#REF!</v>
      </c>
    </row>
    <row r="414" spans="1:24" x14ac:dyDescent="0.3">
      <c r="A414">
        <v>1413</v>
      </c>
      <c r="B414" s="2">
        <v>44609</v>
      </c>
      <c r="C414" t="s">
        <v>41</v>
      </c>
      <c r="D414" t="s">
        <v>24</v>
      </c>
      <c r="E414" t="s">
        <v>25</v>
      </c>
      <c r="F414" t="s">
        <v>26</v>
      </c>
      <c r="G414" t="s">
        <v>43</v>
      </c>
      <c r="H414">
        <v>28.65</v>
      </c>
      <c r="I414">
        <v>24</v>
      </c>
      <c r="J414" s="1">
        <f>(H414*I414)+O414</f>
        <v>767.86999999999989</v>
      </c>
      <c r="K414" s="1">
        <f>(H414*I414)+O414-N414</f>
        <v>756.21999999999991</v>
      </c>
      <c r="L414">
        <v>752.32</v>
      </c>
      <c r="M414" t="s">
        <v>28</v>
      </c>
      <c r="N414">
        <v>11.65</v>
      </c>
      <c r="O414">
        <v>80.27</v>
      </c>
      <c r="P414">
        <v>3</v>
      </c>
      <c r="Q414">
        <v>27</v>
      </c>
      <c r="R414">
        <v>6.79</v>
      </c>
      <c r="U414">
        <f>H414*(1-N414%)</f>
        <v>25.312274999999996</v>
      </c>
      <c r="V414">
        <f>U414*I414</f>
        <v>607.49459999999988</v>
      </c>
      <c r="W414" t="e">
        <f>#REF!-V414</f>
        <v>#REF!</v>
      </c>
      <c r="X414" t="e">
        <f t="shared" si="6"/>
        <v>#REF!</v>
      </c>
    </row>
    <row r="415" spans="1:24" x14ac:dyDescent="0.3">
      <c r="A415">
        <v>1414</v>
      </c>
      <c r="B415" s="2">
        <v>44610</v>
      </c>
      <c r="C415" t="s">
        <v>48</v>
      </c>
      <c r="D415" t="s">
        <v>34</v>
      </c>
      <c r="E415" t="s">
        <v>31</v>
      </c>
      <c r="F415" t="s">
        <v>32</v>
      </c>
      <c r="G415" t="s">
        <v>50</v>
      </c>
      <c r="H415">
        <v>72.56</v>
      </c>
      <c r="I415">
        <v>12</v>
      </c>
      <c r="J415" s="1">
        <f>(H415*I415)+O415</f>
        <v>898.56000000000006</v>
      </c>
      <c r="K415" s="1">
        <f>(H415*I415)+O415-N415</f>
        <v>880.32</v>
      </c>
      <c r="L415">
        <v>651.29999999999995</v>
      </c>
      <c r="M415" t="s">
        <v>37</v>
      </c>
      <c r="N415">
        <v>18.239999999999998</v>
      </c>
      <c r="O415">
        <v>27.84</v>
      </c>
      <c r="P415">
        <v>3</v>
      </c>
      <c r="Q415">
        <v>26</v>
      </c>
      <c r="R415">
        <v>3.52</v>
      </c>
      <c r="U415">
        <f>H415*(1-N415%)</f>
        <v>59.325056000000004</v>
      </c>
      <c r="V415">
        <f>U415*I415</f>
        <v>711.90067199999999</v>
      </c>
      <c r="W415" t="e">
        <f>#REF!-V415</f>
        <v>#REF!</v>
      </c>
      <c r="X415" t="e">
        <f t="shared" si="6"/>
        <v>#REF!</v>
      </c>
    </row>
    <row r="416" spans="1:24" x14ac:dyDescent="0.3">
      <c r="A416">
        <v>1415</v>
      </c>
      <c r="B416" s="2">
        <v>44611</v>
      </c>
      <c r="C416" t="s">
        <v>38</v>
      </c>
      <c r="D416" t="s">
        <v>46</v>
      </c>
      <c r="E416" t="s">
        <v>31</v>
      </c>
      <c r="F416" t="s">
        <v>26</v>
      </c>
      <c r="G416" t="s">
        <v>47</v>
      </c>
      <c r="H416">
        <v>39.700000000000003</v>
      </c>
      <c r="I416">
        <v>18</v>
      </c>
      <c r="J416" s="1">
        <f>(H416*I416)+O416</f>
        <v>762.36</v>
      </c>
      <c r="K416" s="1">
        <f>(H416*I416)+O416-N416</f>
        <v>754.79</v>
      </c>
      <c r="L416">
        <v>489.6</v>
      </c>
      <c r="M416" t="s">
        <v>37</v>
      </c>
      <c r="N416">
        <v>7.57</v>
      </c>
      <c r="O416">
        <v>47.76</v>
      </c>
      <c r="P416">
        <v>3</v>
      </c>
      <c r="Q416">
        <v>17</v>
      </c>
      <c r="R416">
        <v>0.1</v>
      </c>
      <c r="U416">
        <f>H416*(1-N416%)</f>
        <v>36.694710000000001</v>
      </c>
      <c r="V416">
        <f>U416*I416</f>
        <v>660.50477999999998</v>
      </c>
      <c r="W416" t="e">
        <f>#REF!-V416</f>
        <v>#REF!</v>
      </c>
      <c r="X416" t="e">
        <f t="shared" si="6"/>
        <v>#REF!</v>
      </c>
    </row>
    <row r="417" spans="1:24" x14ac:dyDescent="0.3">
      <c r="A417">
        <v>1416</v>
      </c>
      <c r="B417" s="2">
        <v>44612</v>
      </c>
      <c r="C417" t="s">
        <v>52</v>
      </c>
      <c r="D417" t="s">
        <v>34</v>
      </c>
      <c r="E417" t="s">
        <v>35</v>
      </c>
      <c r="F417" t="s">
        <v>32</v>
      </c>
      <c r="G417" t="s">
        <v>53</v>
      </c>
      <c r="H417">
        <v>73.099999999999994</v>
      </c>
      <c r="I417">
        <v>44</v>
      </c>
      <c r="J417" s="1">
        <f>(H417*I417)+O417</f>
        <v>3285.6299999999997</v>
      </c>
      <c r="K417" s="1">
        <f>(H417*I417)+O417-N417</f>
        <v>3275.18</v>
      </c>
      <c r="L417">
        <v>1084.6600000000001</v>
      </c>
      <c r="M417" t="s">
        <v>28</v>
      </c>
      <c r="N417">
        <v>10.45</v>
      </c>
      <c r="O417">
        <v>69.23</v>
      </c>
      <c r="P417">
        <v>1</v>
      </c>
      <c r="Q417">
        <v>11</v>
      </c>
      <c r="R417">
        <v>8.56</v>
      </c>
      <c r="U417">
        <f>H417*(1-N417%)</f>
        <v>65.461049999999986</v>
      </c>
      <c r="V417">
        <f>U417*I417</f>
        <v>2880.2861999999996</v>
      </c>
      <c r="W417" t="e">
        <f>#REF!-V417</f>
        <v>#REF!</v>
      </c>
      <c r="X417" t="e">
        <f t="shared" si="6"/>
        <v>#REF!</v>
      </c>
    </row>
    <row r="418" spans="1:24" x14ac:dyDescent="0.3">
      <c r="A418">
        <v>1417</v>
      </c>
      <c r="B418" s="2">
        <v>44613</v>
      </c>
      <c r="C418" t="s">
        <v>56</v>
      </c>
      <c r="D418" t="s">
        <v>46</v>
      </c>
      <c r="E418" t="s">
        <v>25</v>
      </c>
      <c r="F418" t="s">
        <v>26</v>
      </c>
      <c r="G418" t="s">
        <v>40</v>
      </c>
      <c r="H418">
        <v>35.01</v>
      </c>
      <c r="I418">
        <v>87</v>
      </c>
      <c r="J418" s="1">
        <f>(H418*I418)+O418</f>
        <v>3101.0899999999997</v>
      </c>
      <c r="K418" s="1">
        <f>(H418*I418)+O418-N418</f>
        <v>3093.5599999999995</v>
      </c>
      <c r="L418">
        <v>1408.67</v>
      </c>
      <c r="M418" t="s">
        <v>28</v>
      </c>
      <c r="N418">
        <v>7.53</v>
      </c>
      <c r="O418">
        <v>55.22</v>
      </c>
      <c r="P418">
        <v>2</v>
      </c>
      <c r="Q418">
        <v>17</v>
      </c>
      <c r="R418">
        <v>6.52</v>
      </c>
      <c r="U418">
        <f>H418*(1-N418%)</f>
        <v>32.373746999999995</v>
      </c>
      <c r="V418">
        <f>U418*I418</f>
        <v>2816.5159889999995</v>
      </c>
      <c r="W418" t="e">
        <f>#REF!-V418</f>
        <v>#REF!</v>
      </c>
      <c r="X418" t="e">
        <f t="shared" si="6"/>
        <v>#REF!</v>
      </c>
    </row>
    <row r="419" spans="1:24" x14ac:dyDescent="0.3">
      <c r="A419">
        <v>1418</v>
      </c>
      <c r="B419" s="2">
        <v>44614</v>
      </c>
      <c r="C419" t="s">
        <v>41</v>
      </c>
      <c r="D419" t="s">
        <v>49</v>
      </c>
      <c r="E419" t="s">
        <v>42</v>
      </c>
      <c r="F419" t="s">
        <v>26</v>
      </c>
      <c r="G419" t="s">
        <v>53</v>
      </c>
      <c r="H419">
        <v>59.62</v>
      </c>
      <c r="I419">
        <v>59</v>
      </c>
      <c r="J419" s="1">
        <f>(H419*I419)+O419</f>
        <v>3613.96</v>
      </c>
      <c r="K419" s="1">
        <f>(H419*I419)+O419-N419</f>
        <v>3598.5</v>
      </c>
      <c r="L419">
        <v>768.21</v>
      </c>
      <c r="M419" t="s">
        <v>37</v>
      </c>
      <c r="N419">
        <v>15.46</v>
      </c>
      <c r="O419">
        <v>96.38</v>
      </c>
      <c r="P419">
        <v>5</v>
      </c>
      <c r="Q419">
        <v>18</v>
      </c>
      <c r="R419">
        <v>6.45</v>
      </c>
      <c r="U419">
        <f>H419*(1-N419%)</f>
        <v>50.402747999999995</v>
      </c>
      <c r="V419">
        <f>U419*I419</f>
        <v>2973.7621319999998</v>
      </c>
      <c r="W419" t="e">
        <f>#REF!-V419</f>
        <v>#REF!</v>
      </c>
      <c r="X419" t="e">
        <f t="shared" si="6"/>
        <v>#REF!</v>
      </c>
    </row>
    <row r="420" spans="1:24" x14ac:dyDescent="0.3">
      <c r="A420">
        <v>1419</v>
      </c>
      <c r="B420" s="2">
        <v>44615</v>
      </c>
      <c r="C420" t="s">
        <v>29</v>
      </c>
      <c r="D420" t="s">
        <v>54</v>
      </c>
      <c r="E420" t="s">
        <v>31</v>
      </c>
      <c r="F420" t="s">
        <v>32</v>
      </c>
      <c r="G420" t="s">
        <v>47</v>
      </c>
      <c r="H420">
        <v>35.94</v>
      </c>
      <c r="I420">
        <v>34</v>
      </c>
      <c r="J420" s="1">
        <f>(H420*I420)+O420</f>
        <v>1304.46</v>
      </c>
      <c r="K420" s="1">
        <f>(H420*I420)+O420-N420</f>
        <v>1301.26</v>
      </c>
      <c r="L420">
        <v>592.27</v>
      </c>
      <c r="M420" t="s">
        <v>37</v>
      </c>
      <c r="N420">
        <v>3.2</v>
      </c>
      <c r="O420">
        <v>82.5</v>
      </c>
      <c r="P420">
        <v>2</v>
      </c>
      <c r="Q420">
        <v>19</v>
      </c>
      <c r="R420">
        <v>7.34</v>
      </c>
      <c r="U420">
        <f>H420*(1-N420%)</f>
        <v>34.789919999999995</v>
      </c>
      <c r="V420">
        <f>U420*I420</f>
        <v>1182.8572799999997</v>
      </c>
      <c r="W420" t="e">
        <f>#REF!-V420</f>
        <v>#REF!</v>
      </c>
      <c r="X420" t="e">
        <f t="shared" si="6"/>
        <v>#REF!</v>
      </c>
    </row>
    <row r="421" spans="1:24" x14ac:dyDescent="0.3">
      <c r="A421">
        <v>1420</v>
      </c>
      <c r="B421" s="2">
        <v>44616</v>
      </c>
      <c r="C421" t="s">
        <v>51</v>
      </c>
      <c r="D421" t="s">
        <v>54</v>
      </c>
      <c r="E421" t="s">
        <v>35</v>
      </c>
      <c r="F421" t="s">
        <v>32</v>
      </c>
      <c r="G421" t="s">
        <v>47</v>
      </c>
      <c r="H421">
        <v>18.22</v>
      </c>
      <c r="I421">
        <v>16</v>
      </c>
      <c r="J421" s="1">
        <f>(H421*I421)+O421</f>
        <v>303.60999999999996</v>
      </c>
      <c r="K421" s="1">
        <f>(H421*I421)+O421-N421</f>
        <v>291.22999999999996</v>
      </c>
      <c r="L421">
        <v>901.93</v>
      </c>
      <c r="M421" t="s">
        <v>28</v>
      </c>
      <c r="N421">
        <v>12.38</v>
      </c>
      <c r="O421">
        <v>12.09</v>
      </c>
      <c r="P421">
        <v>3</v>
      </c>
      <c r="Q421">
        <v>6</v>
      </c>
      <c r="R421">
        <v>7.22</v>
      </c>
      <c r="U421">
        <f>H421*(1-N421%)</f>
        <v>15.964363999999998</v>
      </c>
      <c r="V421">
        <f>U421*I421</f>
        <v>255.42982399999997</v>
      </c>
      <c r="W421" t="e">
        <f>#REF!-V421</f>
        <v>#REF!</v>
      </c>
      <c r="X421" t="e">
        <f t="shared" si="6"/>
        <v>#REF!</v>
      </c>
    </row>
    <row r="422" spans="1:24" x14ac:dyDescent="0.3">
      <c r="A422">
        <v>1421</v>
      </c>
      <c r="B422" s="2">
        <v>44617</v>
      </c>
      <c r="C422" t="s">
        <v>56</v>
      </c>
      <c r="D422" t="s">
        <v>49</v>
      </c>
      <c r="E422" t="s">
        <v>35</v>
      </c>
      <c r="F422" t="s">
        <v>26</v>
      </c>
      <c r="G422" t="s">
        <v>45</v>
      </c>
      <c r="H422">
        <v>38.24</v>
      </c>
      <c r="I422">
        <v>53</v>
      </c>
      <c r="J422" s="1">
        <f>(H422*I422)+O422</f>
        <v>2059.4900000000002</v>
      </c>
      <c r="K422" s="1">
        <f>(H422*I422)+O422-N422</f>
        <v>2051.86</v>
      </c>
      <c r="L422">
        <v>529.91999999999996</v>
      </c>
      <c r="M422" t="s">
        <v>44</v>
      </c>
      <c r="N422">
        <v>7.63</v>
      </c>
      <c r="O422">
        <v>32.770000000000003</v>
      </c>
      <c r="P422">
        <v>5</v>
      </c>
      <c r="Q422">
        <v>6</v>
      </c>
      <c r="R422">
        <v>5.05</v>
      </c>
      <c r="U422">
        <f>H422*(1-N422%)</f>
        <v>35.322288</v>
      </c>
      <c r="V422">
        <f>U422*I422</f>
        <v>1872.0812639999999</v>
      </c>
      <c r="W422" t="e">
        <f>#REF!-V422</f>
        <v>#REF!</v>
      </c>
      <c r="X422" t="e">
        <f t="shared" si="6"/>
        <v>#REF!</v>
      </c>
    </row>
    <row r="423" spans="1:24" x14ac:dyDescent="0.3">
      <c r="A423">
        <v>1422</v>
      </c>
      <c r="B423" s="2">
        <v>44618</v>
      </c>
      <c r="C423" t="s">
        <v>41</v>
      </c>
      <c r="D423" t="s">
        <v>24</v>
      </c>
      <c r="E423" t="s">
        <v>35</v>
      </c>
      <c r="F423" t="s">
        <v>26</v>
      </c>
      <c r="G423" t="s">
        <v>43</v>
      </c>
      <c r="H423">
        <v>58.16</v>
      </c>
      <c r="I423">
        <v>80</v>
      </c>
      <c r="J423" s="1">
        <f>(H423*I423)+O423</f>
        <v>4676.8599999999997</v>
      </c>
      <c r="K423" s="1">
        <f>(H423*I423)+O423-N423</f>
        <v>4669.5</v>
      </c>
      <c r="L423">
        <v>440.85</v>
      </c>
      <c r="M423" t="s">
        <v>44</v>
      </c>
      <c r="N423">
        <v>7.36</v>
      </c>
      <c r="O423">
        <v>24.06</v>
      </c>
      <c r="P423">
        <v>5</v>
      </c>
      <c r="Q423">
        <v>20</v>
      </c>
      <c r="R423">
        <v>6.82</v>
      </c>
      <c r="U423">
        <f>H423*(1-N423%)</f>
        <v>53.879424</v>
      </c>
      <c r="V423">
        <f>U423*I423</f>
        <v>4310.3539199999996</v>
      </c>
      <c r="W423" t="e">
        <f>#REF!-V423</f>
        <v>#REF!</v>
      </c>
      <c r="X423" t="e">
        <f t="shared" si="6"/>
        <v>#REF!</v>
      </c>
    </row>
    <row r="424" spans="1:24" x14ac:dyDescent="0.3">
      <c r="A424">
        <v>1423</v>
      </c>
      <c r="B424" s="2">
        <v>44619</v>
      </c>
      <c r="C424" t="s">
        <v>52</v>
      </c>
      <c r="D424" t="s">
        <v>49</v>
      </c>
      <c r="E424" t="s">
        <v>31</v>
      </c>
      <c r="F424" t="s">
        <v>26</v>
      </c>
      <c r="G424" t="s">
        <v>45</v>
      </c>
      <c r="H424">
        <v>11</v>
      </c>
      <c r="I424">
        <v>31</v>
      </c>
      <c r="J424" s="1">
        <f>(H424*I424)+O424</f>
        <v>360.46</v>
      </c>
      <c r="K424" s="1">
        <f>(H424*I424)+O424-N424</f>
        <v>357.75</v>
      </c>
      <c r="L424">
        <v>284.32</v>
      </c>
      <c r="M424" t="s">
        <v>44</v>
      </c>
      <c r="N424">
        <v>2.71</v>
      </c>
      <c r="O424">
        <v>19.46</v>
      </c>
      <c r="P424">
        <v>3</v>
      </c>
      <c r="Q424">
        <v>1</v>
      </c>
      <c r="R424">
        <v>2.85</v>
      </c>
      <c r="U424">
        <f>H424*(1-N424%)</f>
        <v>10.7019</v>
      </c>
      <c r="V424">
        <f>U424*I424</f>
        <v>331.75889999999998</v>
      </c>
      <c r="W424" t="e">
        <f>#REF!-V424</f>
        <v>#REF!</v>
      </c>
      <c r="X424" t="e">
        <f t="shared" si="6"/>
        <v>#REF!</v>
      </c>
    </row>
    <row r="425" spans="1:24" x14ac:dyDescent="0.3">
      <c r="A425">
        <v>1424</v>
      </c>
      <c r="B425" s="2">
        <v>44620</v>
      </c>
      <c r="C425" t="s">
        <v>33</v>
      </c>
      <c r="D425" t="s">
        <v>34</v>
      </c>
      <c r="E425" t="s">
        <v>25</v>
      </c>
      <c r="F425" t="s">
        <v>32</v>
      </c>
      <c r="G425" t="s">
        <v>43</v>
      </c>
      <c r="H425">
        <v>6.29</v>
      </c>
      <c r="I425">
        <v>62</v>
      </c>
      <c r="J425" s="1">
        <f>(H425*I425)+O425</f>
        <v>470.28000000000003</v>
      </c>
      <c r="K425" s="1">
        <f>(H425*I425)+O425-N425</f>
        <v>454.38000000000005</v>
      </c>
      <c r="L425">
        <v>599.53</v>
      </c>
      <c r="M425" t="s">
        <v>28</v>
      </c>
      <c r="N425">
        <v>15.9</v>
      </c>
      <c r="O425">
        <v>80.3</v>
      </c>
      <c r="P425">
        <v>2</v>
      </c>
      <c r="Q425">
        <v>7</v>
      </c>
      <c r="R425">
        <v>1.63</v>
      </c>
      <c r="U425">
        <f>H425*(1-N425%)</f>
        <v>5.2898899999999998</v>
      </c>
      <c r="V425">
        <f>U425*I425</f>
        <v>327.97317999999996</v>
      </c>
      <c r="W425" t="e">
        <f>#REF!-V425</f>
        <v>#REF!</v>
      </c>
      <c r="X425" t="e">
        <f t="shared" si="6"/>
        <v>#REF!</v>
      </c>
    </row>
    <row r="426" spans="1:24" x14ac:dyDescent="0.3">
      <c r="A426">
        <v>1425</v>
      </c>
      <c r="B426" s="2">
        <v>44621</v>
      </c>
      <c r="C426" t="s">
        <v>38</v>
      </c>
      <c r="D426" t="s">
        <v>54</v>
      </c>
      <c r="E426" t="s">
        <v>31</v>
      </c>
      <c r="F426" t="s">
        <v>39</v>
      </c>
      <c r="G426" t="s">
        <v>47</v>
      </c>
      <c r="H426">
        <v>46.11</v>
      </c>
      <c r="I426">
        <v>63</v>
      </c>
      <c r="J426" s="1">
        <f>(H426*I426)+O426</f>
        <v>2993.3199999999997</v>
      </c>
      <c r="K426" s="1">
        <f>(H426*I426)+O426-N426</f>
        <v>2979.6499999999996</v>
      </c>
      <c r="L426">
        <v>1125.81</v>
      </c>
      <c r="M426" t="s">
        <v>28</v>
      </c>
      <c r="N426">
        <v>13.67</v>
      </c>
      <c r="O426">
        <v>88.39</v>
      </c>
      <c r="P426">
        <v>5</v>
      </c>
      <c r="Q426">
        <v>27</v>
      </c>
      <c r="R426">
        <v>4.79</v>
      </c>
      <c r="U426">
        <f>H426*(1-N426%)</f>
        <v>39.806762999999997</v>
      </c>
      <c r="V426">
        <f>U426*I426</f>
        <v>2507.8260689999997</v>
      </c>
      <c r="W426" t="e">
        <f>#REF!-V426</f>
        <v>#REF!</v>
      </c>
      <c r="X426" t="e">
        <f t="shared" si="6"/>
        <v>#REF!</v>
      </c>
    </row>
    <row r="427" spans="1:24" x14ac:dyDescent="0.3">
      <c r="A427">
        <v>1426</v>
      </c>
      <c r="B427" s="2">
        <v>44622</v>
      </c>
      <c r="C427" t="s">
        <v>29</v>
      </c>
      <c r="D427" t="s">
        <v>54</v>
      </c>
      <c r="E427" t="s">
        <v>25</v>
      </c>
      <c r="F427" t="s">
        <v>32</v>
      </c>
      <c r="G427" t="s">
        <v>36</v>
      </c>
      <c r="H427">
        <v>32.909999999999997</v>
      </c>
      <c r="I427">
        <v>12</v>
      </c>
      <c r="J427" s="1">
        <f>(H427*I427)+O427</f>
        <v>444.32999999999993</v>
      </c>
      <c r="K427" s="1">
        <f>(H427*I427)+O427-N427</f>
        <v>440.01999999999992</v>
      </c>
      <c r="L427">
        <v>182.63</v>
      </c>
      <c r="M427" t="s">
        <v>37</v>
      </c>
      <c r="N427">
        <v>4.3099999999999996</v>
      </c>
      <c r="O427">
        <v>49.41</v>
      </c>
      <c r="P427">
        <v>1</v>
      </c>
      <c r="Q427">
        <v>11</v>
      </c>
      <c r="R427">
        <v>1.03</v>
      </c>
      <c r="U427">
        <f>H427*(1-N427%)</f>
        <v>31.491578999999994</v>
      </c>
      <c r="V427">
        <f>U427*I427</f>
        <v>377.8989479999999</v>
      </c>
      <c r="W427" t="e">
        <f>#REF!-V427</f>
        <v>#REF!</v>
      </c>
      <c r="X427" t="e">
        <f t="shared" si="6"/>
        <v>#REF!</v>
      </c>
    </row>
    <row r="428" spans="1:24" x14ac:dyDescent="0.3">
      <c r="A428">
        <v>1427</v>
      </c>
      <c r="B428" s="2">
        <v>44623</v>
      </c>
      <c r="C428" t="s">
        <v>56</v>
      </c>
      <c r="D428" t="s">
        <v>46</v>
      </c>
      <c r="E428" t="s">
        <v>25</v>
      </c>
      <c r="F428" t="s">
        <v>26</v>
      </c>
      <c r="G428" t="s">
        <v>47</v>
      </c>
      <c r="H428">
        <v>67.36</v>
      </c>
      <c r="I428">
        <v>43</v>
      </c>
      <c r="J428" s="1">
        <f>(H428*I428)+O428</f>
        <v>2985.08</v>
      </c>
      <c r="K428" s="1">
        <f>(H428*I428)+O428-N428</f>
        <v>2979.39</v>
      </c>
      <c r="L428">
        <v>1187.45</v>
      </c>
      <c r="M428" t="s">
        <v>44</v>
      </c>
      <c r="N428">
        <v>5.69</v>
      </c>
      <c r="O428">
        <v>88.6</v>
      </c>
      <c r="P428">
        <v>5</v>
      </c>
      <c r="Q428">
        <v>9</v>
      </c>
      <c r="R428">
        <v>3.69</v>
      </c>
      <c r="U428">
        <f>H428*(1-N428%)</f>
        <v>63.527216000000003</v>
      </c>
      <c r="V428">
        <f>U428*I428</f>
        <v>2731.6702880000003</v>
      </c>
      <c r="W428" t="e">
        <f>#REF!-V428</f>
        <v>#REF!</v>
      </c>
      <c r="X428" t="e">
        <f t="shared" si="6"/>
        <v>#REF!</v>
      </c>
    </row>
    <row r="429" spans="1:24" x14ac:dyDescent="0.3">
      <c r="A429">
        <v>1428</v>
      </c>
      <c r="B429" s="2">
        <v>44624</v>
      </c>
      <c r="C429" t="s">
        <v>51</v>
      </c>
      <c r="D429" t="s">
        <v>24</v>
      </c>
      <c r="E429" t="s">
        <v>31</v>
      </c>
      <c r="F429" t="s">
        <v>32</v>
      </c>
      <c r="G429" t="s">
        <v>43</v>
      </c>
      <c r="H429">
        <v>34.26</v>
      </c>
      <c r="I429">
        <v>96</v>
      </c>
      <c r="J429" s="1">
        <f>(H429*I429)+O429</f>
        <v>3348.31</v>
      </c>
      <c r="K429" s="1">
        <f>(H429*I429)+O429-N429</f>
        <v>3331.65</v>
      </c>
      <c r="L429">
        <v>692.74</v>
      </c>
      <c r="M429" t="s">
        <v>37</v>
      </c>
      <c r="N429">
        <v>16.66</v>
      </c>
      <c r="O429">
        <v>59.35</v>
      </c>
      <c r="P429">
        <v>5</v>
      </c>
      <c r="Q429">
        <v>7</v>
      </c>
      <c r="R429">
        <v>5.71</v>
      </c>
      <c r="U429">
        <f>H429*(1-N429%)</f>
        <v>28.552284</v>
      </c>
      <c r="V429">
        <f>U429*I429</f>
        <v>2741.019264</v>
      </c>
      <c r="W429" t="e">
        <f>#REF!-V429</f>
        <v>#REF!</v>
      </c>
      <c r="X429" t="e">
        <f t="shared" si="6"/>
        <v>#REF!</v>
      </c>
    </row>
    <row r="430" spans="1:24" x14ac:dyDescent="0.3">
      <c r="A430">
        <v>1429</v>
      </c>
      <c r="B430" s="2">
        <v>44625</v>
      </c>
      <c r="C430" t="s">
        <v>48</v>
      </c>
      <c r="D430" t="s">
        <v>34</v>
      </c>
      <c r="E430" t="s">
        <v>35</v>
      </c>
      <c r="F430" t="s">
        <v>26</v>
      </c>
      <c r="G430" t="s">
        <v>43</v>
      </c>
      <c r="H430">
        <v>68.89</v>
      </c>
      <c r="I430">
        <v>95</v>
      </c>
      <c r="J430" s="1">
        <f>(H430*I430)+O430</f>
        <v>6624.54</v>
      </c>
      <c r="K430" s="1">
        <f>(H430*I430)+O430-N430</f>
        <v>6614.63</v>
      </c>
      <c r="L430">
        <v>502.51</v>
      </c>
      <c r="M430" t="s">
        <v>37</v>
      </c>
      <c r="N430">
        <v>9.91</v>
      </c>
      <c r="O430">
        <v>79.989999999999995</v>
      </c>
      <c r="P430">
        <v>3</v>
      </c>
      <c r="Q430">
        <v>4</v>
      </c>
      <c r="R430">
        <v>8.9600000000000009</v>
      </c>
      <c r="U430">
        <f>H430*(1-N430%)</f>
        <v>62.063001</v>
      </c>
      <c r="V430">
        <f>U430*I430</f>
        <v>5895.985095</v>
      </c>
      <c r="W430" t="e">
        <f>#REF!-V430</f>
        <v>#REF!</v>
      </c>
      <c r="X430" t="e">
        <f t="shared" si="6"/>
        <v>#REF!</v>
      </c>
    </row>
    <row r="431" spans="1:24" x14ac:dyDescent="0.3">
      <c r="A431">
        <v>1430</v>
      </c>
      <c r="B431" s="2">
        <v>44626</v>
      </c>
      <c r="C431" t="s">
        <v>38</v>
      </c>
      <c r="D431" t="s">
        <v>24</v>
      </c>
      <c r="E431" t="s">
        <v>35</v>
      </c>
      <c r="F431" t="s">
        <v>32</v>
      </c>
      <c r="G431" t="s">
        <v>40</v>
      </c>
      <c r="H431">
        <v>28.4</v>
      </c>
      <c r="I431">
        <v>87</v>
      </c>
      <c r="J431" s="1">
        <f>(H431*I431)+O431</f>
        <v>2555.1899999999996</v>
      </c>
      <c r="K431" s="1">
        <f>(H431*I431)+O431-N431</f>
        <v>2548.1099999999997</v>
      </c>
      <c r="L431">
        <v>247.64</v>
      </c>
      <c r="M431" t="s">
        <v>37</v>
      </c>
      <c r="N431">
        <v>7.08</v>
      </c>
      <c r="O431">
        <v>84.39</v>
      </c>
      <c r="P431">
        <v>4</v>
      </c>
      <c r="Q431">
        <v>16</v>
      </c>
      <c r="R431">
        <v>0.91</v>
      </c>
      <c r="U431">
        <f>H431*(1-N431%)</f>
        <v>26.389279999999999</v>
      </c>
      <c r="V431">
        <f>U431*I431</f>
        <v>2295.8673599999997</v>
      </c>
      <c r="W431" t="e">
        <f>#REF!-V431</f>
        <v>#REF!</v>
      </c>
      <c r="X431" t="e">
        <f t="shared" si="6"/>
        <v>#REF!</v>
      </c>
    </row>
    <row r="432" spans="1:24" x14ac:dyDescent="0.3">
      <c r="A432">
        <v>1431</v>
      </c>
      <c r="B432" s="2">
        <v>44627</v>
      </c>
      <c r="C432" t="s">
        <v>52</v>
      </c>
      <c r="D432" t="s">
        <v>58</v>
      </c>
      <c r="E432" t="s">
        <v>31</v>
      </c>
      <c r="F432" t="s">
        <v>32</v>
      </c>
      <c r="G432" t="s">
        <v>53</v>
      </c>
      <c r="H432">
        <v>74.72</v>
      </c>
      <c r="I432">
        <v>63</v>
      </c>
      <c r="J432" s="1">
        <f>(H432*I432)+O432</f>
        <v>4752.2699999999995</v>
      </c>
      <c r="K432" s="1">
        <f>(H432*I432)+O432-N432</f>
        <v>4737.58</v>
      </c>
      <c r="L432">
        <v>775.32</v>
      </c>
      <c r="M432" t="s">
        <v>28</v>
      </c>
      <c r="N432">
        <v>14.69</v>
      </c>
      <c r="O432">
        <v>44.91</v>
      </c>
      <c r="P432">
        <v>2</v>
      </c>
      <c r="Q432">
        <v>20</v>
      </c>
      <c r="R432">
        <v>0.78</v>
      </c>
      <c r="U432">
        <f>H432*(1-N432%)</f>
        <v>63.743631999999998</v>
      </c>
      <c r="V432">
        <f>U432*I432</f>
        <v>4015.8488159999997</v>
      </c>
      <c r="W432" t="e">
        <f>#REF!-V432</f>
        <v>#REF!</v>
      </c>
      <c r="X432" t="e">
        <f t="shared" si="6"/>
        <v>#REF!</v>
      </c>
    </row>
    <row r="433" spans="1:24" x14ac:dyDescent="0.3">
      <c r="A433">
        <v>1432</v>
      </c>
      <c r="B433" s="2">
        <v>44628</v>
      </c>
      <c r="C433" t="s">
        <v>57</v>
      </c>
      <c r="D433" t="s">
        <v>58</v>
      </c>
      <c r="E433" t="s">
        <v>25</v>
      </c>
      <c r="F433" t="s">
        <v>26</v>
      </c>
      <c r="G433" t="s">
        <v>40</v>
      </c>
      <c r="H433">
        <v>52.65</v>
      </c>
      <c r="I433">
        <v>37</v>
      </c>
      <c r="J433" s="1">
        <f>(H433*I433)+O433</f>
        <v>1960.57</v>
      </c>
      <c r="K433" s="1">
        <f>(H433*I433)+O433-N433</f>
        <v>1948</v>
      </c>
      <c r="L433">
        <v>994.15</v>
      </c>
      <c r="M433" t="s">
        <v>44</v>
      </c>
      <c r="N433">
        <v>12.57</v>
      </c>
      <c r="O433">
        <v>12.52</v>
      </c>
      <c r="P433">
        <v>1</v>
      </c>
      <c r="Q433">
        <v>4</v>
      </c>
      <c r="R433">
        <v>5.25</v>
      </c>
      <c r="U433">
        <f>H433*(1-N433%)</f>
        <v>46.031894999999999</v>
      </c>
      <c r="V433">
        <f>U433*I433</f>
        <v>1703.1801149999999</v>
      </c>
      <c r="W433" t="e">
        <f>#REF!-V433</f>
        <v>#REF!</v>
      </c>
      <c r="X433" t="e">
        <f t="shared" si="6"/>
        <v>#REF!</v>
      </c>
    </row>
    <row r="434" spans="1:24" x14ac:dyDescent="0.3">
      <c r="A434">
        <v>1433</v>
      </c>
      <c r="B434" s="2">
        <v>44629</v>
      </c>
      <c r="C434" t="s">
        <v>23</v>
      </c>
      <c r="D434" t="s">
        <v>54</v>
      </c>
      <c r="E434" t="s">
        <v>42</v>
      </c>
      <c r="F434" t="s">
        <v>26</v>
      </c>
      <c r="G434" t="s">
        <v>27</v>
      </c>
      <c r="H434">
        <v>35.299999999999997</v>
      </c>
      <c r="I434">
        <v>69</v>
      </c>
      <c r="J434" s="1">
        <f>(H434*I434)+O434</f>
        <v>2452.0299999999997</v>
      </c>
      <c r="K434" s="1">
        <f>(H434*I434)+O434-N434</f>
        <v>2440.6699999999996</v>
      </c>
      <c r="L434">
        <v>215.96</v>
      </c>
      <c r="M434" t="s">
        <v>28</v>
      </c>
      <c r="N434">
        <v>11.36</v>
      </c>
      <c r="O434">
        <v>16.329999999999998</v>
      </c>
      <c r="P434">
        <v>3</v>
      </c>
      <c r="Q434">
        <v>7</v>
      </c>
      <c r="R434">
        <v>5.62</v>
      </c>
      <c r="U434">
        <f>H434*(1-N434%)</f>
        <v>31.289919999999995</v>
      </c>
      <c r="V434">
        <f>U434*I434</f>
        <v>2159.0044799999996</v>
      </c>
      <c r="W434" t="e">
        <f>#REF!-V434</f>
        <v>#REF!</v>
      </c>
      <c r="X434" t="e">
        <f t="shared" si="6"/>
        <v>#REF!</v>
      </c>
    </row>
    <row r="435" spans="1:24" x14ac:dyDescent="0.3">
      <c r="A435">
        <v>1434</v>
      </c>
      <c r="B435" s="2">
        <v>44630</v>
      </c>
      <c r="C435" t="s">
        <v>29</v>
      </c>
      <c r="D435" t="s">
        <v>34</v>
      </c>
      <c r="E435" t="s">
        <v>25</v>
      </c>
      <c r="F435" t="s">
        <v>26</v>
      </c>
      <c r="G435" t="s">
        <v>40</v>
      </c>
      <c r="H435">
        <v>63.42</v>
      </c>
      <c r="I435">
        <v>91</v>
      </c>
      <c r="J435" s="1">
        <f>(H435*I435)+O435</f>
        <v>5856.77</v>
      </c>
      <c r="K435" s="1">
        <f>(H435*I435)+O435-N435</f>
        <v>5844.1200000000008</v>
      </c>
      <c r="L435">
        <v>1322.71</v>
      </c>
      <c r="M435" t="s">
        <v>44</v>
      </c>
      <c r="N435">
        <v>12.65</v>
      </c>
      <c r="O435">
        <v>85.55</v>
      </c>
      <c r="P435">
        <v>3</v>
      </c>
      <c r="Q435">
        <v>8</v>
      </c>
      <c r="R435">
        <v>4.57</v>
      </c>
      <c r="U435">
        <f>H435*(1-N435%)</f>
        <v>55.397369999999995</v>
      </c>
      <c r="V435">
        <f>U435*I435</f>
        <v>5041.1606699999993</v>
      </c>
      <c r="W435" t="e">
        <f>#REF!-V435</f>
        <v>#REF!</v>
      </c>
      <c r="X435" t="e">
        <f t="shared" si="6"/>
        <v>#REF!</v>
      </c>
    </row>
    <row r="436" spans="1:24" x14ac:dyDescent="0.3">
      <c r="A436">
        <v>1435</v>
      </c>
      <c r="B436" s="2">
        <v>44631</v>
      </c>
      <c r="C436" t="s">
        <v>57</v>
      </c>
      <c r="D436" t="s">
        <v>34</v>
      </c>
      <c r="E436" t="s">
        <v>25</v>
      </c>
      <c r="F436" t="s">
        <v>39</v>
      </c>
      <c r="G436" t="s">
        <v>47</v>
      </c>
      <c r="H436">
        <v>40.57</v>
      </c>
      <c r="I436">
        <v>93</v>
      </c>
      <c r="J436" s="1">
        <f>(H436*I436)+O436</f>
        <v>3816.1000000000004</v>
      </c>
      <c r="K436" s="1">
        <f>(H436*I436)+O436-N436</f>
        <v>3808.7700000000004</v>
      </c>
      <c r="L436">
        <v>737.62</v>
      </c>
      <c r="M436" t="s">
        <v>44</v>
      </c>
      <c r="N436">
        <v>7.33</v>
      </c>
      <c r="O436">
        <v>43.09</v>
      </c>
      <c r="P436">
        <v>1</v>
      </c>
      <c r="Q436">
        <v>16</v>
      </c>
      <c r="R436">
        <v>8.94</v>
      </c>
      <c r="U436">
        <f>H436*(1-N436%)</f>
        <v>37.596218999999998</v>
      </c>
      <c r="V436">
        <f>U436*I436</f>
        <v>3496.448367</v>
      </c>
      <c r="W436" t="e">
        <f>#REF!-V436</f>
        <v>#REF!</v>
      </c>
      <c r="X436" t="e">
        <f t="shared" si="6"/>
        <v>#REF!</v>
      </c>
    </row>
    <row r="437" spans="1:24" x14ac:dyDescent="0.3">
      <c r="A437">
        <v>1436</v>
      </c>
      <c r="B437" s="2">
        <v>44632</v>
      </c>
      <c r="C437" t="s">
        <v>52</v>
      </c>
      <c r="D437" t="s">
        <v>54</v>
      </c>
      <c r="E437" t="s">
        <v>35</v>
      </c>
      <c r="F437" t="s">
        <v>32</v>
      </c>
      <c r="G437" t="s">
        <v>27</v>
      </c>
      <c r="H437">
        <v>47.27</v>
      </c>
      <c r="I437">
        <v>17</v>
      </c>
      <c r="J437" s="1">
        <f>(H437*I437)+O437</f>
        <v>812.21</v>
      </c>
      <c r="K437" s="1">
        <f>(H437*I437)+O437-N437</f>
        <v>809.42000000000007</v>
      </c>
      <c r="L437">
        <v>258.31</v>
      </c>
      <c r="M437" t="s">
        <v>44</v>
      </c>
      <c r="N437">
        <v>2.79</v>
      </c>
      <c r="O437">
        <v>8.6199999999999992</v>
      </c>
      <c r="P437">
        <v>2</v>
      </c>
      <c r="Q437">
        <v>24</v>
      </c>
      <c r="R437">
        <v>0.76</v>
      </c>
      <c r="U437">
        <f>H437*(1-N437%)</f>
        <v>45.951166999999998</v>
      </c>
      <c r="V437">
        <f>U437*I437</f>
        <v>781.16983899999991</v>
      </c>
      <c r="W437" t="e">
        <f>#REF!-V437</f>
        <v>#REF!</v>
      </c>
      <c r="X437" t="e">
        <f t="shared" si="6"/>
        <v>#REF!</v>
      </c>
    </row>
    <row r="438" spans="1:24" x14ac:dyDescent="0.3">
      <c r="A438">
        <v>1437</v>
      </c>
      <c r="B438" s="2">
        <v>44633</v>
      </c>
      <c r="C438" t="s">
        <v>29</v>
      </c>
      <c r="D438" t="s">
        <v>46</v>
      </c>
      <c r="E438" t="s">
        <v>31</v>
      </c>
      <c r="F438" t="s">
        <v>26</v>
      </c>
      <c r="G438" t="s">
        <v>43</v>
      </c>
      <c r="H438">
        <v>36.880000000000003</v>
      </c>
      <c r="I438">
        <v>72</v>
      </c>
      <c r="J438" s="1">
        <f>(H438*I438)+O438</f>
        <v>2724.9300000000003</v>
      </c>
      <c r="K438" s="1">
        <f>(H438*I438)+O438-N438</f>
        <v>2711.11</v>
      </c>
      <c r="L438">
        <v>1014.86</v>
      </c>
      <c r="M438" t="s">
        <v>37</v>
      </c>
      <c r="N438">
        <v>13.82</v>
      </c>
      <c r="O438">
        <v>69.569999999999993</v>
      </c>
      <c r="P438">
        <v>3</v>
      </c>
      <c r="Q438">
        <v>14</v>
      </c>
      <c r="R438">
        <v>8.14</v>
      </c>
      <c r="U438">
        <f>H438*(1-N438%)</f>
        <v>31.783184000000002</v>
      </c>
      <c r="V438">
        <f>U438*I438</f>
        <v>2288.389248</v>
      </c>
      <c r="W438" t="e">
        <f>#REF!-V438</f>
        <v>#REF!</v>
      </c>
      <c r="X438" t="e">
        <f t="shared" si="6"/>
        <v>#REF!</v>
      </c>
    </row>
    <row r="439" spans="1:24" x14ac:dyDescent="0.3">
      <c r="A439">
        <v>1438</v>
      </c>
      <c r="B439" s="2">
        <v>44634</v>
      </c>
      <c r="C439" t="s">
        <v>56</v>
      </c>
      <c r="D439" t="s">
        <v>55</v>
      </c>
      <c r="E439" t="s">
        <v>35</v>
      </c>
      <c r="F439" t="s">
        <v>26</v>
      </c>
      <c r="G439" t="s">
        <v>40</v>
      </c>
      <c r="H439">
        <v>56.99</v>
      </c>
      <c r="I439">
        <v>87</v>
      </c>
      <c r="J439" s="1">
        <f>(H439*I439)+O439</f>
        <v>5017.75</v>
      </c>
      <c r="K439" s="1">
        <f>(H439*I439)+O439-N439</f>
        <v>5016.97</v>
      </c>
      <c r="L439">
        <v>1105.21</v>
      </c>
      <c r="M439" t="s">
        <v>28</v>
      </c>
      <c r="N439">
        <v>0.78</v>
      </c>
      <c r="O439">
        <v>59.62</v>
      </c>
      <c r="P439">
        <v>2</v>
      </c>
      <c r="Q439">
        <v>29</v>
      </c>
      <c r="R439">
        <v>4.32</v>
      </c>
      <c r="U439">
        <f>H439*(1-N439%)</f>
        <v>56.545478000000003</v>
      </c>
      <c r="V439">
        <f>U439*I439</f>
        <v>4919.4565860000002</v>
      </c>
      <c r="W439" t="e">
        <f>#REF!-V439</f>
        <v>#REF!</v>
      </c>
      <c r="X439" t="e">
        <f t="shared" si="6"/>
        <v>#REF!</v>
      </c>
    </row>
    <row r="440" spans="1:24" x14ac:dyDescent="0.3">
      <c r="A440">
        <v>1439</v>
      </c>
      <c r="B440" s="2">
        <v>44635</v>
      </c>
      <c r="C440" t="s">
        <v>23</v>
      </c>
      <c r="D440" t="s">
        <v>30</v>
      </c>
      <c r="E440" t="s">
        <v>31</v>
      </c>
      <c r="F440" t="s">
        <v>32</v>
      </c>
      <c r="G440" t="s">
        <v>36</v>
      </c>
      <c r="H440">
        <v>58.86</v>
      </c>
      <c r="I440">
        <v>64</v>
      </c>
      <c r="J440" s="1">
        <f>(H440*I440)+O440</f>
        <v>3800.17</v>
      </c>
      <c r="K440" s="1">
        <f>(H440*I440)+O440-N440</f>
        <v>3786.4300000000003</v>
      </c>
      <c r="L440">
        <v>1161.92</v>
      </c>
      <c r="M440" t="s">
        <v>37</v>
      </c>
      <c r="N440">
        <v>13.74</v>
      </c>
      <c r="O440">
        <v>33.130000000000003</v>
      </c>
      <c r="P440">
        <v>3</v>
      </c>
      <c r="Q440">
        <v>17</v>
      </c>
      <c r="R440">
        <v>1.87</v>
      </c>
      <c r="U440">
        <f>H440*(1-N440%)</f>
        <v>50.772635999999999</v>
      </c>
      <c r="V440">
        <f>U440*I440</f>
        <v>3249.4487039999999</v>
      </c>
      <c r="W440" t="e">
        <f>#REF!-V440</f>
        <v>#REF!</v>
      </c>
      <c r="X440" t="e">
        <f t="shared" si="6"/>
        <v>#REF!</v>
      </c>
    </row>
    <row r="441" spans="1:24" x14ac:dyDescent="0.3">
      <c r="A441">
        <v>1440</v>
      </c>
      <c r="B441" s="2">
        <v>44636</v>
      </c>
      <c r="C441" t="s">
        <v>56</v>
      </c>
      <c r="D441" t="s">
        <v>49</v>
      </c>
      <c r="E441" t="s">
        <v>31</v>
      </c>
      <c r="F441" t="s">
        <v>26</v>
      </c>
      <c r="G441" t="s">
        <v>36</v>
      </c>
      <c r="H441">
        <v>49.5</v>
      </c>
      <c r="I441">
        <v>96</v>
      </c>
      <c r="J441" s="1">
        <f>(H441*I441)+O441</f>
        <v>4793.2299999999996</v>
      </c>
      <c r="K441" s="1">
        <f>(H441*I441)+O441-N441</f>
        <v>4783.7</v>
      </c>
      <c r="L441">
        <v>83.05</v>
      </c>
      <c r="M441" t="s">
        <v>44</v>
      </c>
      <c r="N441">
        <v>9.5299999999999994</v>
      </c>
      <c r="O441">
        <v>41.23</v>
      </c>
      <c r="P441">
        <v>1</v>
      </c>
      <c r="Q441">
        <v>19</v>
      </c>
      <c r="R441">
        <v>7.73</v>
      </c>
      <c r="U441">
        <f>H441*(1-N441%)</f>
        <v>44.782650000000004</v>
      </c>
      <c r="V441">
        <f>U441*I441</f>
        <v>4299.1344000000008</v>
      </c>
      <c r="W441" t="e">
        <f>#REF!-V441</f>
        <v>#REF!</v>
      </c>
      <c r="X441" t="e">
        <f t="shared" si="6"/>
        <v>#REF!</v>
      </c>
    </row>
    <row r="442" spans="1:24" x14ac:dyDescent="0.3">
      <c r="A442">
        <v>1441</v>
      </c>
      <c r="B442" s="2">
        <v>44637</v>
      </c>
      <c r="C442" t="s">
        <v>51</v>
      </c>
      <c r="D442" t="s">
        <v>24</v>
      </c>
      <c r="E442" t="s">
        <v>42</v>
      </c>
      <c r="F442" t="s">
        <v>26</v>
      </c>
      <c r="G442" t="s">
        <v>40</v>
      </c>
      <c r="H442">
        <v>70.510000000000005</v>
      </c>
      <c r="I442">
        <v>39</v>
      </c>
      <c r="J442" s="1">
        <f>(H442*I442)+O442</f>
        <v>2770.5200000000004</v>
      </c>
      <c r="K442" s="1">
        <f>(H442*I442)+O442-N442</f>
        <v>2765.0700000000006</v>
      </c>
      <c r="L442">
        <v>790.02</v>
      </c>
      <c r="M442" t="s">
        <v>44</v>
      </c>
      <c r="N442">
        <v>5.45</v>
      </c>
      <c r="O442">
        <v>20.63</v>
      </c>
      <c r="P442">
        <v>4</v>
      </c>
      <c r="Q442">
        <v>1</v>
      </c>
      <c r="R442">
        <v>5.73</v>
      </c>
      <c r="U442">
        <f>H442*(1-N442%)</f>
        <v>66.66720500000001</v>
      </c>
      <c r="V442">
        <f>U442*I442</f>
        <v>2600.0209950000003</v>
      </c>
      <c r="W442" t="e">
        <f>#REF!-V442</f>
        <v>#REF!</v>
      </c>
      <c r="X442" t="e">
        <f t="shared" si="6"/>
        <v>#REF!</v>
      </c>
    </row>
    <row r="443" spans="1:24" x14ac:dyDescent="0.3">
      <c r="A443">
        <v>1442</v>
      </c>
      <c r="B443" s="2">
        <v>44638</v>
      </c>
      <c r="C443" t="s">
        <v>48</v>
      </c>
      <c r="D443" t="s">
        <v>49</v>
      </c>
      <c r="E443" t="s">
        <v>35</v>
      </c>
      <c r="F443" t="s">
        <v>39</v>
      </c>
      <c r="G443" t="s">
        <v>27</v>
      </c>
      <c r="H443">
        <v>31.88</v>
      </c>
      <c r="I443">
        <v>38</v>
      </c>
      <c r="J443" s="1">
        <f>(H443*I443)+O443</f>
        <v>1259.95</v>
      </c>
      <c r="K443" s="1">
        <f>(H443*I443)+O443-N443</f>
        <v>1253.32</v>
      </c>
      <c r="L443">
        <v>854.9</v>
      </c>
      <c r="M443" t="s">
        <v>28</v>
      </c>
      <c r="N443">
        <v>6.63</v>
      </c>
      <c r="O443">
        <v>48.51</v>
      </c>
      <c r="P443">
        <v>2</v>
      </c>
      <c r="Q443">
        <v>30</v>
      </c>
      <c r="R443">
        <v>6.9</v>
      </c>
      <c r="U443">
        <f>H443*(1-N443%)</f>
        <v>29.766355999999998</v>
      </c>
      <c r="V443">
        <f>U443*I443</f>
        <v>1131.1215279999999</v>
      </c>
      <c r="W443" t="e">
        <f>#REF!-V443</f>
        <v>#REF!</v>
      </c>
      <c r="X443" t="e">
        <f t="shared" si="6"/>
        <v>#REF!</v>
      </c>
    </row>
    <row r="444" spans="1:24" x14ac:dyDescent="0.3">
      <c r="A444">
        <v>1443</v>
      </c>
      <c r="B444" s="2">
        <v>44639</v>
      </c>
      <c r="C444" t="s">
        <v>41</v>
      </c>
      <c r="D444" t="s">
        <v>34</v>
      </c>
      <c r="E444" t="s">
        <v>42</v>
      </c>
      <c r="F444" t="s">
        <v>32</v>
      </c>
      <c r="G444" t="s">
        <v>47</v>
      </c>
      <c r="H444">
        <v>16.13</v>
      </c>
      <c r="I444">
        <v>32</v>
      </c>
      <c r="J444" s="1">
        <f>(H444*I444)+O444</f>
        <v>532.16999999999996</v>
      </c>
      <c r="K444" s="1">
        <f>(H444*I444)+O444-N444</f>
        <v>522.51</v>
      </c>
      <c r="L444">
        <v>233.63</v>
      </c>
      <c r="M444" t="s">
        <v>37</v>
      </c>
      <c r="N444">
        <v>9.66</v>
      </c>
      <c r="O444">
        <v>16.010000000000002</v>
      </c>
      <c r="P444">
        <v>5</v>
      </c>
      <c r="Q444">
        <v>11</v>
      </c>
      <c r="R444">
        <v>2.56</v>
      </c>
      <c r="U444">
        <f>H444*(1-N444%)</f>
        <v>14.571841999999998</v>
      </c>
      <c r="V444">
        <f>U444*I444</f>
        <v>466.29894399999995</v>
      </c>
      <c r="W444" t="e">
        <f>#REF!-V444</f>
        <v>#REF!</v>
      </c>
      <c r="X444" t="e">
        <f t="shared" si="6"/>
        <v>#REF!</v>
      </c>
    </row>
    <row r="445" spans="1:24" x14ac:dyDescent="0.3">
      <c r="A445">
        <v>1444</v>
      </c>
      <c r="B445" s="2">
        <v>44640</v>
      </c>
      <c r="C445" t="s">
        <v>23</v>
      </c>
      <c r="D445" t="s">
        <v>54</v>
      </c>
      <c r="E445" t="s">
        <v>42</v>
      </c>
      <c r="F445" t="s">
        <v>26</v>
      </c>
      <c r="G445" t="s">
        <v>50</v>
      </c>
      <c r="H445">
        <v>25.96</v>
      </c>
      <c r="I445">
        <v>24</v>
      </c>
      <c r="J445" s="1">
        <f>(H445*I445)+O445</f>
        <v>691.55</v>
      </c>
      <c r="K445" s="1">
        <f>(H445*I445)+O445-N445</f>
        <v>680.53</v>
      </c>
      <c r="L445">
        <v>1258.56</v>
      </c>
      <c r="M445" t="s">
        <v>37</v>
      </c>
      <c r="N445">
        <v>11.02</v>
      </c>
      <c r="O445">
        <v>68.510000000000005</v>
      </c>
      <c r="P445">
        <v>1</v>
      </c>
      <c r="Q445">
        <v>4</v>
      </c>
      <c r="R445">
        <v>4.3099999999999996</v>
      </c>
      <c r="U445">
        <f>H445*(1-N445%)</f>
        <v>23.099208000000001</v>
      </c>
      <c r="V445">
        <f>U445*I445</f>
        <v>554.38099199999999</v>
      </c>
      <c r="W445" t="e">
        <f>#REF!-V445</f>
        <v>#REF!</v>
      </c>
      <c r="X445" t="e">
        <f t="shared" si="6"/>
        <v>#REF!</v>
      </c>
    </row>
    <row r="446" spans="1:24" x14ac:dyDescent="0.3">
      <c r="A446">
        <v>1445</v>
      </c>
      <c r="B446" s="2">
        <v>44641</v>
      </c>
      <c r="C446" t="s">
        <v>33</v>
      </c>
      <c r="D446" t="s">
        <v>24</v>
      </c>
      <c r="E446" t="s">
        <v>31</v>
      </c>
      <c r="F446" t="s">
        <v>26</v>
      </c>
      <c r="G446" t="s">
        <v>47</v>
      </c>
      <c r="H446">
        <v>69.08</v>
      </c>
      <c r="I446">
        <v>40</v>
      </c>
      <c r="J446" s="1">
        <f>(H446*I446)+O446</f>
        <v>2827.0499999999997</v>
      </c>
      <c r="K446" s="1">
        <f>(H446*I446)+O446-N446</f>
        <v>2814.39</v>
      </c>
      <c r="L446">
        <v>870.98</v>
      </c>
      <c r="M446" t="s">
        <v>44</v>
      </c>
      <c r="N446">
        <v>12.66</v>
      </c>
      <c r="O446">
        <v>63.85</v>
      </c>
      <c r="P446">
        <v>4</v>
      </c>
      <c r="Q446">
        <v>19</v>
      </c>
      <c r="R446">
        <v>1.23</v>
      </c>
      <c r="U446">
        <f>H446*(1-N446%)</f>
        <v>60.334471999999998</v>
      </c>
      <c r="V446">
        <f>U446*I446</f>
        <v>2413.3788799999998</v>
      </c>
      <c r="W446" t="e">
        <f>#REF!-V446</f>
        <v>#REF!</v>
      </c>
      <c r="X446" t="e">
        <f t="shared" si="6"/>
        <v>#REF!</v>
      </c>
    </row>
    <row r="447" spans="1:24" x14ac:dyDescent="0.3">
      <c r="A447">
        <v>1446</v>
      </c>
      <c r="B447" s="2">
        <v>44642</v>
      </c>
      <c r="C447" t="s">
        <v>56</v>
      </c>
      <c r="D447" t="s">
        <v>24</v>
      </c>
      <c r="E447" t="s">
        <v>42</v>
      </c>
      <c r="F447" t="s">
        <v>39</v>
      </c>
      <c r="G447" t="s">
        <v>47</v>
      </c>
      <c r="H447">
        <v>27.84</v>
      </c>
      <c r="I447">
        <v>17</v>
      </c>
      <c r="J447" s="1">
        <f>(H447*I447)+O447</f>
        <v>509.4</v>
      </c>
      <c r="K447" s="1">
        <f>(H447*I447)+O447-N447</f>
        <v>494.08</v>
      </c>
      <c r="L447">
        <v>846.75</v>
      </c>
      <c r="M447" t="s">
        <v>44</v>
      </c>
      <c r="N447">
        <v>15.32</v>
      </c>
      <c r="O447">
        <v>36.119999999999997</v>
      </c>
      <c r="P447">
        <v>2</v>
      </c>
      <c r="Q447">
        <v>25</v>
      </c>
      <c r="R447">
        <v>9.0500000000000007</v>
      </c>
      <c r="U447">
        <f>H447*(1-N447%)</f>
        <v>23.574912000000001</v>
      </c>
      <c r="V447">
        <f>U447*I447</f>
        <v>400.773504</v>
      </c>
      <c r="W447" t="e">
        <f>#REF!-V447</f>
        <v>#REF!</v>
      </c>
      <c r="X447" t="e">
        <f t="shared" si="6"/>
        <v>#REF!</v>
      </c>
    </row>
    <row r="448" spans="1:24" x14ac:dyDescent="0.3">
      <c r="A448">
        <v>1447</v>
      </c>
      <c r="B448" s="2">
        <v>44643</v>
      </c>
      <c r="C448" t="s">
        <v>38</v>
      </c>
      <c r="D448" t="s">
        <v>24</v>
      </c>
      <c r="E448" t="s">
        <v>35</v>
      </c>
      <c r="F448" t="s">
        <v>39</v>
      </c>
      <c r="G448" t="s">
        <v>53</v>
      </c>
      <c r="H448">
        <v>57.78</v>
      </c>
      <c r="I448">
        <v>29</v>
      </c>
      <c r="J448" s="1">
        <f>(H448*I448)+O448</f>
        <v>1689.5300000000002</v>
      </c>
      <c r="K448" s="1">
        <f>(H448*I448)+O448-N448</f>
        <v>1672.7200000000003</v>
      </c>
      <c r="L448">
        <v>1120.17</v>
      </c>
      <c r="M448" t="s">
        <v>37</v>
      </c>
      <c r="N448">
        <v>16.809999999999999</v>
      </c>
      <c r="O448">
        <v>13.91</v>
      </c>
      <c r="P448">
        <v>2</v>
      </c>
      <c r="Q448">
        <v>8</v>
      </c>
      <c r="R448">
        <v>5.17</v>
      </c>
      <c r="U448">
        <f>H448*(1-N448%)</f>
        <v>48.067182000000003</v>
      </c>
      <c r="V448">
        <f>U448*I448</f>
        <v>1393.9482780000001</v>
      </c>
      <c r="W448" t="e">
        <f>#REF!-V448</f>
        <v>#REF!</v>
      </c>
      <c r="X448" t="e">
        <f t="shared" si="6"/>
        <v>#REF!</v>
      </c>
    </row>
    <row r="449" spans="1:24" x14ac:dyDescent="0.3">
      <c r="A449">
        <v>1448</v>
      </c>
      <c r="B449" s="2">
        <v>44644</v>
      </c>
      <c r="C449" t="s">
        <v>48</v>
      </c>
      <c r="D449" t="s">
        <v>54</v>
      </c>
      <c r="E449" t="s">
        <v>35</v>
      </c>
      <c r="F449" t="s">
        <v>39</v>
      </c>
      <c r="G449" t="s">
        <v>40</v>
      </c>
      <c r="H449">
        <v>23.5</v>
      </c>
      <c r="I449">
        <v>23</v>
      </c>
      <c r="J449" s="1">
        <f>(H449*I449)+O449</f>
        <v>624.36</v>
      </c>
      <c r="K449" s="1">
        <f>(H449*I449)+O449-N449</f>
        <v>618.79</v>
      </c>
      <c r="L449">
        <v>420.87</v>
      </c>
      <c r="M449" t="s">
        <v>28</v>
      </c>
      <c r="N449">
        <v>5.57</v>
      </c>
      <c r="O449">
        <v>83.86</v>
      </c>
      <c r="P449">
        <v>1</v>
      </c>
      <c r="Q449">
        <v>4</v>
      </c>
      <c r="R449">
        <v>7.78</v>
      </c>
      <c r="U449">
        <f>H449*(1-N449%)</f>
        <v>22.191050000000001</v>
      </c>
      <c r="V449">
        <f>U449*I449</f>
        <v>510.39415000000002</v>
      </c>
      <c r="W449" t="e">
        <f>#REF!-V449</f>
        <v>#REF!</v>
      </c>
      <c r="X449" t="e">
        <f t="shared" si="6"/>
        <v>#REF!</v>
      </c>
    </row>
    <row r="450" spans="1:24" x14ac:dyDescent="0.3">
      <c r="A450">
        <v>1449</v>
      </c>
      <c r="B450" s="2">
        <v>44645</v>
      </c>
      <c r="C450" t="s">
        <v>52</v>
      </c>
      <c r="D450" t="s">
        <v>58</v>
      </c>
      <c r="E450" t="s">
        <v>35</v>
      </c>
      <c r="F450" t="s">
        <v>39</v>
      </c>
      <c r="G450" t="s">
        <v>36</v>
      </c>
      <c r="H450">
        <v>8.6</v>
      </c>
      <c r="I450">
        <v>21</v>
      </c>
      <c r="J450" s="1">
        <f>(H450*I450)+O450</f>
        <v>246.29</v>
      </c>
      <c r="K450" s="1">
        <f>(H450*I450)+O450-N450</f>
        <v>241.10999999999999</v>
      </c>
      <c r="L450">
        <v>1018.13</v>
      </c>
      <c r="M450" t="s">
        <v>37</v>
      </c>
      <c r="N450">
        <v>5.18</v>
      </c>
      <c r="O450">
        <v>65.69</v>
      </c>
      <c r="P450">
        <v>3</v>
      </c>
      <c r="Q450">
        <v>3</v>
      </c>
      <c r="R450">
        <v>8.9700000000000006</v>
      </c>
      <c r="U450">
        <f>H450*(1-N450%)</f>
        <v>8.1545199999999998</v>
      </c>
      <c r="V450">
        <f>U450*I450</f>
        <v>171.24492000000001</v>
      </c>
      <c r="W450" t="e">
        <f>#REF!-V450</f>
        <v>#REF!</v>
      </c>
      <c r="X450" t="e">
        <f t="shared" si="6"/>
        <v>#REF!</v>
      </c>
    </row>
    <row r="451" spans="1:24" x14ac:dyDescent="0.3">
      <c r="A451">
        <v>1450</v>
      </c>
      <c r="B451" s="2">
        <v>44646</v>
      </c>
      <c r="C451" t="s">
        <v>57</v>
      </c>
      <c r="D451" t="s">
        <v>34</v>
      </c>
      <c r="E451" t="s">
        <v>25</v>
      </c>
      <c r="F451" t="s">
        <v>26</v>
      </c>
      <c r="G451" t="s">
        <v>50</v>
      </c>
      <c r="H451">
        <v>71.510000000000005</v>
      </c>
      <c r="I451">
        <v>54</v>
      </c>
      <c r="J451" s="1">
        <f>(H451*I451)+O451</f>
        <v>3882.28</v>
      </c>
      <c r="K451" s="1">
        <f>(H451*I451)+O451-N451</f>
        <v>3878.76</v>
      </c>
      <c r="L451">
        <v>1167.1400000000001</v>
      </c>
      <c r="M451" t="s">
        <v>28</v>
      </c>
      <c r="N451">
        <v>3.52</v>
      </c>
      <c r="O451">
        <v>20.74</v>
      </c>
      <c r="P451">
        <v>1</v>
      </c>
      <c r="Q451">
        <v>14</v>
      </c>
      <c r="R451">
        <v>0.99</v>
      </c>
      <c r="U451">
        <f>H451*(1-N451%)</f>
        <v>68.992848000000009</v>
      </c>
      <c r="V451">
        <f>U451*I451</f>
        <v>3725.6137920000006</v>
      </c>
      <c r="W451" t="e">
        <f>#REF!-V451</f>
        <v>#REF!</v>
      </c>
      <c r="X451" t="e">
        <f t="shared" ref="X451:X501" si="7">(L451/W451)*100</f>
        <v>#REF!</v>
      </c>
    </row>
    <row r="452" spans="1:24" x14ac:dyDescent="0.3">
      <c r="A452">
        <v>1451</v>
      </c>
      <c r="B452" s="2">
        <v>44647</v>
      </c>
      <c r="C452" t="s">
        <v>57</v>
      </c>
      <c r="D452" t="s">
        <v>54</v>
      </c>
      <c r="E452" t="s">
        <v>35</v>
      </c>
      <c r="F452" t="s">
        <v>26</v>
      </c>
      <c r="G452" t="s">
        <v>47</v>
      </c>
      <c r="H452">
        <v>31.53</v>
      </c>
      <c r="I452">
        <v>11</v>
      </c>
      <c r="J452" s="1">
        <f>(H452*I452)+O452</f>
        <v>444.16</v>
      </c>
      <c r="K452" s="1">
        <f>(H452*I452)+O452-N452</f>
        <v>438.14000000000004</v>
      </c>
      <c r="L452">
        <v>1437.02</v>
      </c>
      <c r="M452" t="s">
        <v>44</v>
      </c>
      <c r="N452">
        <v>6.02</v>
      </c>
      <c r="O452">
        <v>97.33</v>
      </c>
      <c r="P452">
        <v>5</v>
      </c>
      <c r="Q452">
        <v>30</v>
      </c>
      <c r="R452">
        <v>1.1200000000000001</v>
      </c>
      <c r="U452">
        <f>H452*(1-N452%)</f>
        <v>29.631893999999999</v>
      </c>
      <c r="V452">
        <f>U452*I452</f>
        <v>325.95083399999999</v>
      </c>
      <c r="W452" t="e">
        <f>#REF!-V452</f>
        <v>#REF!</v>
      </c>
      <c r="X452" t="e">
        <f t="shared" si="7"/>
        <v>#REF!</v>
      </c>
    </row>
    <row r="453" spans="1:24" x14ac:dyDescent="0.3">
      <c r="A453">
        <v>1452</v>
      </c>
      <c r="B453" s="2">
        <v>44648</v>
      </c>
      <c r="C453" t="s">
        <v>52</v>
      </c>
      <c r="D453" t="s">
        <v>49</v>
      </c>
      <c r="E453" t="s">
        <v>42</v>
      </c>
      <c r="F453" t="s">
        <v>26</v>
      </c>
      <c r="G453" t="s">
        <v>43</v>
      </c>
      <c r="H453">
        <v>30</v>
      </c>
      <c r="I453">
        <v>44</v>
      </c>
      <c r="J453" s="1">
        <f>(H453*I453)+O453</f>
        <v>1364.83</v>
      </c>
      <c r="K453" s="1">
        <f>(H453*I453)+O453-N453</f>
        <v>1361.1</v>
      </c>
      <c r="L453">
        <v>1498.97</v>
      </c>
      <c r="M453" t="s">
        <v>37</v>
      </c>
      <c r="N453">
        <v>3.73</v>
      </c>
      <c r="O453">
        <v>44.83</v>
      </c>
      <c r="P453">
        <v>3</v>
      </c>
      <c r="Q453">
        <v>19</v>
      </c>
      <c r="R453">
        <v>9.9499999999999993</v>
      </c>
      <c r="U453">
        <f>H453*(1-N453%)</f>
        <v>28.881</v>
      </c>
      <c r="V453">
        <f>U453*I453</f>
        <v>1270.7640000000001</v>
      </c>
      <c r="W453" t="e">
        <f>#REF!-V453</f>
        <v>#REF!</v>
      </c>
      <c r="X453" t="e">
        <f t="shared" si="7"/>
        <v>#REF!</v>
      </c>
    </row>
    <row r="454" spans="1:24" x14ac:dyDescent="0.3">
      <c r="A454">
        <v>1453</v>
      </c>
      <c r="B454" s="2">
        <v>44649</v>
      </c>
      <c r="C454" t="s">
        <v>52</v>
      </c>
      <c r="D454" t="s">
        <v>46</v>
      </c>
      <c r="E454" t="s">
        <v>35</v>
      </c>
      <c r="F454" t="s">
        <v>39</v>
      </c>
      <c r="G454" t="s">
        <v>40</v>
      </c>
      <c r="H454">
        <v>25.31</v>
      </c>
      <c r="I454">
        <v>80</v>
      </c>
      <c r="J454" s="1">
        <f>(H454*I454)+O454</f>
        <v>2059.7599999999998</v>
      </c>
      <c r="K454" s="1">
        <f>(H454*I454)+O454-N454</f>
        <v>2057.8399999999997</v>
      </c>
      <c r="L454">
        <v>1358.57</v>
      </c>
      <c r="M454" t="s">
        <v>44</v>
      </c>
      <c r="N454">
        <v>1.92</v>
      </c>
      <c r="O454">
        <v>34.96</v>
      </c>
      <c r="P454">
        <v>1</v>
      </c>
      <c r="Q454">
        <v>9</v>
      </c>
      <c r="R454">
        <v>2.67</v>
      </c>
      <c r="U454">
        <f>H454*(1-N454%)</f>
        <v>24.824047999999998</v>
      </c>
      <c r="V454">
        <f>U454*I454</f>
        <v>1985.9238399999999</v>
      </c>
      <c r="W454" t="e">
        <f>#REF!-V454</f>
        <v>#REF!</v>
      </c>
      <c r="X454" t="e">
        <f t="shared" si="7"/>
        <v>#REF!</v>
      </c>
    </row>
    <row r="455" spans="1:24" x14ac:dyDescent="0.3">
      <c r="A455">
        <v>1454</v>
      </c>
      <c r="B455" s="2">
        <v>44650</v>
      </c>
      <c r="C455" t="s">
        <v>38</v>
      </c>
      <c r="D455" t="s">
        <v>58</v>
      </c>
      <c r="E455" t="s">
        <v>35</v>
      </c>
      <c r="F455" t="s">
        <v>39</v>
      </c>
      <c r="G455" t="s">
        <v>40</v>
      </c>
      <c r="H455">
        <v>73</v>
      </c>
      <c r="I455">
        <v>86</v>
      </c>
      <c r="J455" s="1">
        <f>(H455*I455)+O455</f>
        <v>6350.51</v>
      </c>
      <c r="K455" s="1">
        <f>(H455*I455)+O455-N455</f>
        <v>6344.6</v>
      </c>
      <c r="L455">
        <v>306.04000000000002</v>
      </c>
      <c r="M455" t="s">
        <v>44</v>
      </c>
      <c r="N455">
        <v>5.91</v>
      </c>
      <c r="O455">
        <v>72.510000000000005</v>
      </c>
      <c r="P455">
        <v>3</v>
      </c>
      <c r="Q455">
        <v>25</v>
      </c>
      <c r="R455">
        <v>8.83</v>
      </c>
      <c r="U455">
        <f>H455*(1-N455%)</f>
        <v>68.685699999999997</v>
      </c>
      <c r="V455">
        <f>U455*I455</f>
        <v>5906.9701999999997</v>
      </c>
      <c r="W455" t="e">
        <f>#REF!-V455</f>
        <v>#REF!</v>
      </c>
      <c r="X455" t="e">
        <f t="shared" si="7"/>
        <v>#REF!</v>
      </c>
    </row>
    <row r="456" spans="1:24" x14ac:dyDescent="0.3">
      <c r="A456">
        <v>1455</v>
      </c>
      <c r="B456" s="2">
        <v>44651</v>
      </c>
      <c r="C456" t="s">
        <v>52</v>
      </c>
      <c r="D456" t="s">
        <v>24</v>
      </c>
      <c r="E456" t="s">
        <v>35</v>
      </c>
      <c r="F456" t="s">
        <v>26</v>
      </c>
      <c r="G456" t="s">
        <v>47</v>
      </c>
      <c r="H456">
        <v>11.52</v>
      </c>
      <c r="I456">
        <v>28</v>
      </c>
      <c r="J456" s="1">
        <f>(H456*I456)+O456</f>
        <v>356.56</v>
      </c>
      <c r="K456" s="1">
        <f>(H456*I456)+O456-N456</f>
        <v>352.43</v>
      </c>
      <c r="L456">
        <v>1283.96</v>
      </c>
      <c r="M456" t="s">
        <v>28</v>
      </c>
      <c r="N456">
        <v>4.13</v>
      </c>
      <c r="O456">
        <v>34</v>
      </c>
      <c r="P456">
        <v>5</v>
      </c>
      <c r="Q456">
        <v>19</v>
      </c>
      <c r="R456">
        <v>4.25</v>
      </c>
      <c r="U456">
        <f>H456*(1-N456%)</f>
        <v>11.044224</v>
      </c>
      <c r="V456">
        <f>U456*I456</f>
        <v>309.23827199999999</v>
      </c>
      <c r="W456" t="e">
        <f>#REF!-V456</f>
        <v>#REF!</v>
      </c>
      <c r="X456" t="e">
        <f t="shared" si="7"/>
        <v>#REF!</v>
      </c>
    </row>
    <row r="457" spans="1:24" x14ac:dyDescent="0.3">
      <c r="A457">
        <v>1456</v>
      </c>
      <c r="B457" s="2">
        <v>44652</v>
      </c>
      <c r="C457" t="s">
        <v>56</v>
      </c>
      <c r="D457" t="s">
        <v>58</v>
      </c>
      <c r="E457" t="s">
        <v>25</v>
      </c>
      <c r="F457" t="s">
        <v>26</v>
      </c>
      <c r="G457" t="s">
        <v>45</v>
      </c>
      <c r="H457">
        <v>69.48</v>
      </c>
      <c r="I457">
        <v>89</v>
      </c>
      <c r="J457" s="1">
        <f>(H457*I457)+O457</f>
        <v>6241.52</v>
      </c>
      <c r="K457" s="1">
        <f>(H457*I457)+O457-N457</f>
        <v>6230.34</v>
      </c>
      <c r="L457">
        <v>350.84</v>
      </c>
      <c r="M457" t="s">
        <v>37</v>
      </c>
      <c r="N457">
        <v>11.18</v>
      </c>
      <c r="O457">
        <v>57.8</v>
      </c>
      <c r="P457">
        <v>5</v>
      </c>
      <c r="Q457">
        <v>28</v>
      </c>
      <c r="R457">
        <v>1.93</v>
      </c>
      <c r="U457">
        <f>H457*(1-N457%)</f>
        <v>61.712136000000001</v>
      </c>
      <c r="V457">
        <f>U457*I457</f>
        <v>5492.3801039999998</v>
      </c>
      <c r="W457" t="e">
        <f>#REF!-V457</f>
        <v>#REF!</v>
      </c>
      <c r="X457" t="e">
        <f t="shared" si="7"/>
        <v>#REF!</v>
      </c>
    </row>
    <row r="458" spans="1:24" x14ac:dyDescent="0.3">
      <c r="A458">
        <v>1457</v>
      </c>
      <c r="B458" s="2">
        <v>44653</v>
      </c>
      <c r="C458" t="s">
        <v>48</v>
      </c>
      <c r="D458" t="s">
        <v>49</v>
      </c>
      <c r="E458" t="s">
        <v>31</v>
      </c>
      <c r="F458" t="s">
        <v>39</v>
      </c>
      <c r="G458" t="s">
        <v>53</v>
      </c>
      <c r="H458">
        <v>34.4</v>
      </c>
      <c r="I458">
        <v>76</v>
      </c>
      <c r="J458" s="1">
        <f>(H458*I458)+O458</f>
        <v>2647.75</v>
      </c>
      <c r="K458" s="1">
        <f>(H458*I458)+O458-N458</f>
        <v>2636.86</v>
      </c>
      <c r="L458">
        <v>1423.21</v>
      </c>
      <c r="M458" t="s">
        <v>44</v>
      </c>
      <c r="N458">
        <v>10.89</v>
      </c>
      <c r="O458">
        <v>33.35</v>
      </c>
      <c r="P458">
        <v>4</v>
      </c>
      <c r="Q458">
        <v>9</v>
      </c>
      <c r="R458">
        <v>1.77</v>
      </c>
      <c r="U458">
        <f>H458*(1-N458%)</f>
        <v>30.653839999999999</v>
      </c>
      <c r="V458">
        <f>U458*I458</f>
        <v>2329.69184</v>
      </c>
      <c r="W458" t="e">
        <f>#REF!-V458</f>
        <v>#REF!</v>
      </c>
      <c r="X458" t="e">
        <f t="shared" si="7"/>
        <v>#REF!</v>
      </c>
    </row>
    <row r="459" spans="1:24" x14ac:dyDescent="0.3">
      <c r="A459">
        <v>1458</v>
      </c>
      <c r="B459" s="2">
        <v>44654</v>
      </c>
      <c r="C459" t="s">
        <v>57</v>
      </c>
      <c r="D459" t="s">
        <v>58</v>
      </c>
      <c r="E459" t="s">
        <v>25</v>
      </c>
      <c r="F459" t="s">
        <v>39</v>
      </c>
      <c r="G459" t="s">
        <v>47</v>
      </c>
      <c r="H459">
        <v>46.76</v>
      </c>
      <c r="I459">
        <v>54</v>
      </c>
      <c r="J459" s="1">
        <f>(H459*I459)+O459</f>
        <v>2578.1799999999998</v>
      </c>
      <c r="K459" s="1">
        <f>(H459*I459)+O459-N459</f>
        <v>2567.27</v>
      </c>
      <c r="L459">
        <v>758.24</v>
      </c>
      <c r="M459" t="s">
        <v>44</v>
      </c>
      <c r="N459">
        <v>10.91</v>
      </c>
      <c r="O459">
        <v>53.14</v>
      </c>
      <c r="P459">
        <v>4</v>
      </c>
      <c r="Q459">
        <v>3</v>
      </c>
      <c r="R459">
        <v>4.82</v>
      </c>
      <c r="U459">
        <f>H459*(1-N459%)</f>
        <v>41.658484000000001</v>
      </c>
      <c r="V459">
        <f>U459*I459</f>
        <v>2249.5581360000001</v>
      </c>
      <c r="W459" t="e">
        <f>#REF!-V459</f>
        <v>#REF!</v>
      </c>
      <c r="X459" t="e">
        <f t="shared" si="7"/>
        <v>#REF!</v>
      </c>
    </row>
    <row r="460" spans="1:24" x14ac:dyDescent="0.3">
      <c r="A460">
        <v>1459</v>
      </c>
      <c r="B460" s="2">
        <v>44655</v>
      </c>
      <c r="C460" t="s">
        <v>51</v>
      </c>
      <c r="D460" t="s">
        <v>54</v>
      </c>
      <c r="E460" t="s">
        <v>25</v>
      </c>
      <c r="F460" t="s">
        <v>26</v>
      </c>
      <c r="G460" t="s">
        <v>36</v>
      </c>
      <c r="H460">
        <v>3.56</v>
      </c>
      <c r="I460">
        <v>80</v>
      </c>
      <c r="J460" s="1">
        <f>(H460*I460)+O460</f>
        <v>303.39</v>
      </c>
      <c r="K460" s="1">
        <f>(H460*I460)+O460-N460</f>
        <v>286.96999999999997</v>
      </c>
      <c r="L460">
        <v>216.8</v>
      </c>
      <c r="M460" t="s">
        <v>37</v>
      </c>
      <c r="N460">
        <v>16.420000000000002</v>
      </c>
      <c r="O460">
        <v>18.59</v>
      </c>
      <c r="P460">
        <v>1</v>
      </c>
      <c r="Q460">
        <v>17</v>
      </c>
      <c r="R460">
        <v>5.52</v>
      </c>
      <c r="U460">
        <f>H460*(1-N460%)</f>
        <v>2.9754480000000001</v>
      </c>
      <c r="V460">
        <f>U460*I460</f>
        <v>238.03584000000001</v>
      </c>
      <c r="W460" t="e">
        <f>#REF!-V460</f>
        <v>#REF!</v>
      </c>
      <c r="X460" t="e">
        <f t="shared" si="7"/>
        <v>#REF!</v>
      </c>
    </row>
    <row r="461" spans="1:24" x14ac:dyDescent="0.3">
      <c r="A461">
        <v>1460</v>
      </c>
      <c r="B461" s="2">
        <v>44656</v>
      </c>
      <c r="C461" t="s">
        <v>38</v>
      </c>
      <c r="D461" t="s">
        <v>58</v>
      </c>
      <c r="E461" t="s">
        <v>35</v>
      </c>
      <c r="F461" t="s">
        <v>26</v>
      </c>
      <c r="G461" t="s">
        <v>43</v>
      </c>
      <c r="H461">
        <v>24.45</v>
      </c>
      <c r="I461">
        <v>92</v>
      </c>
      <c r="J461" s="1">
        <f>(H461*I461)+O461</f>
        <v>2290.84</v>
      </c>
      <c r="K461" s="1">
        <f>(H461*I461)+O461-N461</f>
        <v>2280.17</v>
      </c>
      <c r="L461">
        <v>156.44999999999999</v>
      </c>
      <c r="M461" t="s">
        <v>44</v>
      </c>
      <c r="N461">
        <v>10.67</v>
      </c>
      <c r="O461">
        <v>41.44</v>
      </c>
      <c r="P461">
        <v>1</v>
      </c>
      <c r="Q461">
        <v>26</v>
      </c>
      <c r="R461">
        <v>8.5</v>
      </c>
      <c r="U461">
        <f>H461*(1-N461%)</f>
        <v>21.841184999999999</v>
      </c>
      <c r="V461">
        <f>U461*I461</f>
        <v>2009.3890199999998</v>
      </c>
      <c r="W461" t="e">
        <f>#REF!-V461</f>
        <v>#REF!</v>
      </c>
      <c r="X461" t="e">
        <f t="shared" si="7"/>
        <v>#REF!</v>
      </c>
    </row>
    <row r="462" spans="1:24" x14ac:dyDescent="0.3">
      <c r="A462">
        <v>1461</v>
      </c>
      <c r="B462" s="2">
        <v>44657</v>
      </c>
      <c r="C462" t="s">
        <v>56</v>
      </c>
      <c r="D462" t="s">
        <v>34</v>
      </c>
      <c r="E462" t="s">
        <v>25</v>
      </c>
      <c r="F462" t="s">
        <v>26</v>
      </c>
      <c r="G462" t="s">
        <v>47</v>
      </c>
      <c r="H462">
        <v>41.19</v>
      </c>
      <c r="I462">
        <v>21</v>
      </c>
      <c r="J462" s="1">
        <f>(H462*I462)+O462</f>
        <v>948.64</v>
      </c>
      <c r="K462" s="1">
        <f>(H462*I462)+O462-N462</f>
        <v>938.3</v>
      </c>
      <c r="L462">
        <v>893.77</v>
      </c>
      <c r="M462" t="s">
        <v>28</v>
      </c>
      <c r="N462">
        <v>10.34</v>
      </c>
      <c r="O462">
        <v>83.65</v>
      </c>
      <c r="P462">
        <v>4</v>
      </c>
      <c r="Q462">
        <v>23</v>
      </c>
      <c r="R462">
        <v>9.26</v>
      </c>
      <c r="U462">
        <f>H462*(1-N462%)</f>
        <v>36.930954</v>
      </c>
      <c r="V462">
        <f>U462*I462</f>
        <v>775.55003399999998</v>
      </c>
      <c r="W462" t="e">
        <f>#REF!-V462</f>
        <v>#REF!</v>
      </c>
      <c r="X462" t="e">
        <f t="shared" si="7"/>
        <v>#REF!</v>
      </c>
    </row>
    <row r="463" spans="1:24" x14ac:dyDescent="0.3">
      <c r="A463">
        <v>1462</v>
      </c>
      <c r="B463" s="2">
        <v>44658</v>
      </c>
      <c r="C463" t="s">
        <v>56</v>
      </c>
      <c r="D463" t="s">
        <v>46</v>
      </c>
      <c r="E463" t="s">
        <v>42</v>
      </c>
      <c r="F463" t="s">
        <v>39</v>
      </c>
      <c r="G463" t="s">
        <v>50</v>
      </c>
      <c r="H463">
        <v>45.97</v>
      </c>
      <c r="I463">
        <v>81</v>
      </c>
      <c r="J463" s="1">
        <f>(H463*I463)+O463</f>
        <v>3772.8799999999997</v>
      </c>
      <c r="K463" s="1">
        <f>(H463*I463)+O463-N463</f>
        <v>3766.1299999999997</v>
      </c>
      <c r="L463">
        <v>496.59</v>
      </c>
      <c r="M463" t="s">
        <v>44</v>
      </c>
      <c r="N463">
        <v>6.75</v>
      </c>
      <c r="O463">
        <v>49.31</v>
      </c>
      <c r="P463">
        <v>2</v>
      </c>
      <c r="Q463">
        <v>22</v>
      </c>
      <c r="R463">
        <v>3.59</v>
      </c>
      <c r="U463">
        <f>H463*(1-N463%)</f>
        <v>42.867024999999998</v>
      </c>
      <c r="V463">
        <f>U463*I463</f>
        <v>3472.2290249999996</v>
      </c>
      <c r="W463" t="e">
        <f>#REF!-V463</f>
        <v>#REF!</v>
      </c>
      <c r="X463" t="e">
        <f t="shared" si="7"/>
        <v>#REF!</v>
      </c>
    </row>
    <row r="464" spans="1:24" x14ac:dyDescent="0.3">
      <c r="A464">
        <v>1463</v>
      </c>
      <c r="B464" s="2">
        <v>44659</v>
      </c>
      <c r="C464" t="s">
        <v>52</v>
      </c>
      <c r="D464" t="s">
        <v>34</v>
      </c>
      <c r="E464" t="s">
        <v>35</v>
      </c>
      <c r="F464" t="s">
        <v>39</v>
      </c>
      <c r="G464" t="s">
        <v>27</v>
      </c>
      <c r="H464">
        <v>77.069999999999993</v>
      </c>
      <c r="I464">
        <v>35</v>
      </c>
      <c r="J464" s="1">
        <f>(H464*I464)+O464</f>
        <v>2787.77</v>
      </c>
      <c r="K464" s="1">
        <f>(H464*I464)+O464-N464</f>
        <v>2771.05</v>
      </c>
      <c r="L464">
        <v>199.95</v>
      </c>
      <c r="M464" t="s">
        <v>37</v>
      </c>
      <c r="N464">
        <v>16.72</v>
      </c>
      <c r="O464">
        <v>90.32</v>
      </c>
      <c r="P464">
        <v>4</v>
      </c>
      <c r="Q464">
        <v>16</v>
      </c>
      <c r="R464">
        <v>3.18</v>
      </c>
      <c r="U464">
        <f>H464*(1-N464%)</f>
        <v>64.18389599999999</v>
      </c>
      <c r="V464">
        <f>U464*I464</f>
        <v>2246.4363599999997</v>
      </c>
      <c r="W464" t="e">
        <f>#REF!-V464</f>
        <v>#REF!</v>
      </c>
      <c r="X464" t="e">
        <f t="shared" si="7"/>
        <v>#REF!</v>
      </c>
    </row>
    <row r="465" spans="1:24" x14ac:dyDescent="0.3">
      <c r="A465">
        <v>1464</v>
      </c>
      <c r="B465" s="2">
        <v>44660</v>
      </c>
      <c r="C465" t="s">
        <v>33</v>
      </c>
      <c r="D465" t="s">
        <v>30</v>
      </c>
      <c r="E465" t="s">
        <v>31</v>
      </c>
      <c r="F465" t="s">
        <v>26</v>
      </c>
      <c r="G465" t="s">
        <v>50</v>
      </c>
      <c r="H465">
        <v>35.979999999999997</v>
      </c>
      <c r="I465">
        <v>89</v>
      </c>
      <c r="J465" s="1">
        <f>(H465*I465)+O465</f>
        <v>3221.64</v>
      </c>
      <c r="K465" s="1">
        <f>(H465*I465)+O465-N465</f>
        <v>3221.3799999999997</v>
      </c>
      <c r="L465">
        <v>1429.93</v>
      </c>
      <c r="M465" t="s">
        <v>44</v>
      </c>
      <c r="N465">
        <v>0.26</v>
      </c>
      <c r="O465">
        <v>19.420000000000002</v>
      </c>
      <c r="P465">
        <v>4</v>
      </c>
      <c r="Q465">
        <v>30</v>
      </c>
      <c r="R465">
        <v>0.89</v>
      </c>
      <c r="U465">
        <f>H465*(1-N465%)</f>
        <v>35.886451999999998</v>
      </c>
      <c r="V465">
        <f>U465*I465</f>
        <v>3193.8942279999997</v>
      </c>
      <c r="W465" t="e">
        <f>#REF!-V465</f>
        <v>#REF!</v>
      </c>
      <c r="X465" t="e">
        <f t="shared" si="7"/>
        <v>#REF!</v>
      </c>
    </row>
    <row r="466" spans="1:24" x14ac:dyDescent="0.3">
      <c r="A466">
        <v>1465</v>
      </c>
      <c r="B466" s="2">
        <v>44661</v>
      </c>
      <c r="C466" t="s">
        <v>52</v>
      </c>
      <c r="D466" t="s">
        <v>30</v>
      </c>
      <c r="E466" t="s">
        <v>42</v>
      </c>
      <c r="F466" t="s">
        <v>39</v>
      </c>
      <c r="G466" t="s">
        <v>27</v>
      </c>
      <c r="H466">
        <v>76.7</v>
      </c>
      <c r="I466">
        <v>57</v>
      </c>
      <c r="J466" s="1">
        <f>(H466*I466)+O466</f>
        <v>4398.93</v>
      </c>
      <c r="K466" s="1">
        <f>(H466*I466)+O466-N466</f>
        <v>4397.0600000000004</v>
      </c>
      <c r="L466">
        <v>1109.1099999999999</v>
      </c>
      <c r="M466" t="s">
        <v>28</v>
      </c>
      <c r="N466">
        <v>1.87</v>
      </c>
      <c r="O466">
        <v>27.03</v>
      </c>
      <c r="P466">
        <v>5</v>
      </c>
      <c r="Q466">
        <v>11</v>
      </c>
      <c r="R466">
        <v>0.73</v>
      </c>
      <c r="U466">
        <f>H466*(1-N466%)</f>
        <v>75.265709999999999</v>
      </c>
      <c r="V466">
        <f>U466*I466</f>
        <v>4290.1454699999995</v>
      </c>
      <c r="W466" t="e">
        <f>#REF!-V466</f>
        <v>#REF!</v>
      </c>
      <c r="X466" t="e">
        <f t="shared" si="7"/>
        <v>#REF!</v>
      </c>
    </row>
    <row r="467" spans="1:24" x14ac:dyDescent="0.3">
      <c r="A467">
        <v>1466</v>
      </c>
      <c r="B467" s="2">
        <v>44662</v>
      </c>
      <c r="C467" t="s">
        <v>33</v>
      </c>
      <c r="D467" t="s">
        <v>54</v>
      </c>
      <c r="E467" t="s">
        <v>42</v>
      </c>
      <c r="F467" t="s">
        <v>39</v>
      </c>
      <c r="G467" t="s">
        <v>53</v>
      </c>
      <c r="H467">
        <v>37.950000000000003</v>
      </c>
      <c r="I467">
        <v>42</v>
      </c>
      <c r="J467" s="1">
        <f>(H467*I467)+O467</f>
        <v>1607.3300000000002</v>
      </c>
      <c r="K467" s="1">
        <f>(H467*I467)+O467-N467</f>
        <v>1596.14</v>
      </c>
      <c r="L467">
        <v>660.96</v>
      </c>
      <c r="M467" t="s">
        <v>37</v>
      </c>
      <c r="N467">
        <v>11.19</v>
      </c>
      <c r="O467">
        <v>13.43</v>
      </c>
      <c r="P467">
        <v>3</v>
      </c>
      <c r="Q467">
        <v>20</v>
      </c>
      <c r="R467">
        <v>3.59</v>
      </c>
      <c r="U467">
        <f>H467*(1-N467%)</f>
        <v>33.703395</v>
      </c>
      <c r="V467">
        <f>U467*I467</f>
        <v>1415.54259</v>
      </c>
      <c r="W467" t="e">
        <f>#REF!-V467</f>
        <v>#REF!</v>
      </c>
      <c r="X467" t="e">
        <f t="shared" si="7"/>
        <v>#REF!</v>
      </c>
    </row>
    <row r="468" spans="1:24" x14ac:dyDescent="0.3">
      <c r="A468">
        <v>1467</v>
      </c>
      <c r="B468" s="2">
        <v>44663</v>
      </c>
      <c r="C468" t="s">
        <v>38</v>
      </c>
      <c r="D468" t="s">
        <v>30</v>
      </c>
      <c r="E468" t="s">
        <v>42</v>
      </c>
      <c r="F468" t="s">
        <v>39</v>
      </c>
      <c r="G468" t="s">
        <v>43</v>
      </c>
      <c r="H468">
        <v>30.14</v>
      </c>
      <c r="I468">
        <v>78</v>
      </c>
      <c r="J468" s="1">
        <f>(H468*I468)+O468</f>
        <v>2407.8200000000002</v>
      </c>
      <c r="K468" s="1">
        <f>(H468*I468)+O468-N468</f>
        <v>2390.36</v>
      </c>
      <c r="L468">
        <v>620.23</v>
      </c>
      <c r="M468" t="s">
        <v>44</v>
      </c>
      <c r="N468">
        <v>17.46</v>
      </c>
      <c r="O468">
        <v>56.9</v>
      </c>
      <c r="P468">
        <v>4</v>
      </c>
      <c r="Q468">
        <v>17</v>
      </c>
      <c r="R468">
        <v>6.77</v>
      </c>
      <c r="U468">
        <f>H468*(1-N468%)</f>
        <v>24.877556000000002</v>
      </c>
      <c r="V468">
        <f>U468*I468</f>
        <v>1940.449368</v>
      </c>
      <c r="W468" t="e">
        <f>#REF!-V468</f>
        <v>#REF!</v>
      </c>
      <c r="X468" t="e">
        <f t="shared" si="7"/>
        <v>#REF!</v>
      </c>
    </row>
    <row r="469" spans="1:24" x14ac:dyDescent="0.3">
      <c r="A469">
        <v>1468</v>
      </c>
      <c r="B469" s="2">
        <v>44664</v>
      </c>
      <c r="C469" t="s">
        <v>23</v>
      </c>
      <c r="D469" t="s">
        <v>24</v>
      </c>
      <c r="E469" t="s">
        <v>31</v>
      </c>
      <c r="F469" t="s">
        <v>39</v>
      </c>
      <c r="G469" t="s">
        <v>40</v>
      </c>
      <c r="H469">
        <v>5.96</v>
      </c>
      <c r="I469">
        <v>92</v>
      </c>
      <c r="J469" s="1">
        <f>(H469*I469)+O469</f>
        <v>595.26</v>
      </c>
      <c r="K469" s="1">
        <f>(H469*I469)+O469-N469</f>
        <v>580.47</v>
      </c>
      <c r="L469">
        <v>912.16</v>
      </c>
      <c r="M469" t="s">
        <v>37</v>
      </c>
      <c r="N469">
        <v>14.79</v>
      </c>
      <c r="O469">
        <v>46.94</v>
      </c>
      <c r="P469">
        <v>3</v>
      </c>
      <c r="Q469">
        <v>17</v>
      </c>
      <c r="R469">
        <v>9.56</v>
      </c>
      <c r="U469">
        <f>H469*(1-N469%)</f>
        <v>5.0785159999999996</v>
      </c>
      <c r="V469">
        <f>U469*I469</f>
        <v>467.22347199999996</v>
      </c>
      <c r="W469" t="e">
        <f>#REF!-V469</f>
        <v>#REF!</v>
      </c>
      <c r="X469" t="e">
        <f t="shared" si="7"/>
        <v>#REF!</v>
      </c>
    </row>
    <row r="470" spans="1:24" x14ac:dyDescent="0.3">
      <c r="A470">
        <v>1469</v>
      </c>
      <c r="B470" s="2">
        <v>44665</v>
      </c>
      <c r="C470" t="s">
        <v>23</v>
      </c>
      <c r="D470" t="s">
        <v>34</v>
      </c>
      <c r="E470" t="s">
        <v>25</v>
      </c>
      <c r="F470" t="s">
        <v>32</v>
      </c>
      <c r="G470" t="s">
        <v>45</v>
      </c>
      <c r="H470">
        <v>33.89</v>
      </c>
      <c r="I470">
        <v>10</v>
      </c>
      <c r="J470" s="1">
        <f>(H470*I470)+O470</f>
        <v>389.32</v>
      </c>
      <c r="K470" s="1">
        <f>(H470*I470)+O470-N470</f>
        <v>383.33</v>
      </c>
      <c r="L470">
        <v>807.17</v>
      </c>
      <c r="M470" t="s">
        <v>44</v>
      </c>
      <c r="N470">
        <v>5.99</v>
      </c>
      <c r="O470">
        <v>50.42</v>
      </c>
      <c r="P470">
        <v>4</v>
      </c>
      <c r="Q470">
        <v>6</v>
      </c>
      <c r="R470">
        <v>8.39</v>
      </c>
      <c r="U470">
        <f>H470*(1-N470%)</f>
        <v>31.859989000000002</v>
      </c>
      <c r="V470">
        <f>U470*I470</f>
        <v>318.59989000000002</v>
      </c>
      <c r="W470" t="e">
        <f>#REF!-V470</f>
        <v>#REF!</v>
      </c>
      <c r="X470" t="e">
        <f t="shared" si="7"/>
        <v>#REF!</v>
      </c>
    </row>
    <row r="471" spans="1:24" x14ac:dyDescent="0.3">
      <c r="A471">
        <v>1470</v>
      </c>
      <c r="B471" s="2">
        <v>44666</v>
      </c>
      <c r="C471" t="s">
        <v>29</v>
      </c>
      <c r="D471" t="s">
        <v>49</v>
      </c>
      <c r="E471" t="s">
        <v>42</v>
      </c>
      <c r="F471" t="s">
        <v>26</v>
      </c>
      <c r="G471" t="s">
        <v>43</v>
      </c>
      <c r="H471">
        <v>5.62</v>
      </c>
      <c r="I471">
        <v>68</v>
      </c>
      <c r="J471" s="1">
        <f>(H471*I471)+O471</f>
        <v>409.44000000000005</v>
      </c>
      <c r="K471" s="1">
        <f>(H471*I471)+O471-N471</f>
        <v>402.87000000000006</v>
      </c>
      <c r="L471">
        <v>1321.17</v>
      </c>
      <c r="M471" t="s">
        <v>28</v>
      </c>
      <c r="N471">
        <v>6.57</v>
      </c>
      <c r="O471">
        <v>27.28</v>
      </c>
      <c r="P471">
        <v>4</v>
      </c>
      <c r="Q471">
        <v>2</v>
      </c>
      <c r="R471">
        <v>9.7899999999999991</v>
      </c>
      <c r="U471">
        <f>H471*(1-N471%)</f>
        <v>5.2507660000000005</v>
      </c>
      <c r="V471">
        <f>U471*I471</f>
        <v>357.05208800000003</v>
      </c>
      <c r="W471" t="e">
        <f>#REF!-V471</f>
        <v>#REF!</v>
      </c>
      <c r="X471" t="e">
        <f t="shared" si="7"/>
        <v>#REF!</v>
      </c>
    </row>
    <row r="472" spans="1:24" x14ac:dyDescent="0.3">
      <c r="A472">
        <v>1471</v>
      </c>
      <c r="B472" s="2">
        <v>44667</v>
      </c>
      <c r="C472" t="s">
        <v>52</v>
      </c>
      <c r="D472" t="s">
        <v>24</v>
      </c>
      <c r="E472" t="s">
        <v>25</v>
      </c>
      <c r="F472" t="s">
        <v>39</v>
      </c>
      <c r="G472" t="s">
        <v>50</v>
      </c>
      <c r="H472">
        <v>69.94</v>
      </c>
      <c r="I472">
        <v>58</v>
      </c>
      <c r="J472" s="1">
        <f>(H472*I472)+O472</f>
        <v>4145.6000000000004</v>
      </c>
      <c r="K472" s="1">
        <f>(H472*I472)+O472-N472</f>
        <v>4130.18</v>
      </c>
      <c r="L472">
        <v>961.41</v>
      </c>
      <c r="M472" t="s">
        <v>44</v>
      </c>
      <c r="N472">
        <v>15.42</v>
      </c>
      <c r="O472">
        <v>89.08</v>
      </c>
      <c r="P472">
        <v>5</v>
      </c>
      <c r="Q472">
        <v>9</v>
      </c>
      <c r="R472">
        <v>6.04</v>
      </c>
      <c r="U472">
        <f>H472*(1-N472%)</f>
        <v>59.155251999999997</v>
      </c>
      <c r="V472">
        <f>U472*I472</f>
        <v>3431.0046159999997</v>
      </c>
      <c r="W472" t="e">
        <f>#REF!-V472</f>
        <v>#REF!</v>
      </c>
      <c r="X472" t="e">
        <f t="shared" si="7"/>
        <v>#REF!</v>
      </c>
    </row>
    <row r="473" spans="1:24" x14ac:dyDescent="0.3">
      <c r="A473">
        <v>1472</v>
      </c>
      <c r="B473" s="2">
        <v>44668</v>
      </c>
      <c r="C473" t="s">
        <v>29</v>
      </c>
      <c r="D473" t="s">
        <v>24</v>
      </c>
      <c r="E473" t="s">
        <v>25</v>
      </c>
      <c r="F473" t="s">
        <v>39</v>
      </c>
      <c r="G473" t="s">
        <v>43</v>
      </c>
      <c r="H473">
        <v>34.909999999999997</v>
      </c>
      <c r="I473">
        <v>97</v>
      </c>
      <c r="J473" s="1">
        <f>(H473*I473)+O473</f>
        <v>3451.9399999999996</v>
      </c>
      <c r="K473" s="1">
        <f>(H473*I473)+O473-N473</f>
        <v>3450.6399999999994</v>
      </c>
      <c r="L473">
        <v>1223.92</v>
      </c>
      <c r="M473" t="s">
        <v>28</v>
      </c>
      <c r="N473">
        <v>1.3</v>
      </c>
      <c r="O473">
        <v>65.67</v>
      </c>
      <c r="P473">
        <v>5</v>
      </c>
      <c r="Q473">
        <v>7</v>
      </c>
      <c r="R473">
        <v>9.75</v>
      </c>
      <c r="U473">
        <f>H473*(1-N473%)</f>
        <v>34.456169999999993</v>
      </c>
      <c r="V473">
        <f>U473*I473</f>
        <v>3342.2484899999995</v>
      </c>
      <c r="W473" t="e">
        <f>#REF!-V473</f>
        <v>#REF!</v>
      </c>
      <c r="X473" t="e">
        <f t="shared" si="7"/>
        <v>#REF!</v>
      </c>
    </row>
    <row r="474" spans="1:24" x14ac:dyDescent="0.3">
      <c r="A474">
        <v>1473</v>
      </c>
      <c r="B474" s="2">
        <v>44669</v>
      </c>
      <c r="C474" t="s">
        <v>51</v>
      </c>
      <c r="D474" t="s">
        <v>58</v>
      </c>
      <c r="E474" t="s">
        <v>31</v>
      </c>
      <c r="F474" t="s">
        <v>26</v>
      </c>
      <c r="G474" t="s">
        <v>27</v>
      </c>
      <c r="H474">
        <v>70.67</v>
      </c>
      <c r="I474">
        <v>41</v>
      </c>
      <c r="J474" s="1">
        <f>(H474*I474)+O474</f>
        <v>2916.96</v>
      </c>
      <c r="K474" s="1">
        <f>(H474*I474)+O474-N474</f>
        <v>2907.71</v>
      </c>
      <c r="L474">
        <v>1297</v>
      </c>
      <c r="M474" t="s">
        <v>37</v>
      </c>
      <c r="N474">
        <v>9.25</v>
      </c>
      <c r="O474">
        <v>19.489999999999998</v>
      </c>
      <c r="P474">
        <v>2</v>
      </c>
      <c r="Q474">
        <v>2</v>
      </c>
      <c r="R474">
        <v>0.98</v>
      </c>
      <c r="U474">
        <f>H474*(1-N474%)</f>
        <v>64.133025000000004</v>
      </c>
      <c r="V474">
        <f>U474*I474</f>
        <v>2629.454025</v>
      </c>
      <c r="W474" t="e">
        <f>#REF!-V474</f>
        <v>#REF!</v>
      </c>
      <c r="X474" t="e">
        <f t="shared" si="7"/>
        <v>#REF!</v>
      </c>
    </row>
    <row r="475" spans="1:24" x14ac:dyDescent="0.3">
      <c r="A475">
        <v>1474</v>
      </c>
      <c r="B475" s="2">
        <v>44670</v>
      </c>
      <c r="C475" t="s">
        <v>57</v>
      </c>
      <c r="D475" t="s">
        <v>54</v>
      </c>
      <c r="E475" t="s">
        <v>25</v>
      </c>
      <c r="F475" t="s">
        <v>26</v>
      </c>
      <c r="G475" t="s">
        <v>50</v>
      </c>
      <c r="H475">
        <v>40.17</v>
      </c>
      <c r="I475">
        <v>76</v>
      </c>
      <c r="J475" s="1">
        <f>(H475*I475)+O475</f>
        <v>3151.08</v>
      </c>
      <c r="K475" s="1">
        <f>(H475*I475)+O475-N475</f>
        <v>3134.79</v>
      </c>
      <c r="L475">
        <v>1043.1199999999999</v>
      </c>
      <c r="M475" t="s">
        <v>28</v>
      </c>
      <c r="N475">
        <v>16.29</v>
      </c>
      <c r="O475">
        <v>98.16</v>
      </c>
      <c r="P475">
        <v>4</v>
      </c>
      <c r="Q475">
        <v>30</v>
      </c>
      <c r="R475">
        <v>6.3</v>
      </c>
      <c r="U475">
        <f>H475*(1-N475%)</f>
        <v>33.626306999999997</v>
      </c>
      <c r="V475">
        <f>U475*I475</f>
        <v>2555.5993319999998</v>
      </c>
      <c r="W475" t="e">
        <f>#REF!-V475</f>
        <v>#REF!</v>
      </c>
      <c r="X475" t="e">
        <f t="shared" si="7"/>
        <v>#REF!</v>
      </c>
    </row>
    <row r="476" spans="1:24" x14ac:dyDescent="0.3">
      <c r="A476">
        <v>1475</v>
      </c>
      <c r="B476" s="2">
        <v>44671</v>
      </c>
      <c r="C476" t="s">
        <v>48</v>
      </c>
      <c r="D476" t="s">
        <v>58</v>
      </c>
      <c r="E476" t="s">
        <v>35</v>
      </c>
      <c r="F476" t="s">
        <v>39</v>
      </c>
      <c r="G476" t="s">
        <v>53</v>
      </c>
      <c r="H476">
        <v>26.56</v>
      </c>
      <c r="I476">
        <v>93</v>
      </c>
      <c r="J476" s="1">
        <f>(H476*I476)+O476</f>
        <v>2555.11</v>
      </c>
      <c r="K476" s="1">
        <f>(H476*I476)+O476-N476</f>
        <v>2543.6600000000003</v>
      </c>
      <c r="L476">
        <v>1155.53</v>
      </c>
      <c r="M476" t="s">
        <v>44</v>
      </c>
      <c r="N476">
        <v>11.45</v>
      </c>
      <c r="O476">
        <v>85.03</v>
      </c>
      <c r="P476">
        <v>5</v>
      </c>
      <c r="Q476">
        <v>1</v>
      </c>
      <c r="R476">
        <v>3.79</v>
      </c>
      <c r="U476">
        <f>H476*(1-N476%)</f>
        <v>23.518879999999999</v>
      </c>
      <c r="V476">
        <f>U476*I476</f>
        <v>2187.2558399999998</v>
      </c>
      <c r="W476" t="e">
        <f>#REF!-V476</f>
        <v>#REF!</v>
      </c>
      <c r="X476" t="e">
        <f t="shared" si="7"/>
        <v>#REF!</v>
      </c>
    </row>
    <row r="477" spans="1:24" x14ac:dyDescent="0.3">
      <c r="A477">
        <v>1476</v>
      </c>
      <c r="B477" s="2">
        <v>44672</v>
      </c>
      <c r="C477" t="s">
        <v>57</v>
      </c>
      <c r="D477" t="s">
        <v>24</v>
      </c>
      <c r="E477" t="s">
        <v>31</v>
      </c>
      <c r="F477" t="s">
        <v>32</v>
      </c>
      <c r="G477" t="s">
        <v>43</v>
      </c>
      <c r="H477">
        <v>34.520000000000003</v>
      </c>
      <c r="I477">
        <v>39</v>
      </c>
      <c r="J477" s="1">
        <f>(H477*I477)+O477</f>
        <v>1386.2200000000003</v>
      </c>
      <c r="K477" s="1">
        <f>(H477*I477)+O477-N477</f>
        <v>1371.5100000000002</v>
      </c>
      <c r="L477">
        <v>51.4</v>
      </c>
      <c r="M477" t="s">
        <v>28</v>
      </c>
      <c r="N477">
        <v>14.71</v>
      </c>
      <c r="O477">
        <v>39.94</v>
      </c>
      <c r="P477">
        <v>4</v>
      </c>
      <c r="Q477">
        <v>25</v>
      </c>
      <c r="R477">
        <v>6.93</v>
      </c>
      <c r="U477">
        <f>H477*(1-N477%)</f>
        <v>29.442108000000001</v>
      </c>
      <c r="V477">
        <f>U477*I477</f>
        <v>1148.2422120000001</v>
      </c>
      <c r="W477" t="e">
        <f>#REF!-V477</f>
        <v>#REF!</v>
      </c>
      <c r="X477" t="e">
        <f t="shared" si="7"/>
        <v>#REF!</v>
      </c>
    </row>
    <row r="478" spans="1:24" x14ac:dyDescent="0.3">
      <c r="A478">
        <v>1477</v>
      </c>
      <c r="B478" s="2">
        <v>44673</v>
      </c>
      <c r="C478" t="s">
        <v>51</v>
      </c>
      <c r="D478" t="s">
        <v>24</v>
      </c>
      <c r="E478" t="s">
        <v>31</v>
      </c>
      <c r="F478" t="s">
        <v>39</v>
      </c>
      <c r="G478" t="s">
        <v>43</v>
      </c>
      <c r="H478">
        <v>16.829999999999998</v>
      </c>
      <c r="I478">
        <v>43</v>
      </c>
      <c r="J478" s="1">
        <f>(H478*I478)+O478</f>
        <v>768.84999999999991</v>
      </c>
      <c r="K478" s="1">
        <f>(H478*I478)+O478-N478</f>
        <v>767.11999999999989</v>
      </c>
      <c r="L478">
        <v>624.05999999999995</v>
      </c>
      <c r="M478" t="s">
        <v>28</v>
      </c>
      <c r="N478">
        <v>1.73</v>
      </c>
      <c r="O478">
        <v>45.16</v>
      </c>
      <c r="P478">
        <v>4</v>
      </c>
      <c r="Q478">
        <v>11</v>
      </c>
      <c r="R478">
        <v>3.1</v>
      </c>
      <c r="U478">
        <f>H478*(1-N478%)</f>
        <v>16.538840999999998</v>
      </c>
      <c r="V478">
        <f>U478*I478</f>
        <v>711.17016299999989</v>
      </c>
      <c r="W478" t="e">
        <f>#REF!-V478</f>
        <v>#REF!</v>
      </c>
      <c r="X478" t="e">
        <f t="shared" si="7"/>
        <v>#REF!</v>
      </c>
    </row>
    <row r="479" spans="1:24" x14ac:dyDescent="0.3">
      <c r="A479">
        <v>1478</v>
      </c>
      <c r="B479" s="2">
        <v>44674</v>
      </c>
      <c r="C479" t="s">
        <v>57</v>
      </c>
      <c r="D479" t="s">
        <v>58</v>
      </c>
      <c r="E479" t="s">
        <v>31</v>
      </c>
      <c r="F479" t="s">
        <v>32</v>
      </c>
      <c r="G479" t="s">
        <v>40</v>
      </c>
      <c r="H479">
        <v>52.43</v>
      </c>
      <c r="I479">
        <v>44</v>
      </c>
      <c r="J479" s="1">
        <f>(H479*I479)+O479</f>
        <v>2379.38</v>
      </c>
      <c r="K479" s="1">
        <f>(H479*I479)+O479-N479</f>
        <v>2375.4500000000003</v>
      </c>
      <c r="L479">
        <v>1134.58</v>
      </c>
      <c r="M479" t="s">
        <v>44</v>
      </c>
      <c r="N479">
        <v>3.93</v>
      </c>
      <c r="O479">
        <v>72.459999999999994</v>
      </c>
      <c r="P479">
        <v>1</v>
      </c>
      <c r="Q479">
        <v>15</v>
      </c>
      <c r="R479">
        <v>8.36</v>
      </c>
      <c r="U479">
        <f>H479*(1-N479%)</f>
        <v>50.369501</v>
      </c>
      <c r="V479">
        <f>U479*I479</f>
        <v>2216.2580440000002</v>
      </c>
      <c r="W479" t="e">
        <f>#REF!-V479</f>
        <v>#REF!</v>
      </c>
      <c r="X479" t="e">
        <f t="shared" si="7"/>
        <v>#REF!</v>
      </c>
    </row>
    <row r="480" spans="1:24" x14ac:dyDescent="0.3">
      <c r="A480">
        <v>1479</v>
      </c>
      <c r="B480" s="2">
        <v>44675</v>
      </c>
      <c r="C480" t="s">
        <v>29</v>
      </c>
      <c r="D480" t="s">
        <v>34</v>
      </c>
      <c r="E480" t="s">
        <v>31</v>
      </c>
      <c r="F480" t="s">
        <v>39</v>
      </c>
      <c r="G480" t="s">
        <v>50</v>
      </c>
      <c r="H480">
        <v>42.15</v>
      </c>
      <c r="I480">
        <v>10</v>
      </c>
      <c r="J480" s="1">
        <f>(H480*I480)+O480</f>
        <v>465.5</v>
      </c>
      <c r="K480" s="1">
        <f>(H480*I480)+O480-N480</f>
        <v>465.22</v>
      </c>
      <c r="L480">
        <v>368.45</v>
      </c>
      <c r="M480" t="s">
        <v>28</v>
      </c>
      <c r="N480">
        <v>0.28000000000000003</v>
      </c>
      <c r="O480">
        <v>44</v>
      </c>
      <c r="P480">
        <v>2</v>
      </c>
      <c r="Q480">
        <v>28</v>
      </c>
      <c r="R480">
        <v>4.16</v>
      </c>
      <c r="U480">
        <f>H480*(1-N480%)</f>
        <v>42.031979999999997</v>
      </c>
      <c r="V480">
        <f>U480*I480</f>
        <v>420.31979999999999</v>
      </c>
      <c r="W480" t="e">
        <f>#REF!-V480</f>
        <v>#REF!</v>
      </c>
      <c r="X480" t="e">
        <f t="shared" si="7"/>
        <v>#REF!</v>
      </c>
    </row>
    <row r="481" spans="1:24" x14ac:dyDescent="0.3">
      <c r="A481">
        <v>1480</v>
      </c>
      <c r="B481" s="2">
        <v>44676</v>
      </c>
      <c r="C481" t="s">
        <v>57</v>
      </c>
      <c r="D481" t="s">
        <v>30</v>
      </c>
      <c r="E481" t="s">
        <v>31</v>
      </c>
      <c r="F481" t="s">
        <v>39</v>
      </c>
      <c r="G481" t="s">
        <v>27</v>
      </c>
      <c r="H481">
        <v>36.119999999999997</v>
      </c>
      <c r="I481">
        <v>29</v>
      </c>
      <c r="J481" s="1">
        <f>(H481*I481)+O481</f>
        <v>1091.5899999999999</v>
      </c>
      <c r="K481" s="1">
        <f>(H481*I481)+O481-N481</f>
        <v>1078.5899999999999</v>
      </c>
      <c r="L481">
        <v>831.13</v>
      </c>
      <c r="M481" t="s">
        <v>44</v>
      </c>
      <c r="N481">
        <v>13</v>
      </c>
      <c r="O481">
        <v>44.11</v>
      </c>
      <c r="P481">
        <v>1</v>
      </c>
      <c r="Q481">
        <v>26</v>
      </c>
      <c r="R481">
        <v>2.8</v>
      </c>
      <c r="U481">
        <f>H481*(1-N481%)</f>
        <v>31.424399999999999</v>
      </c>
      <c r="V481">
        <f>U481*I481</f>
        <v>911.30759999999998</v>
      </c>
      <c r="W481" t="e">
        <f>#REF!-V481</f>
        <v>#REF!</v>
      </c>
      <c r="X481" t="e">
        <f t="shared" si="7"/>
        <v>#REF!</v>
      </c>
    </row>
    <row r="482" spans="1:24" x14ac:dyDescent="0.3">
      <c r="A482">
        <v>1481</v>
      </c>
      <c r="B482" s="2">
        <v>44677</v>
      </c>
      <c r="C482" t="s">
        <v>41</v>
      </c>
      <c r="D482" t="s">
        <v>55</v>
      </c>
      <c r="E482" t="s">
        <v>31</v>
      </c>
      <c r="F482" t="s">
        <v>26</v>
      </c>
      <c r="G482" t="s">
        <v>27</v>
      </c>
      <c r="H482">
        <v>61.4</v>
      </c>
      <c r="I482">
        <v>53</v>
      </c>
      <c r="J482" s="1">
        <f>(H482*I482)+O482</f>
        <v>3298.6299999999997</v>
      </c>
      <c r="K482" s="1">
        <f>(H482*I482)+O482-N482</f>
        <v>3284.3299999999995</v>
      </c>
      <c r="L482">
        <v>1483.4</v>
      </c>
      <c r="M482" t="s">
        <v>37</v>
      </c>
      <c r="N482">
        <v>14.3</v>
      </c>
      <c r="O482">
        <v>44.43</v>
      </c>
      <c r="P482">
        <v>1</v>
      </c>
      <c r="Q482">
        <v>5</v>
      </c>
      <c r="R482">
        <v>6.45</v>
      </c>
      <c r="U482">
        <f>H482*(1-N482%)</f>
        <v>52.619799999999998</v>
      </c>
      <c r="V482">
        <f>U482*I482</f>
        <v>2788.8494000000001</v>
      </c>
      <c r="W482" t="e">
        <f>#REF!-V482</f>
        <v>#REF!</v>
      </c>
      <c r="X482" t="e">
        <f t="shared" si="7"/>
        <v>#REF!</v>
      </c>
    </row>
    <row r="483" spans="1:24" x14ac:dyDescent="0.3">
      <c r="A483">
        <v>1482</v>
      </c>
      <c r="B483" s="2">
        <v>44678</v>
      </c>
      <c r="C483" t="s">
        <v>56</v>
      </c>
      <c r="D483" t="s">
        <v>54</v>
      </c>
      <c r="E483" t="s">
        <v>31</v>
      </c>
      <c r="F483" t="s">
        <v>39</v>
      </c>
      <c r="G483" t="s">
        <v>45</v>
      </c>
      <c r="H483">
        <v>17.760000000000002</v>
      </c>
      <c r="I483">
        <v>72</v>
      </c>
      <c r="J483" s="1">
        <f>(H483*I483)+O483</f>
        <v>1337.04</v>
      </c>
      <c r="K483" s="1">
        <f>(H483*I483)+O483-N483</f>
        <v>1333.1399999999999</v>
      </c>
      <c r="L483">
        <v>714.29</v>
      </c>
      <c r="M483" t="s">
        <v>44</v>
      </c>
      <c r="N483">
        <v>3.9</v>
      </c>
      <c r="O483">
        <v>58.32</v>
      </c>
      <c r="P483">
        <v>3</v>
      </c>
      <c r="Q483">
        <v>4</v>
      </c>
      <c r="R483">
        <v>5.9</v>
      </c>
      <c r="U483">
        <f>H483*(1-N483%)</f>
        <v>17.067360000000001</v>
      </c>
      <c r="V483">
        <f>U483*I483</f>
        <v>1228.8499200000001</v>
      </c>
      <c r="W483" t="e">
        <f>#REF!-V483</f>
        <v>#REF!</v>
      </c>
      <c r="X483" t="e">
        <f t="shared" si="7"/>
        <v>#REF!</v>
      </c>
    </row>
    <row r="484" spans="1:24" x14ac:dyDescent="0.3">
      <c r="A484">
        <v>1483</v>
      </c>
      <c r="B484" s="2">
        <v>44679</v>
      </c>
      <c r="C484" t="s">
        <v>51</v>
      </c>
      <c r="D484" t="s">
        <v>24</v>
      </c>
      <c r="E484" t="s">
        <v>42</v>
      </c>
      <c r="F484" t="s">
        <v>26</v>
      </c>
      <c r="G484" t="s">
        <v>50</v>
      </c>
      <c r="H484">
        <v>39.869999999999997</v>
      </c>
      <c r="I484">
        <v>59</v>
      </c>
      <c r="J484" s="1">
        <f>(H484*I484)+O484</f>
        <v>2393.87</v>
      </c>
      <c r="K484" s="1">
        <f>(H484*I484)+O484-N484</f>
        <v>2385.2399999999998</v>
      </c>
      <c r="L484">
        <v>1329.09</v>
      </c>
      <c r="M484" t="s">
        <v>28</v>
      </c>
      <c r="N484">
        <v>8.6300000000000008</v>
      </c>
      <c r="O484">
        <v>41.54</v>
      </c>
      <c r="P484">
        <v>1</v>
      </c>
      <c r="Q484">
        <v>26</v>
      </c>
      <c r="R484">
        <v>5.05</v>
      </c>
      <c r="U484">
        <f>H484*(1-N484%)</f>
        <v>36.429218999999996</v>
      </c>
      <c r="V484">
        <f>U484*I484</f>
        <v>2149.3239209999997</v>
      </c>
      <c r="W484" t="e">
        <f>#REF!-V484</f>
        <v>#REF!</v>
      </c>
      <c r="X484" t="e">
        <f t="shared" si="7"/>
        <v>#REF!</v>
      </c>
    </row>
    <row r="485" spans="1:24" x14ac:dyDescent="0.3">
      <c r="A485">
        <v>1484</v>
      </c>
      <c r="B485" s="2">
        <v>44680</v>
      </c>
      <c r="C485" t="s">
        <v>29</v>
      </c>
      <c r="D485" t="s">
        <v>55</v>
      </c>
      <c r="E485" t="s">
        <v>42</v>
      </c>
      <c r="F485" t="s">
        <v>26</v>
      </c>
      <c r="G485" t="s">
        <v>50</v>
      </c>
      <c r="H485">
        <v>45.02</v>
      </c>
      <c r="I485">
        <v>31</v>
      </c>
      <c r="J485" s="1">
        <f>(H485*I485)+O485</f>
        <v>1466.3500000000001</v>
      </c>
      <c r="K485" s="1">
        <f>(H485*I485)+O485-N485</f>
        <v>1453.0700000000002</v>
      </c>
      <c r="L485">
        <v>606.34</v>
      </c>
      <c r="M485" t="s">
        <v>44</v>
      </c>
      <c r="N485">
        <v>13.28</v>
      </c>
      <c r="O485">
        <v>70.73</v>
      </c>
      <c r="P485">
        <v>4</v>
      </c>
      <c r="Q485">
        <v>25</v>
      </c>
      <c r="R485">
        <v>2.94</v>
      </c>
      <c r="U485">
        <f>H485*(1-N485%)</f>
        <v>39.041344000000002</v>
      </c>
      <c r="V485">
        <f>U485*I485</f>
        <v>1210.2816640000001</v>
      </c>
      <c r="W485" t="e">
        <f>#REF!-V485</f>
        <v>#REF!</v>
      </c>
      <c r="X485" t="e">
        <f t="shared" si="7"/>
        <v>#REF!</v>
      </c>
    </row>
    <row r="486" spans="1:24" x14ac:dyDescent="0.3">
      <c r="A486">
        <v>1485</v>
      </c>
      <c r="B486" s="2">
        <v>44681</v>
      </c>
      <c r="C486" t="s">
        <v>23</v>
      </c>
      <c r="D486" t="s">
        <v>54</v>
      </c>
      <c r="E486" t="s">
        <v>25</v>
      </c>
      <c r="F486" t="s">
        <v>32</v>
      </c>
      <c r="G486" t="s">
        <v>45</v>
      </c>
      <c r="H486">
        <v>41.12</v>
      </c>
      <c r="I486">
        <v>24</v>
      </c>
      <c r="J486" s="1">
        <f>(H486*I486)+O486</f>
        <v>1041.53</v>
      </c>
      <c r="K486" s="1">
        <f>(H486*I486)+O486-N486</f>
        <v>1038.26</v>
      </c>
      <c r="L486">
        <v>374.03</v>
      </c>
      <c r="M486" t="s">
        <v>37</v>
      </c>
      <c r="N486">
        <v>3.27</v>
      </c>
      <c r="O486">
        <v>54.65</v>
      </c>
      <c r="P486">
        <v>2</v>
      </c>
      <c r="Q486">
        <v>17</v>
      </c>
      <c r="R486">
        <v>6.63</v>
      </c>
      <c r="U486">
        <f>H486*(1-N486%)</f>
        <v>39.775376000000001</v>
      </c>
      <c r="V486">
        <f>U486*I486</f>
        <v>954.60902400000009</v>
      </c>
      <c r="W486" t="e">
        <f>#REF!-V486</f>
        <v>#REF!</v>
      </c>
      <c r="X486" t="e">
        <f t="shared" si="7"/>
        <v>#REF!</v>
      </c>
    </row>
    <row r="487" spans="1:24" x14ac:dyDescent="0.3">
      <c r="A487">
        <v>1486</v>
      </c>
      <c r="B487" s="2">
        <v>44682</v>
      </c>
      <c r="C487" t="s">
        <v>57</v>
      </c>
      <c r="D487" t="s">
        <v>54</v>
      </c>
      <c r="E487" t="s">
        <v>31</v>
      </c>
      <c r="F487" t="s">
        <v>39</v>
      </c>
      <c r="G487" t="s">
        <v>36</v>
      </c>
      <c r="H487">
        <v>26.26</v>
      </c>
      <c r="I487">
        <v>57</v>
      </c>
      <c r="J487" s="1">
        <f>(H487*I487)+O487</f>
        <v>1516.64</v>
      </c>
      <c r="K487" s="1">
        <f>(H487*I487)+O487-N487</f>
        <v>1513.8400000000001</v>
      </c>
      <c r="L487">
        <v>1498.72</v>
      </c>
      <c r="M487" t="s">
        <v>44</v>
      </c>
      <c r="N487">
        <v>2.8</v>
      </c>
      <c r="O487">
        <v>19.82</v>
      </c>
      <c r="P487">
        <v>1</v>
      </c>
      <c r="Q487">
        <v>18</v>
      </c>
      <c r="R487">
        <v>8.19</v>
      </c>
      <c r="U487">
        <f>H487*(1-N487%)</f>
        <v>25.524720000000002</v>
      </c>
      <c r="V487">
        <f>U487*I487</f>
        <v>1454.90904</v>
      </c>
      <c r="W487" t="e">
        <f>#REF!-V487</f>
        <v>#REF!</v>
      </c>
      <c r="X487" t="e">
        <f t="shared" si="7"/>
        <v>#REF!</v>
      </c>
    </row>
    <row r="488" spans="1:24" x14ac:dyDescent="0.3">
      <c r="A488">
        <v>1487</v>
      </c>
      <c r="B488" s="2">
        <v>44683</v>
      </c>
      <c r="C488" t="s">
        <v>52</v>
      </c>
      <c r="D488" t="s">
        <v>58</v>
      </c>
      <c r="E488" t="s">
        <v>25</v>
      </c>
      <c r="F488" t="s">
        <v>26</v>
      </c>
      <c r="G488" t="s">
        <v>53</v>
      </c>
      <c r="H488">
        <v>11.34</v>
      </c>
      <c r="I488">
        <v>47</v>
      </c>
      <c r="J488" s="1">
        <f>(H488*I488)+O488</f>
        <v>585.15</v>
      </c>
      <c r="K488" s="1">
        <f>(H488*I488)+O488-N488</f>
        <v>566.55999999999995</v>
      </c>
      <c r="L488">
        <v>595.98</v>
      </c>
      <c r="M488" t="s">
        <v>28</v>
      </c>
      <c r="N488">
        <v>18.59</v>
      </c>
      <c r="O488">
        <v>52.17</v>
      </c>
      <c r="P488">
        <v>3</v>
      </c>
      <c r="Q488">
        <v>26</v>
      </c>
      <c r="R488">
        <v>6.33</v>
      </c>
      <c r="U488">
        <f>H488*(1-N488%)</f>
        <v>9.2318940000000005</v>
      </c>
      <c r="V488">
        <f>U488*I488</f>
        <v>433.89901800000001</v>
      </c>
      <c r="W488" t="e">
        <f>#REF!-V488</f>
        <v>#REF!</v>
      </c>
      <c r="X488" t="e">
        <f t="shared" si="7"/>
        <v>#REF!</v>
      </c>
    </row>
    <row r="489" spans="1:24" x14ac:dyDescent="0.3">
      <c r="A489">
        <v>1488</v>
      </c>
      <c r="B489" s="2">
        <v>44684</v>
      </c>
      <c r="C489" t="s">
        <v>51</v>
      </c>
      <c r="D489" t="s">
        <v>58</v>
      </c>
      <c r="E489" t="s">
        <v>42</v>
      </c>
      <c r="F489" t="s">
        <v>32</v>
      </c>
      <c r="G489" t="s">
        <v>50</v>
      </c>
      <c r="H489">
        <v>54.84</v>
      </c>
      <c r="I489">
        <v>77</v>
      </c>
      <c r="J489" s="1">
        <f>(H489*I489)+O489</f>
        <v>4267.91</v>
      </c>
      <c r="K489" s="1">
        <f>(H489*I489)+O489-N489</f>
        <v>4250.97</v>
      </c>
      <c r="L489">
        <v>1101.1600000000001</v>
      </c>
      <c r="M489" t="s">
        <v>28</v>
      </c>
      <c r="N489">
        <v>16.940000000000001</v>
      </c>
      <c r="O489">
        <v>45.23</v>
      </c>
      <c r="P489">
        <v>2</v>
      </c>
      <c r="Q489">
        <v>29</v>
      </c>
      <c r="R489">
        <v>9.59</v>
      </c>
      <c r="U489">
        <f>H489*(1-N489%)</f>
        <v>45.550104000000005</v>
      </c>
      <c r="V489">
        <f>U489*I489</f>
        <v>3507.3580080000002</v>
      </c>
      <c r="W489" t="e">
        <f>#REF!-V489</f>
        <v>#REF!</v>
      </c>
      <c r="X489" t="e">
        <f t="shared" si="7"/>
        <v>#REF!</v>
      </c>
    </row>
    <row r="490" spans="1:24" x14ac:dyDescent="0.3">
      <c r="A490">
        <v>1489</v>
      </c>
      <c r="B490" s="2">
        <v>44685</v>
      </c>
      <c r="C490" t="s">
        <v>51</v>
      </c>
      <c r="D490" t="s">
        <v>49</v>
      </c>
      <c r="E490" t="s">
        <v>25</v>
      </c>
      <c r="F490" t="s">
        <v>26</v>
      </c>
      <c r="G490" t="s">
        <v>45</v>
      </c>
      <c r="H490">
        <v>66.569999999999993</v>
      </c>
      <c r="I490">
        <v>99</v>
      </c>
      <c r="J490" s="1">
        <f>(H490*I490)+O490</f>
        <v>6634.0899999999992</v>
      </c>
      <c r="K490" s="1">
        <f>(H490*I490)+O490-N490</f>
        <v>6625.1799999999994</v>
      </c>
      <c r="L490">
        <v>885.56</v>
      </c>
      <c r="M490" t="s">
        <v>37</v>
      </c>
      <c r="N490">
        <v>8.91</v>
      </c>
      <c r="O490">
        <v>43.66</v>
      </c>
      <c r="P490">
        <v>1</v>
      </c>
      <c r="Q490">
        <v>15</v>
      </c>
      <c r="R490">
        <v>6.61</v>
      </c>
      <c r="U490">
        <f>H490*(1-N490%)</f>
        <v>60.638612999999999</v>
      </c>
      <c r="V490">
        <f>U490*I490</f>
        <v>6003.2226869999995</v>
      </c>
      <c r="W490" t="e">
        <f>#REF!-V490</f>
        <v>#REF!</v>
      </c>
      <c r="X490" t="e">
        <f t="shared" si="7"/>
        <v>#REF!</v>
      </c>
    </row>
    <row r="491" spans="1:24" x14ac:dyDescent="0.3">
      <c r="A491">
        <v>1490</v>
      </c>
      <c r="B491" s="2">
        <v>44686</v>
      </c>
      <c r="C491" t="s">
        <v>38</v>
      </c>
      <c r="D491" t="s">
        <v>24</v>
      </c>
      <c r="E491" t="s">
        <v>42</v>
      </c>
      <c r="F491" t="s">
        <v>26</v>
      </c>
      <c r="G491" t="s">
        <v>36</v>
      </c>
      <c r="H491">
        <v>75.64</v>
      </c>
      <c r="I491">
        <v>44</v>
      </c>
      <c r="J491" s="1">
        <f>(H491*I491)+O491</f>
        <v>3395.3199999999997</v>
      </c>
      <c r="K491" s="1">
        <f>(H491*I491)+O491-N491</f>
        <v>3389.6499999999996</v>
      </c>
      <c r="L491">
        <v>725.24</v>
      </c>
      <c r="M491" t="s">
        <v>28</v>
      </c>
      <c r="N491">
        <v>5.67</v>
      </c>
      <c r="O491">
        <v>67.16</v>
      </c>
      <c r="P491">
        <v>3</v>
      </c>
      <c r="Q491">
        <v>27</v>
      </c>
      <c r="R491">
        <v>3.02</v>
      </c>
      <c r="U491">
        <f>H491*(1-N491%)</f>
        <v>71.351212000000004</v>
      </c>
      <c r="V491">
        <f>U491*I491</f>
        <v>3139.4533280000001</v>
      </c>
      <c r="W491" t="e">
        <f>#REF!-V491</f>
        <v>#REF!</v>
      </c>
      <c r="X491" t="e">
        <f t="shared" si="7"/>
        <v>#REF!</v>
      </c>
    </row>
    <row r="492" spans="1:24" x14ac:dyDescent="0.3">
      <c r="A492">
        <v>1491</v>
      </c>
      <c r="B492" s="2">
        <v>44687</v>
      </c>
      <c r="C492" t="s">
        <v>51</v>
      </c>
      <c r="D492" t="s">
        <v>55</v>
      </c>
      <c r="E492" t="s">
        <v>42</v>
      </c>
      <c r="F492" t="s">
        <v>26</v>
      </c>
      <c r="G492" t="s">
        <v>47</v>
      </c>
      <c r="H492">
        <v>8.52</v>
      </c>
      <c r="I492">
        <v>12</v>
      </c>
      <c r="J492" s="1">
        <f>(H492*I492)+O492</f>
        <v>144.38999999999999</v>
      </c>
      <c r="K492" s="1">
        <f>(H492*I492)+O492-N492</f>
        <v>130.51</v>
      </c>
      <c r="L492">
        <v>206.04</v>
      </c>
      <c r="M492" t="s">
        <v>44</v>
      </c>
      <c r="N492">
        <v>13.88</v>
      </c>
      <c r="O492">
        <v>42.15</v>
      </c>
      <c r="P492">
        <v>5</v>
      </c>
      <c r="Q492">
        <v>13</v>
      </c>
      <c r="R492">
        <v>6.62</v>
      </c>
      <c r="U492">
        <f>H492*(1-N492%)</f>
        <v>7.3374239999999995</v>
      </c>
      <c r="V492">
        <f>U492*I492</f>
        <v>88.049087999999998</v>
      </c>
      <c r="W492" t="e">
        <f>#REF!-V492</f>
        <v>#REF!</v>
      </c>
      <c r="X492" t="e">
        <f t="shared" si="7"/>
        <v>#REF!</v>
      </c>
    </row>
    <row r="493" spans="1:24" x14ac:dyDescent="0.3">
      <c r="A493">
        <v>1492</v>
      </c>
      <c r="B493" s="2">
        <v>44688</v>
      </c>
      <c r="C493" t="s">
        <v>41</v>
      </c>
      <c r="D493" t="s">
        <v>58</v>
      </c>
      <c r="E493" t="s">
        <v>25</v>
      </c>
      <c r="F493" t="s">
        <v>39</v>
      </c>
      <c r="G493" t="s">
        <v>45</v>
      </c>
      <c r="H493">
        <v>76.28</v>
      </c>
      <c r="I493">
        <v>15</v>
      </c>
      <c r="J493" s="1">
        <f>(H493*I493)+O493</f>
        <v>1217.69</v>
      </c>
      <c r="K493" s="1">
        <f>(H493*I493)+O493-N493</f>
        <v>1207.49</v>
      </c>
      <c r="L493">
        <v>1303.01</v>
      </c>
      <c r="M493" t="s">
        <v>44</v>
      </c>
      <c r="N493">
        <v>10.199999999999999</v>
      </c>
      <c r="O493">
        <v>73.489999999999995</v>
      </c>
      <c r="P493">
        <v>3</v>
      </c>
      <c r="Q493">
        <v>4</v>
      </c>
      <c r="R493">
        <v>6.91</v>
      </c>
      <c r="U493">
        <f>H493*(1-N493%)</f>
        <v>68.499440000000007</v>
      </c>
      <c r="V493">
        <f>U493*I493</f>
        <v>1027.4916000000001</v>
      </c>
      <c r="W493" t="e">
        <f>#REF!-V493</f>
        <v>#REF!</v>
      </c>
      <c r="X493" t="e">
        <f t="shared" si="7"/>
        <v>#REF!</v>
      </c>
    </row>
    <row r="494" spans="1:24" x14ac:dyDescent="0.3">
      <c r="A494">
        <v>1493</v>
      </c>
      <c r="B494" s="2">
        <v>44689</v>
      </c>
      <c r="C494" t="s">
        <v>33</v>
      </c>
      <c r="D494" t="s">
        <v>46</v>
      </c>
      <c r="E494" t="s">
        <v>42</v>
      </c>
      <c r="F494" t="s">
        <v>39</v>
      </c>
      <c r="G494" t="s">
        <v>47</v>
      </c>
      <c r="H494">
        <v>33.33</v>
      </c>
      <c r="I494">
        <v>39</v>
      </c>
      <c r="J494" s="1">
        <f>(H494*I494)+O494</f>
        <v>1335.9399999999998</v>
      </c>
      <c r="K494" s="1">
        <f>(H494*I494)+O494-N494</f>
        <v>1316.1299999999999</v>
      </c>
      <c r="L494">
        <v>564.23</v>
      </c>
      <c r="M494" t="s">
        <v>44</v>
      </c>
      <c r="N494">
        <v>19.809999999999999</v>
      </c>
      <c r="O494">
        <v>36.07</v>
      </c>
      <c r="P494">
        <v>3</v>
      </c>
      <c r="Q494">
        <v>28</v>
      </c>
      <c r="R494">
        <v>4.1500000000000004</v>
      </c>
      <c r="U494">
        <f>H494*(1-N494%)</f>
        <v>26.727326999999999</v>
      </c>
      <c r="V494">
        <f>U494*I494</f>
        <v>1042.365753</v>
      </c>
      <c r="W494" t="e">
        <f>#REF!-V494</f>
        <v>#REF!</v>
      </c>
      <c r="X494" t="e">
        <f t="shared" si="7"/>
        <v>#REF!</v>
      </c>
    </row>
    <row r="495" spans="1:24" x14ac:dyDescent="0.3">
      <c r="A495">
        <v>1494</v>
      </c>
      <c r="B495" s="2">
        <v>44690</v>
      </c>
      <c r="C495" t="s">
        <v>52</v>
      </c>
      <c r="D495" t="s">
        <v>54</v>
      </c>
      <c r="E495" t="s">
        <v>35</v>
      </c>
      <c r="F495" t="s">
        <v>39</v>
      </c>
      <c r="G495" t="s">
        <v>50</v>
      </c>
      <c r="H495">
        <v>60.84</v>
      </c>
      <c r="I495">
        <v>25</v>
      </c>
      <c r="J495" s="1">
        <f>(H495*I495)+O495</f>
        <v>1526.39</v>
      </c>
      <c r="K495" s="1">
        <f>(H495*I495)+O495-N495</f>
        <v>1510.3100000000002</v>
      </c>
      <c r="L495">
        <v>334.03</v>
      </c>
      <c r="M495" t="s">
        <v>37</v>
      </c>
      <c r="N495">
        <v>16.079999999999998</v>
      </c>
      <c r="O495">
        <v>5.39</v>
      </c>
      <c r="P495">
        <v>4</v>
      </c>
      <c r="Q495">
        <v>20</v>
      </c>
      <c r="R495">
        <v>1.75</v>
      </c>
      <c r="U495">
        <f>H495*(1-N495%)</f>
        <v>51.056928000000006</v>
      </c>
      <c r="V495">
        <f>U495*I495</f>
        <v>1276.4232000000002</v>
      </c>
      <c r="W495" t="e">
        <f>#REF!-V495</f>
        <v>#REF!</v>
      </c>
      <c r="X495" t="e">
        <f t="shared" si="7"/>
        <v>#REF!</v>
      </c>
    </row>
    <row r="496" spans="1:24" x14ac:dyDescent="0.3">
      <c r="A496">
        <v>1495</v>
      </c>
      <c r="B496" s="2">
        <v>44691</v>
      </c>
      <c r="C496" t="s">
        <v>23</v>
      </c>
      <c r="D496" t="s">
        <v>54</v>
      </c>
      <c r="E496" t="s">
        <v>42</v>
      </c>
      <c r="F496" t="s">
        <v>39</v>
      </c>
      <c r="G496" t="s">
        <v>45</v>
      </c>
      <c r="H496">
        <v>24.29</v>
      </c>
      <c r="I496">
        <v>26</v>
      </c>
      <c r="J496" s="1">
        <f>(H496*I496)+O496</f>
        <v>688.02</v>
      </c>
      <c r="K496" s="1">
        <f>(H496*I496)+O496-N496</f>
        <v>675.14</v>
      </c>
      <c r="L496">
        <v>1055.46</v>
      </c>
      <c r="M496" t="s">
        <v>37</v>
      </c>
      <c r="N496">
        <v>12.88</v>
      </c>
      <c r="O496">
        <v>56.48</v>
      </c>
      <c r="P496">
        <v>1</v>
      </c>
      <c r="Q496">
        <v>15</v>
      </c>
      <c r="R496">
        <v>7.43</v>
      </c>
      <c r="U496">
        <f>H496*(1-N496%)</f>
        <v>21.161448</v>
      </c>
      <c r="V496">
        <f>U496*I496</f>
        <v>550.19764799999996</v>
      </c>
      <c r="W496" t="e">
        <f>#REF!-V496</f>
        <v>#REF!</v>
      </c>
      <c r="X496" t="e">
        <f t="shared" si="7"/>
        <v>#REF!</v>
      </c>
    </row>
    <row r="497" spans="1:24" x14ac:dyDescent="0.3">
      <c r="A497">
        <v>1496</v>
      </c>
      <c r="B497" s="2">
        <v>44692</v>
      </c>
      <c r="C497" t="s">
        <v>51</v>
      </c>
      <c r="D497" t="s">
        <v>55</v>
      </c>
      <c r="E497" t="s">
        <v>35</v>
      </c>
      <c r="F497" t="s">
        <v>39</v>
      </c>
      <c r="G497" t="s">
        <v>27</v>
      </c>
      <c r="H497">
        <v>46.88</v>
      </c>
      <c r="I497">
        <v>13</v>
      </c>
      <c r="J497" s="1">
        <f>(H497*I497)+O497</f>
        <v>642.54000000000008</v>
      </c>
      <c r="K497" s="1">
        <f>(H497*I497)+O497-N497</f>
        <v>634.47</v>
      </c>
      <c r="L497">
        <v>566.83000000000004</v>
      </c>
      <c r="M497" t="s">
        <v>37</v>
      </c>
      <c r="N497">
        <v>8.07</v>
      </c>
      <c r="O497">
        <v>33.1</v>
      </c>
      <c r="P497">
        <v>1</v>
      </c>
      <c r="Q497">
        <v>22</v>
      </c>
      <c r="R497">
        <v>9.92</v>
      </c>
      <c r="U497">
        <f>H497*(1-N497%)</f>
        <v>43.096784</v>
      </c>
      <c r="V497">
        <f>U497*I497</f>
        <v>560.25819200000001</v>
      </c>
      <c r="W497" t="e">
        <f>#REF!-V497</f>
        <v>#REF!</v>
      </c>
      <c r="X497" t="e">
        <f t="shared" si="7"/>
        <v>#REF!</v>
      </c>
    </row>
    <row r="498" spans="1:24" x14ac:dyDescent="0.3">
      <c r="A498">
        <v>1497</v>
      </c>
      <c r="B498" s="2">
        <v>44693</v>
      </c>
      <c r="C498" t="s">
        <v>38</v>
      </c>
      <c r="D498" t="s">
        <v>34</v>
      </c>
      <c r="E498" t="s">
        <v>31</v>
      </c>
      <c r="F498" t="s">
        <v>32</v>
      </c>
      <c r="G498" t="s">
        <v>43</v>
      </c>
      <c r="H498">
        <v>10.14</v>
      </c>
      <c r="I498">
        <v>11</v>
      </c>
      <c r="J498" s="1">
        <f>(H498*I498)+O498</f>
        <v>148.39000000000001</v>
      </c>
      <c r="K498" s="1">
        <f>(H498*I498)+O498-N498</f>
        <v>136.9</v>
      </c>
      <c r="L498">
        <v>570.9</v>
      </c>
      <c r="M498" t="s">
        <v>28</v>
      </c>
      <c r="N498">
        <v>11.49</v>
      </c>
      <c r="O498">
        <v>36.85</v>
      </c>
      <c r="P498">
        <v>1</v>
      </c>
      <c r="Q498">
        <v>2</v>
      </c>
      <c r="R498">
        <v>3.84</v>
      </c>
      <c r="U498">
        <f>H498*(1-N498%)</f>
        <v>8.9749140000000001</v>
      </c>
      <c r="V498">
        <f>U498*I498</f>
        <v>98.724053999999995</v>
      </c>
      <c r="W498" t="e">
        <f>#REF!-V498</f>
        <v>#REF!</v>
      </c>
      <c r="X498" t="e">
        <f t="shared" si="7"/>
        <v>#REF!</v>
      </c>
    </row>
    <row r="499" spans="1:24" x14ac:dyDescent="0.3">
      <c r="A499">
        <v>1498</v>
      </c>
      <c r="B499" s="2">
        <v>44694</v>
      </c>
      <c r="C499" t="s">
        <v>51</v>
      </c>
      <c r="D499" t="s">
        <v>55</v>
      </c>
      <c r="E499" t="s">
        <v>25</v>
      </c>
      <c r="F499" t="s">
        <v>39</v>
      </c>
      <c r="G499" t="s">
        <v>36</v>
      </c>
      <c r="H499">
        <v>36.159999999999997</v>
      </c>
      <c r="I499">
        <v>93</v>
      </c>
      <c r="J499" s="1">
        <f>(H499*I499)+O499</f>
        <v>3386.8599999999997</v>
      </c>
      <c r="K499" s="1">
        <f>(H499*I499)+O499-N499</f>
        <v>3377.6299999999997</v>
      </c>
      <c r="L499">
        <v>60.46</v>
      </c>
      <c r="M499" t="s">
        <v>44</v>
      </c>
      <c r="N499">
        <v>9.23</v>
      </c>
      <c r="O499">
        <v>23.98</v>
      </c>
      <c r="P499">
        <v>1</v>
      </c>
      <c r="Q499">
        <v>8</v>
      </c>
      <c r="R499">
        <v>5.59</v>
      </c>
      <c r="U499">
        <f>H499*(1-N499%)</f>
        <v>32.822431999999992</v>
      </c>
      <c r="V499">
        <f>U499*I499</f>
        <v>3052.4861759999994</v>
      </c>
      <c r="W499" t="e">
        <f>#REF!-V499</f>
        <v>#REF!</v>
      </c>
      <c r="X499" t="e">
        <f t="shared" si="7"/>
        <v>#REF!</v>
      </c>
    </row>
    <row r="500" spans="1:24" x14ac:dyDescent="0.3">
      <c r="A500">
        <v>1499</v>
      </c>
      <c r="B500" s="2">
        <v>44695</v>
      </c>
      <c r="C500" t="s">
        <v>57</v>
      </c>
      <c r="D500" t="s">
        <v>30</v>
      </c>
      <c r="E500" t="s">
        <v>35</v>
      </c>
      <c r="F500" t="s">
        <v>32</v>
      </c>
      <c r="G500" t="s">
        <v>36</v>
      </c>
      <c r="H500">
        <v>22.18</v>
      </c>
      <c r="I500">
        <v>61</v>
      </c>
      <c r="J500" s="1">
        <f>(H500*I500)+O500</f>
        <v>1383.96</v>
      </c>
      <c r="K500" s="1">
        <f>(H500*I500)+O500-N500</f>
        <v>1367.39</v>
      </c>
      <c r="L500">
        <v>526.83000000000004</v>
      </c>
      <c r="M500" t="s">
        <v>37</v>
      </c>
      <c r="N500">
        <v>16.57</v>
      </c>
      <c r="O500">
        <v>30.98</v>
      </c>
      <c r="P500">
        <v>5</v>
      </c>
      <c r="Q500">
        <v>23</v>
      </c>
      <c r="R500">
        <v>6.26</v>
      </c>
      <c r="U500">
        <f>H500*(1-N500%)</f>
        <v>18.504774000000001</v>
      </c>
      <c r="V500">
        <f>U500*I500</f>
        <v>1128.7912140000001</v>
      </c>
      <c r="W500" t="e">
        <f>#REF!-V500</f>
        <v>#REF!</v>
      </c>
      <c r="X500" t="e">
        <f t="shared" si="7"/>
        <v>#REF!</v>
      </c>
    </row>
    <row r="501" spans="1:24" x14ac:dyDescent="0.3">
      <c r="A501">
        <v>1500</v>
      </c>
      <c r="B501" s="2">
        <v>44696</v>
      </c>
      <c r="C501" t="s">
        <v>56</v>
      </c>
      <c r="D501" t="s">
        <v>34</v>
      </c>
      <c r="E501" t="s">
        <v>25</v>
      </c>
      <c r="F501" t="s">
        <v>26</v>
      </c>
      <c r="G501" t="s">
        <v>50</v>
      </c>
      <c r="H501">
        <v>76.900000000000006</v>
      </c>
      <c r="I501">
        <v>40</v>
      </c>
      <c r="J501" s="1">
        <f>(H501*I501)+O501</f>
        <v>3165.55</v>
      </c>
      <c r="K501" s="1">
        <f>(H501*I501)+O501-N501</f>
        <v>3146.6400000000003</v>
      </c>
      <c r="L501">
        <v>1403.38</v>
      </c>
      <c r="M501" t="s">
        <v>28</v>
      </c>
      <c r="N501">
        <v>18.91</v>
      </c>
      <c r="O501">
        <v>89.55</v>
      </c>
      <c r="P501">
        <v>4</v>
      </c>
      <c r="Q501">
        <v>22</v>
      </c>
      <c r="R501">
        <v>8.3699999999999992</v>
      </c>
      <c r="U501">
        <f>H501*(1-N501%)</f>
        <v>62.35821</v>
      </c>
      <c r="V501">
        <f>U501*I501</f>
        <v>2494.3283999999999</v>
      </c>
      <c r="W501" t="e">
        <f>#REF!-V501</f>
        <v>#REF!</v>
      </c>
      <c r="X501" t="e">
        <f t="shared" si="7"/>
        <v>#REF!</v>
      </c>
    </row>
  </sheetData>
  <autoFilter ref="A1:R501" xr:uid="{63307858-AF89-4089-9C1D-63490C8B718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9A6C-0F00-4D41-953F-70413632B4CE}">
  <dimension ref="B2:B30"/>
  <sheetViews>
    <sheetView tabSelected="1" topLeftCell="A9" zoomScale="112" workbookViewId="0">
      <selection activeCell="J23" sqref="J23"/>
    </sheetView>
  </sheetViews>
  <sheetFormatPr defaultRowHeight="14.4" x14ac:dyDescent="0.3"/>
  <sheetData>
    <row r="2" spans="2:2" ht="18" x14ac:dyDescent="0.3">
      <c r="B2" s="3" t="s">
        <v>59</v>
      </c>
    </row>
    <row r="3" spans="2:2" x14ac:dyDescent="0.3">
      <c r="B3" s="4"/>
    </row>
    <row r="4" spans="2:2" x14ac:dyDescent="0.3">
      <c r="B4" s="5" t="s">
        <v>60</v>
      </c>
    </row>
    <row r="5" spans="2:2" x14ac:dyDescent="0.3">
      <c r="B5" s="5" t="s">
        <v>61</v>
      </c>
    </row>
    <row r="6" spans="2:2" x14ac:dyDescent="0.3">
      <c r="B6" s="5" t="s">
        <v>62</v>
      </c>
    </row>
    <row r="7" spans="2:2" x14ac:dyDescent="0.3">
      <c r="B7" s="5" t="s">
        <v>63</v>
      </c>
    </row>
    <row r="8" spans="2:2" x14ac:dyDescent="0.3">
      <c r="B8" s="5" t="s">
        <v>64</v>
      </c>
    </row>
    <row r="9" spans="2:2" x14ac:dyDescent="0.3">
      <c r="B9" s="5" t="s">
        <v>65</v>
      </c>
    </row>
    <row r="10" spans="2:2" x14ac:dyDescent="0.3">
      <c r="B10" s="5" t="s">
        <v>66</v>
      </c>
    </row>
    <row r="13" spans="2:2" ht="18" x14ac:dyDescent="0.3">
      <c r="B13" s="3" t="s">
        <v>67</v>
      </c>
    </row>
    <row r="14" spans="2:2" x14ac:dyDescent="0.3">
      <c r="B14" s="4"/>
    </row>
    <row r="15" spans="2:2" x14ac:dyDescent="0.3">
      <c r="B15" s="5" t="s">
        <v>68</v>
      </c>
    </row>
    <row r="16" spans="2:2" x14ac:dyDescent="0.3">
      <c r="B16" s="5" t="s">
        <v>69</v>
      </c>
    </row>
    <row r="17" spans="2:2" x14ac:dyDescent="0.3">
      <c r="B17" s="5" t="s">
        <v>70</v>
      </c>
    </row>
    <row r="18" spans="2:2" x14ac:dyDescent="0.3">
      <c r="B18" s="5" t="s">
        <v>71</v>
      </c>
    </row>
    <row r="19" spans="2:2" x14ac:dyDescent="0.3">
      <c r="B19" s="5" t="s">
        <v>72</v>
      </c>
    </row>
    <row r="20" spans="2:2" x14ac:dyDescent="0.3">
      <c r="B20" s="5" t="s">
        <v>73</v>
      </c>
    </row>
    <row r="21" spans="2:2" x14ac:dyDescent="0.3">
      <c r="B21" s="5" t="s">
        <v>74</v>
      </c>
    </row>
    <row r="23" spans="2:2" ht="18" x14ac:dyDescent="0.3">
      <c r="B23" s="3" t="s">
        <v>75</v>
      </c>
    </row>
    <row r="24" spans="2:2" x14ac:dyDescent="0.3">
      <c r="B24" s="4"/>
    </row>
    <row r="25" spans="2:2" x14ac:dyDescent="0.3">
      <c r="B25" s="5" t="s">
        <v>76</v>
      </c>
    </row>
    <row r="26" spans="2:2" x14ac:dyDescent="0.3">
      <c r="B26" s="5" t="s">
        <v>77</v>
      </c>
    </row>
    <row r="27" spans="2:2" x14ac:dyDescent="0.3">
      <c r="B27" s="5" t="s">
        <v>78</v>
      </c>
    </row>
    <row r="28" spans="2:2" x14ac:dyDescent="0.3">
      <c r="B28" s="5" t="s">
        <v>79</v>
      </c>
    </row>
    <row r="29" spans="2:2" x14ac:dyDescent="0.3">
      <c r="B29" s="5" t="s">
        <v>80</v>
      </c>
    </row>
    <row r="30" spans="2:2" x14ac:dyDescent="0.3">
      <c r="B30" s="5" t="s">
        <v>81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A8FA-0FCB-462D-B417-BE2CA47DE44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Questions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SAXENA</dc:creator>
  <cp:lastModifiedBy>ANANYA SAXENA</cp:lastModifiedBy>
  <dcterms:created xsi:type="dcterms:W3CDTF">2025-01-30T08:26:43Z</dcterms:created>
  <dcterms:modified xsi:type="dcterms:W3CDTF">2025-01-30T08:30:06Z</dcterms:modified>
</cp:coreProperties>
</file>